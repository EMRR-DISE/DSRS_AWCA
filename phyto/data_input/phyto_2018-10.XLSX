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rasmuss\California Department of Water Resources\DWR - DSRS Aquatic Weed Control Action - Phytoplankton\Phyto_2018-10\"/>
    </mc:Choice>
  </mc:AlternateContent>
  <xr:revisionPtr revIDLastSave="0" documentId="10_ncr:100000_{8F0AFAEF-8538-4092-A702-33E24D9E9465}" xr6:coauthVersionLast="31" xr6:coauthVersionMax="43" xr10:uidLastSave="{00000000-0000-0000-0000-000000000000}"/>
  <bookViews>
    <workbookView xWindow="0" yWindow="0" windowWidth="28800" windowHeight="12165" tabRatio="601" xr2:uid="{00000000-000D-0000-FFFF-FFFF00000000}"/>
  </bookViews>
  <sheets>
    <sheet name="OUTPUT" sheetId="3" r:id="rId1"/>
    <sheet name="R_Intermediate" sheetId="7" r:id="rId2"/>
    <sheet name="R_Final" sheetId="6" r:id="rId3"/>
    <sheet name="Notes" sheetId="5" r:id="rId4"/>
  </sheets>
  <definedNames>
    <definedName name="_xlnm._FilterDatabase" localSheetId="1" hidden="1">R_Intermediate!$B$1:$B$1283</definedName>
  </definedNames>
  <calcPr calcId="179017"/>
</workbook>
</file>

<file path=xl/calcChain.xml><?xml version="1.0" encoding="utf-8"?>
<calcChain xmlns="http://schemas.openxmlformats.org/spreadsheetml/2006/main">
  <c r="AE3" i="7" l="1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E214" i="7"/>
  <c r="AE215" i="7"/>
  <c r="AE216" i="7"/>
  <c r="AE217" i="7"/>
  <c r="AE218" i="7"/>
  <c r="AE219" i="7"/>
  <c r="AE220" i="7"/>
  <c r="AE221" i="7"/>
  <c r="AE222" i="7"/>
  <c r="AE223" i="7"/>
  <c r="AE224" i="7"/>
  <c r="AE225" i="7"/>
  <c r="AE226" i="7"/>
  <c r="AE227" i="7"/>
  <c r="AE228" i="7"/>
  <c r="AE229" i="7"/>
  <c r="AE230" i="7"/>
  <c r="AE231" i="7"/>
  <c r="AE232" i="7"/>
  <c r="AE233" i="7"/>
  <c r="AE234" i="7"/>
  <c r="AE235" i="7"/>
  <c r="AE236" i="7"/>
  <c r="AE237" i="7"/>
  <c r="AE238" i="7"/>
  <c r="AE239" i="7"/>
  <c r="AE240" i="7"/>
  <c r="AE241" i="7"/>
  <c r="AE242" i="7"/>
  <c r="AE243" i="7"/>
  <c r="AE244" i="7"/>
  <c r="AE245" i="7"/>
  <c r="AE246" i="7"/>
  <c r="AE247" i="7"/>
  <c r="AE248" i="7"/>
  <c r="AE249" i="7"/>
  <c r="AE250" i="7"/>
  <c r="AE251" i="7"/>
  <c r="AE252" i="7"/>
  <c r="AE253" i="7"/>
  <c r="AE254" i="7"/>
  <c r="AE255" i="7"/>
  <c r="AE256" i="7"/>
  <c r="AE257" i="7"/>
  <c r="AE258" i="7"/>
  <c r="AE259" i="7"/>
  <c r="AE260" i="7"/>
  <c r="AE261" i="7"/>
  <c r="AE262" i="7"/>
  <c r="AE263" i="7"/>
  <c r="AE264" i="7"/>
  <c r="AE265" i="7"/>
  <c r="AE266" i="7"/>
  <c r="AE267" i="7"/>
  <c r="AE268" i="7"/>
  <c r="AE269" i="7"/>
  <c r="AE270" i="7"/>
  <c r="AE271" i="7"/>
  <c r="AE272" i="7"/>
  <c r="AE273" i="7"/>
  <c r="AE274" i="7"/>
  <c r="AE275" i="7"/>
  <c r="AE276" i="7"/>
  <c r="AE277" i="7"/>
  <c r="AE278" i="7"/>
  <c r="AE279" i="7"/>
  <c r="AE280" i="7"/>
  <c r="AE281" i="7"/>
  <c r="AE282" i="7"/>
  <c r="AE283" i="7"/>
  <c r="AE284" i="7"/>
  <c r="AE285" i="7"/>
  <c r="AE286" i="7"/>
  <c r="AE287" i="7"/>
  <c r="AE288" i="7"/>
  <c r="AE289" i="7"/>
  <c r="AE290" i="7"/>
  <c r="AE291" i="7"/>
  <c r="AE292" i="7"/>
  <c r="AE293" i="7"/>
  <c r="AE294" i="7"/>
  <c r="AE295" i="7"/>
  <c r="AE296" i="7"/>
  <c r="AE297" i="7"/>
  <c r="AE298" i="7"/>
  <c r="AE299" i="7"/>
  <c r="AE300" i="7"/>
  <c r="AE301" i="7"/>
  <c r="AE302" i="7"/>
  <c r="AE303" i="7"/>
  <c r="AE304" i="7"/>
  <c r="AE305" i="7"/>
  <c r="AE306" i="7"/>
  <c r="AE307" i="7"/>
  <c r="AE308" i="7"/>
  <c r="AE309" i="7"/>
  <c r="AE310" i="7"/>
  <c r="AE311" i="7"/>
  <c r="AE312" i="7"/>
  <c r="AE313" i="7"/>
  <c r="AE314" i="7"/>
  <c r="AE315" i="7"/>
  <c r="AE316" i="7"/>
  <c r="AE317" i="7"/>
  <c r="AE318" i="7"/>
  <c r="AE319" i="7"/>
  <c r="AE320" i="7"/>
  <c r="AE321" i="7"/>
  <c r="AE322" i="7"/>
  <c r="AE323" i="7"/>
  <c r="AE324" i="7"/>
  <c r="AE325" i="7"/>
  <c r="AE326" i="7"/>
  <c r="AE327" i="7"/>
  <c r="AE328" i="7"/>
  <c r="AE329" i="7"/>
  <c r="AE330" i="7"/>
  <c r="AE331" i="7"/>
  <c r="AE332" i="7"/>
  <c r="AE333" i="7"/>
  <c r="AE334" i="7"/>
  <c r="AE335" i="7"/>
  <c r="AE336" i="7"/>
  <c r="AE337" i="7"/>
  <c r="AE338" i="7"/>
  <c r="AE339" i="7"/>
  <c r="AE340" i="7"/>
  <c r="AE341" i="7"/>
  <c r="AE342" i="7"/>
  <c r="AE343" i="7"/>
  <c r="AE344" i="7"/>
  <c r="AE345" i="7"/>
  <c r="AE346" i="7"/>
  <c r="AE347" i="7"/>
  <c r="AE348" i="7"/>
  <c r="AE349" i="7"/>
  <c r="AE350" i="7"/>
  <c r="AE351" i="7"/>
  <c r="AE352" i="7"/>
  <c r="AE353" i="7"/>
  <c r="AE354" i="7"/>
  <c r="AE355" i="7"/>
  <c r="AE356" i="7"/>
  <c r="AE357" i="7"/>
  <c r="AE358" i="7"/>
  <c r="AE359" i="7"/>
  <c r="AE360" i="7"/>
  <c r="AE361" i="7"/>
  <c r="AE362" i="7"/>
  <c r="AE363" i="7"/>
  <c r="AE364" i="7"/>
  <c r="AE365" i="7"/>
  <c r="AE366" i="7"/>
  <c r="AE367" i="7"/>
  <c r="AE368" i="7"/>
  <c r="AE369" i="7"/>
  <c r="AE370" i="7"/>
  <c r="AE371" i="7"/>
  <c r="AE372" i="7"/>
  <c r="AE373" i="7"/>
  <c r="AE374" i="7"/>
  <c r="AE375" i="7"/>
  <c r="AE376" i="7"/>
  <c r="AE377" i="7"/>
  <c r="AE378" i="7"/>
  <c r="AE379" i="7"/>
  <c r="AE380" i="7"/>
  <c r="AE381" i="7"/>
  <c r="AE382" i="7"/>
  <c r="AE383" i="7"/>
  <c r="AE384" i="7"/>
  <c r="AE385" i="7"/>
  <c r="AE386" i="7"/>
  <c r="AE387" i="7"/>
  <c r="AE388" i="7"/>
  <c r="AE389" i="7"/>
  <c r="AE390" i="7"/>
  <c r="AE391" i="7"/>
  <c r="AE392" i="7"/>
  <c r="AE393" i="7"/>
  <c r="AE394" i="7"/>
  <c r="AE395" i="7"/>
  <c r="AE396" i="7"/>
  <c r="AE397" i="7"/>
  <c r="AE398" i="7"/>
  <c r="AE399" i="7"/>
  <c r="AE400" i="7"/>
  <c r="AE401" i="7"/>
  <c r="AE402" i="7"/>
  <c r="AE403" i="7"/>
  <c r="AE404" i="7"/>
  <c r="AE405" i="7"/>
  <c r="AE406" i="7"/>
  <c r="AE407" i="7"/>
  <c r="AE408" i="7"/>
  <c r="AE409" i="7"/>
  <c r="AE410" i="7"/>
  <c r="AE411" i="7"/>
  <c r="AE412" i="7"/>
  <c r="AE413" i="7"/>
  <c r="AE414" i="7"/>
  <c r="AE415" i="7"/>
  <c r="AE416" i="7"/>
  <c r="AE417" i="7"/>
  <c r="AE418" i="7"/>
  <c r="AE419" i="7"/>
  <c r="AE420" i="7"/>
  <c r="AE421" i="7"/>
  <c r="AE422" i="7"/>
  <c r="AE423" i="7"/>
  <c r="AE424" i="7"/>
  <c r="AE425" i="7"/>
  <c r="AE426" i="7"/>
  <c r="AE427" i="7"/>
  <c r="AE428" i="7"/>
  <c r="AE429" i="7"/>
  <c r="AE430" i="7"/>
  <c r="AE431" i="7"/>
  <c r="AE432" i="7"/>
  <c r="AE433" i="7"/>
  <c r="AE434" i="7"/>
  <c r="AE435" i="7"/>
  <c r="AE436" i="7"/>
  <c r="AE437" i="7"/>
  <c r="AE438" i="7"/>
  <c r="AE439" i="7"/>
  <c r="AE440" i="7"/>
  <c r="AE441" i="7"/>
  <c r="AE442" i="7"/>
  <c r="AE443" i="7"/>
  <c r="AE444" i="7"/>
  <c r="AE445" i="7"/>
  <c r="AE446" i="7"/>
  <c r="AE447" i="7"/>
  <c r="AE448" i="7"/>
  <c r="AE449" i="7"/>
  <c r="AE450" i="7"/>
  <c r="AE451" i="7"/>
  <c r="AE452" i="7"/>
  <c r="AE453" i="7"/>
  <c r="AE454" i="7"/>
  <c r="AE455" i="7"/>
  <c r="AE456" i="7"/>
  <c r="AE457" i="7"/>
  <c r="AE458" i="7"/>
  <c r="AE459" i="7"/>
  <c r="AE460" i="7"/>
  <c r="AE461" i="7"/>
  <c r="AE462" i="7"/>
  <c r="AE463" i="7"/>
  <c r="AE464" i="7"/>
  <c r="AE465" i="7"/>
  <c r="AE466" i="7"/>
  <c r="AE467" i="7"/>
  <c r="AE468" i="7"/>
  <c r="AE469" i="7"/>
  <c r="AE470" i="7"/>
  <c r="AE471" i="7"/>
  <c r="AE472" i="7"/>
  <c r="AE473" i="7"/>
  <c r="AE474" i="7"/>
  <c r="AE475" i="7"/>
  <c r="AE476" i="7"/>
  <c r="AE477" i="7"/>
  <c r="AE478" i="7"/>
  <c r="AE479" i="7"/>
  <c r="AE480" i="7"/>
  <c r="AE481" i="7"/>
  <c r="AE482" i="7"/>
  <c r="AE483" i="7"/>
  <c r="AE484" i="7"/>
  <c r="AE485" i="7"/>
  <c r="AE486" i="7"/>
  <c r="AE487" i="7"/>
  <c r="AE488" i="7"/>
  <c r="AE489" i="7"/>
  <c r="AE490" i="7"/>
  <c r="AE491" i="7"/>
  <c r="AE492" i="7"/>
  <c r="AE493" i="7"/>
  <c r="AE494" i="7"/>
  <c r="AE495" i="7"/>
  <c r="AE496" i="7"/>
  <c r="AE497" i="7"/>
  <c r="AE498" i="7"/>
  <c r="AE499" i="7"/>
  <c r="AE500" i="7"/>
  <c r="AE501" i="7"/>
  <c r="AE502" i="7"/>
  <c r="AE503" i="7"/>
  <c r="AE504" i="7"/>
  <c r="AE505" i="7"/>
  <c r="AE506" i="7"/>
  <c r="AE507" i="7"/>
  <c r="AE508" i="7"/>
  <c r="AE509" i="7"/>
  <c r="AE510" i="7"/>
  <c r="AE511" i="7"/>
  <c r="AE512" i="7"/>
  <c r="AE513" i="7"/>
  <c r="AE514" i="7"/>
  <c r="AE515" i="7"/>
  <c r="AE516" i="7"/>
  <c r="AE517" i="7"/>
  <c r="AE518" i="7"/>
  <c r="AE519" i="7"/>
  <c r="AE520" i="7"/>
  <c r="AE521" i="7"/>
  <c r="AE522" i="7"/>
  <c r="AE523" i="7"/>
  <c r="AE524" i="7"/>
  <c r="AE525" i="7"/>
  <c r="AE526" i="7"/>
  <c r="AE527" i="7"/>
  <c r="AE528" i="7"/>
  <c r="AE529" i="7"/>
  <c r="AE530" i="7"/>
  <c r="AE531" i="7"/>
  <c r="AE532" i="7"/>
  <c r="AE533" i="7"/>
  <c r="AE534" i="7"/>
  <c r="AE535" i="7"/>
  <c r="AE536" i="7"/>
  <c r="AE537" i="7"/>
  <c r="AE538" i="7"/>
  <c r="AE539" i="7"/>
  <c r="AE540" i="7"/>
  <c r="AE541" i="7"/>
  <c r="AE542" i="7"/>
  <c r="AE543" i="7"/>
  <c r="AE544" i="7"/>
  <c r="AE545" i="7"/>
  <c r="AE546" i="7"/>
  <c r="AE547" i="7"/>
  <c r="AE548" i="7"/>
  <c r="AE549" i="7"/>
  <c r="AE550" i="7"/>
  <c r="AE551" i="7"/>
  <c r="AE552" i="7"/>
  <c r="AE553" i="7"/>
  <c r="AE554" i="7"/>
  <c r="AE555" i="7"/>
  <c r="AE556" i="7"/>
  <c r="AE557" i="7"/>
  <c r="AE558" i="7"/>
  <c r="AE559" i="7"/>
  <c r="AE560" i="7"/>
  <c r="AE561" i="7"/>
  <c r="AE562" i="7"/>
  <c r="AE563" i="7"/>
  <c r="AE564" i="7"/>
  <c r="AE565" i="7"/>
  <c r="AE566" i="7"/>
  <c r="AE567" i="7"/>
  <c r="AE568" i="7"/>
  <c r="AE569" i="7"/>
  <c r="AE570" i="7"/>
  <c r="AE571" i="7"/>
  <c r="AE572" i="7"/>
  <c r="AE573" i="7"/>
  <c r="AE574" i="7"/>
  <c r="AE575" i="7"/>
  <c r="AE576" i="7"/>
  <c r="AE577" i="7"/>
  <c r="AE578" i="7"/>
  <c r="AE579" i="7"/>
  <c r="AE580" i="7"/>
  <c r="AE581" i="7"/>
  <c r="AE582" i="7"/>
  <c r="AE583" i="7"/>
  <c r="AE584" i="7"/>
  <c r="AE585" i="7"/>
  <c r="AE586" i="7"/>
  <c r="AE587" i="7"/>
  <c r="AE588" i="7"/>
  <c r="AE589" i="7"/>
  <c r="AE590" i="7"/>
  <c r="AE591" i="7"/>
  <c r="AE592" i="7"/>
  <c r="AE593" i="7"/>
  <c r="AE594" i="7"/>
  <c r="AE595" i="7"/>
  <c r="AE596" i="7"/>
  <c r="AE597" i="7"/>
  <c r="AE598" i="7"/>
  <c r="AE599" i="7"/>
  <c r="AE600" i="7"/>
  <c r="AE601" i="7"/>
  <c r="AE602" i="7"/>
  <c r="AE603" i="7"/>
  <c r="AE604" i="7"/>
  <c r="AE605" i="7"/>
  <c r="AE606" i="7"/>
  <c r="AE607" i="7"/>
  <c r="AE608" i="7"/>
  <c r="AE609" i="7"/>
  <c r="AE610" i="7"/>
  <c r="AE611" i="7"/>
  <c r="AE612" i="7"/>
  <c r="AE613" i="7"/>
  <c r="AE614" i="7"/>
  <c r="AE615" i="7"/>
  <c r="AE616" i="7"/>
  <c r="AE617" i="7"/>
  <c r="AE618" i="7"/>
  <c r="AE619" i="7"/>
  <c r="AE620" i="7"/>
  <c r="AE621" i="7"/>
  <c r="AE622" i="7"/>
  <c r="AE623" i="7"/>
  <c r="AE624" i="7"/>
  <c r="AE625" i="7"/>
  <c r="AE626" i="7"/>
  <c r="AE627" i="7"/>
  <c r="AE628" i="7"/>
  <c r="AE629" i="7"/>
  <c r="AE630" i="7"/>
  <c r="AE631" i="7"/>
  <c r="AE632" i="7"/>
  <c r="AE633" i="7"/>
  <c r="AE634" i="7"/>
  <c r="AE635" i="7"/>
  <c r="AE636" i="7"/>
  <c r="AE637" i="7"/>
  <c r="AE638" i="7"/>
  <c r="AE639" i="7"/>
  <c r="AE640" i="7"/>
  <c r="AE641" i="7"/>
  <c r="AE642" i="7"/>
  <c r="AE643" i="7"/>
  <c r="AE644" i="7"/>
  <c r="AE645" i="7"/>
  <c r="AE646" i="7"/>
  <c r="AE647" i="7"/>
  <c r="AE648" i="7"/>
  <c r="AE649" i="7"/>
  <c r="AE650" i="7"/>
  <c r="AE651" i="7"/>
  <c r="AE652" i="7"/>
  <c r="AE653" i="7"/>
  <c r="AE654" i="7"/>
  <c r="AE655" i="7"/>
  <c r="AE656" i="7"/>
  <c r="AE657" i="7"/>
  <c r="AE658" i="7"/>
  <c r="AE659" i="7"/>
  <c r="AE660" i="7"/>
  <c r="AE661" i="7"/>
  <c r="AE662" i="7"/>
  <c r="AE663" i="7"/>
  <c r="AE664" i="7"/>
  <c r="AE665" i="7"/>
  <c r="AE666" i="7"/>
  <c r="AE667" i="7"/>
  <c r="AE668" i="7"/>
  <c r="AE669" i="7"/>
  <c r="AE670" i="7"/>
  <c r="AE671" i="7"/>
  <c r="AE672" i="7"/>
  <c r="AE673" i="7"/>
  <c r="AE674" i="7"/>
  <c r="AE675" i="7"/>
  <c r="AE676" i="7"/>
  <c r="AE677" i="7"/>
  <c r="AE678" i="7"/>
  <c r="AE679" i="7"/>
  <c r="AE680" i="7"/>
  <c r="AE681" i="7"/>
  <c r="AE682" i="7"/>
  <c r="AE683" i="7"/>
  <c r="AE684" i="7"/>
  <c r="AE685" i="7"/>
  <c r="AE686" i="7"/>
  <c r="AE687" i="7"/>
  <c r="AE688" i="7"/>
  <c r="AE689" i="7"/>
  <c r="AE690" i="7"/>
  <c r="AE691" i="7"/>
  <c r="AE692" i="7"/>
  <c r="AE693" i="7"/>
  <c r="AE694" i="7"/>
  <c r="AE695" i="7"/>
  <c r="AE696" i="7"/>
  <c r="AE697" i="7"/>
  <c r="AE698" i="7"/>
  <c r="AE699" i="7"/>
  <c r="AE700" i="7"/>
  <c r="AE701" i="7"/>
  <c r="AE702" i="7"/>
  <c r="AE703" i="7"/>
  <c r="AE704" i="7"/>
  <c r="AE705" i="7"/>
  <c r="AE706" i="7"/>
  <c r="AE707" i="7"/>
  <c r="AE708" i="7"/>
  <c r="AE709" i="7"/>
  <c r="AE710" i="7"/>
  <c r="AE711" i="7"/>
  <c r="AE712" i="7"/>
  <c r="AE713" i="7"/>
  <c r="AE2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4" i="7"/>
  <c r="Y305" i="7"/>
  <c r="Y306" i="7"/>
  <c r="Y307" i="7"/>
  <c r="Y308" i="7"/>
  <c r="Y309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Y339" i="7"/>
  <c r="Y340" i="7"/>
  <c r="Y341" i="7"/>
  <c r="Y342" i="7"/>
  <c r="Y343" i="7"/>
  <c r="Y344" i="7"/>
  <c r="Y345" i="7"/>
  <c r="Y346" i="7"/>
  <c r="Y347" i="7"/>
  <c r="Y348" i="7"/>
  <c r="Y349" i="7"/>
  <c r="Y350" i="7"/>
  <c r="Y351" i="7"/>
  <c r="Y352" i="7"/>
  <c r="Y353" i="7"/>
  <c r="Y354" i="7"/>
  <c r="Y355" i="7"/>
  <c r="Y356" i="7"/>
  <c r="Y357" i="7"/>
  <c r="Y358" i="7"/>
  <c r="Y359" i="7"/>
  <c r="Y360" i="7"/>
  <c r="Y361" i="7"/>
  <c r="Y362" i="7"/>
  <c r="Y363" i="7"/>
  <c r="Y364" i="7"/>
  <c r="Y365" i="7"/>
  <c r="Y366" i="7"/>
  <c r="Y367" i="7"/>
  <c r="Y368" i="7"/>
  <c r="Y369" i="7"/>
  <c r="Y370" i="7"/>
  <c r="Y371" i="7"/>
  <c r="Y372" i="7"/>
  <c r="Y373" i="7"/>
  <c r="Y374" i="7"/>
  <c r="Y375" i="7"/>
  <c r="Y376" i="7"/>
  <c r="Y377" i="7"/>
  <c r="Y378" i="7"/>
  <c r="Y379" i="7"/>
  <c r="Y380" i="7"/>
  <c r="Y381" i="7"/>
  <c r="Y382" i="7"/>
  <c r="Y383" i="7"/>
  <c r="Y384" i="7"/>
  <c r="Y385" i="7"/>
  <c r="Y386" i="7"/>
  <c r="Y387" i="7"/>
  <c r="Y388" i="7"/>
  <c r="Y389" i="7"/>
  <c r="Y390" i="7"/>
  <c r="Y391" i="7"/>
  <c r="Y392" i="7"/>
  <c r="Y393" i="7"/>
  <c r="Y394" i="7"/>
  <c r="Y395" i="7"/>
  <c r="Y396" i="7"/>
  <c r="Y397" i="7"/>
  <c r="Y398" i="7"/>
  <c r="Y399" i="7"/>
  <c r="Y400" i="7"/>
  <c r="Y401" i="7"/>
  <c r="Y402" i="7"/>
  <c r="Y403" i="7"/>
  <c r="Y404" i="7"/>
  <c r="Y405" i="7"/>
  <c r="Y406" i="7"/>
  <c r="Y407" i="7"/>
  <c r="Y408" i="7"/>
  <c r="Y409" i="7"/>
  <c r="Y410" i="7"/>
  <c r="Y411" i="7"/>
  <c r="Y412" i="7"/>
  <c r="Y413" i="7"/>
  <c r="Y414" i="7"/>
  <c r="Y415" i="7"/>
  <c r="Y416" i="7"/>
  <c r="Y417" i="7"/>
  <c r="Y418" i="7"/>
  <c r="Y419" i="7"/>
  <c r="Y420" i="7"/>
  <c r="Y421" i="7"/>
  <c r="Y422" i="7"/>
  <c r="Y423" i="7"/>
  <c r="Y424" i="7"/>
  <c r="Y425" i="7"/>
  <c r="Y426" i="7"/>
  <c r="Y427" i="7"/>
  <c r="Y428" i="7"/>
  <c r="Y429" i="7"/>
  <c r="Y430" i="7"/>
  <c r="Y431" i="7"/>
  <c r="Y432" i="7"/>
  <c r="Y433" i="7"/>
  <c r="Y434" i="7"/>
  <c r="Y435" i="7"/>
  <c r="Y436" i="7"/>
  <c r="Y437" i="7"/>
  <c r="Y438" i="7"/>
  <c r="Y439" i="7"/>
  <c r="Y440" i="7"/>
  <c r="Y441" i="7"/>
  <c r="Y442" i="7"/>
  <c r="Y443" i="7"/>
  <c r="Y444" i="7"/>
  <c r="Y445" i="7"/>
  <c r="Y446" i="7"/>
  <c r="Y447" i="7"/>
  <c r="Y448" i="7"/>
  <c r="Y449" i="7"/>
  <c r="Y450" i="7"/>
  <c r="Y451" i="7"/>
  <c r="Y452" i="7"/>
  <c r="Y453" i="7"/>
  <c r="Y454" i="7"/>
  <c r="Y455" i="7"/>
  <c r="Y456" i="7"/>
  <c r="Y457" i="7"/>
  <c r="Y458" i="7"/>
  <c r="Y459" i="7"/>
  <c r="Y460" i="7"/>
  <c r="Y461" i="7"/>
  <c r="Y462" i="7"/>
  <c r="Y463" i="7"/>
  <c r="Y464" i="7"/>
  <c r="Y465" i="7"/>
  <c r="Y466" i="7"/>
  <c r="Y467" i="7"/>
  <c r="Y468" i="7"/>
  <c r="Y469" i="7"/>
  <c r="Y470" i="7"/>
  <c r="Y471" i="7"/>
  <c r="Y472" i="7"/>
  <c r="Y473" i="7"/>
  <c r="Y474" i="7"/>
  <c r="Y475" i="7"/>
  <c r="Y476" i="7"/>
  <c r="Y477" i="7"/>
  <c r="Y478" i="7"/>
  <c r="Y479" i="7"/>
  <c r="Y480" i="7"/>
  <c r="Y481" i="7"/>
  <c r="Y482" i="7"/>
  <c r="Y483" i="7"/>
  <c r="Y484" i="7"/>
  <c r="Y485" i="7"/>
  <c r="Y486" i="7"/>
  <c r="Y487" i="7"/>
  <c r="Y488" i="7"/>
  <c r="Y489" i="7"/>
  <c r="Y490" i="7"/>
  <c r="Y491" i="7"/>
  <c r="Y492" i="7"/>
  <c r="Y493" i="7"/>
  <c r="Y494" i="7"/>
  <c r="Y495" i="7"/>
  <c r="Y496" i="7"/>
  <c r="Y497" i="7"/>
  <c r="Y498" i="7"/>
  <c r="Y499" i="7"/>
  <c r="Y500" i="7"/>
  <c r="Y501" i="7"/>
  <c r="Y502" i="7"/>
  <c r="Y503" i="7"/>
  <c r="Y504" i="7"/>
  <c r="Y505" i="7"/>
  <c r="Y506" i="7"/>
  <c r="Y507" i="7"/>
  <c r="Y508" i="7"/>
  <c r="Y509" i="7"/>
  <c r="Y510" i="7"/>
  <c r="Y511" i="7"/>
  <c r="Y512" i="7"/>
  <c r="Y513" i="7"/>
  <c r="Y514" i="7"/>
  <c r="Y515" i="7"/>
  <c r="Y516" i="7"/>
  <c r="Y517" i="7"/>
  <c r="Y518" i="7"/>
  <c r="Y519" i="7"/>
  <c r="Y520" i="7"/>
  <c r="Y521" i="7"/>
  <c r="Y522" i="7"/>
  <c r="Y523" i="7"/>
  <c r="Y524" i="7"/>
  <c r="Y525" i="7"/>
  <c r="Y526" i="7"/>
  <c r="Y527" i="7"/>
  <c r="Y528" i="7"/>
  <c r="Y529" i="7"/>
  <c r="Y530" i="7"/>
  <c r="Y531" i="7"/>
  <c r="Y532" i="7"/>
  <c r="Y533" i="7"/>
  <c r="Y534" i="7"/>
  <c r="Y535" i="7"/>
  <c r="Y536" i="7"/>
  <c r="Y537" i="7"/>
  <c r="Y538" i="7"/>
  <c r="Y539" i="7"/>
  <c r="Y540" i="7"/>
  <c r="Y541" i="7"/>
  <c r="Y542" i="7"/>
  <c r="Y543" i="7"/>
  <c r="Y544" i="7"/>
  <c r="Y545" i="7"/>
  <c r="Y546" i="7"/>
  <c r="Y547" i="7"/>
  <c r="Y548" i="7"/>
  <c r="Y549" i="7"/>
  <c r="Y550" i="7"/>
  <c r="Y551" i="7"/>
  <c r="Y552" i="7"/>
  <c r="Y553" i="7"/>
  <c r="Y554" i="7"/>
  <c r="Y555" i="7"/>
  <c r="Y556" i="7"/>
  <c r="Y557" i="7"/>
  <c r="Y558" i="7"/>
  <c r="Y559" i="7"/>
  <c r="Y560" i="7"/>
  <c r="Y561" i="7"/>
  <c r="Y562" i="7"/>
  <c r="Y563" i="7"/>
  <c r="Y564" i="7"/>
  <c r="Y565" i="7"/>
  <c r="Y566" i="7"/>
  <c r="Y567" i="7"/>
  <c r="Y568" i="7"/>
  <c r="Y569" i="7"/>
  <c r="Y570" i="7"/>
  <c r="Y571" i="7"/>
  <c r="Y572" i="7"/>
  <c r="Y573" i="7"/>
  <c r="Y574" i="7"/>
  <c r="Y575" i="7"/>
  <c r="Y576" i="7"/>
  <c r="Y577" i="7"/>
  <c r="Y578" i="7"/>
  <c r="Y579" i="7"/>
  <c r="Y580" i="7"/>
  <c r="Y581" i="7"/>
  <c r="Y582" i="7"/>
  <c r="Y583" i="7"/>
  <c r="Y584" i="7"/>
  <c r="Y585" i="7"/>
  <c r="Y586" i="7"/>
  <c r="Y587" i="7"/>
  <c r="Y588" i="7"/>
  <c r="Y589" i="7"/>
  <c r="Y590" i="7"/>
  <c r="Y591" i="7"/>
  <c r="Y592" i="7"/>
  <c r="Y593" i="7"/>
  <c r="Y594" i="7"/>
  <c r="Y595" i="7"/>
  <c r="Y596" i="7"/>
  <c r="Y597" i="7"/>
  <c r="Y598" i="7"/>
  <c r="Y599" i="7"/>
  <c r="Y600" i="7"/>
  <c r="Y601" i="7"/>
  <c r="Y602" i="7"/>
  <c r="Y603" i="7"/>
  <c r="Y604" i="7"/>
  <c r="Y605" i="7"/>
  <c r="Y606" i="7"/>
  <c r="Y607" i="7"/>
  <c r="Y608" i="7"/>
  <c r="Y609" i="7"/>
  <c r="Y610" i="7"/>
  <c r="Y611" i="7"/>
  <c r="Y612" i="7"/>
  <c r="Y613" i="7"/>
  <c r="Y614" i="7"/>
  <c r="Y615" i="7"/>
  <c r="Y616" i="7"/>
  <c r="Y617" i="7"/>
  <c r="Y618" i="7"/>
  <c r="Y619" i="7"/>
  <c r="Y620" i="7"/>
  <c r="Y621" i="7"/>
  <c r="Y622" i="7"/>
  <c r="Y623" i="7"/>
  <c r="Y624" i="7"/>
  <c r="Y625" i="7"/>
  <c r="Y626" i="7"/>
  <c r="Y627" i="7"/>
  <c r="Y628" i="7"/>
  <c r="Y629" i="7"/>
  <c r="Y630" i="7"/>
  <c r="Y631" i="7"/>
  <c r="Y632" i="7"/>
  <c r="Y633" i="7"/>
  <c r="Y634" i="7"/>
  <c r="Y635" i="7"/>
  <c r="Y636" i="7"/>
  <c r="Y637" i="7"/>
  <c r="Y638" i="7"/>
  <c r="Y639" i="7"/>
  <c r="Y640" i="7"/>
  <c r="Y641" i="7"/>
  <c r="Y642" i="7"/>
  <c r="Y643" i="7"/>
  <c r="Y644" i="7"/>
  <c r="Y645" i="7"/>
  <c r="Y646" i="7"/>
  <c r="Y647" i="7"/>
  <c r="Y648" i="7"/>
  <c r="Y649" i="7"/>
  <c r="Y650" i="7"/>
  <c r="Y651" i="7"/>
  <c r="Y652" i="7"/>
  <c r="Y653" i="7"/>
  <c r="Y654" i="7"/>
  <c r="Y655" i="7"/>
  <c r="Y656" i="7"/>
  <c r="Y657" i="7"/>
  <c r="Y658" i="7"/>
  <c r="Y659" i="7"/>
  <c r="Y660" i="7"/>
  <c r="Y661" i="7"/>
  <c r="Y662" i="7"/>
  <c r="Y663" i="7"/>
  <c r="Y664" i="7"/>
  <c r="Y665" i="7"/>
  <c r="Y666" i="7"/>
  <c r="Y667" i="7"/>
  <c r="Y668" i="7"/>
  <c r="Y669" i="7"/>
  <c r="Y670" i="7"/>
  <c r="Y671" i="7"/>
  <c r="Y672" i="7"/>
  <c r="Y673" i="7"/>
  <c r="Y674" i="7"/>
  <c r="Y675" i="7"/>
  <c r="Y676" i="7"/>
  <c r="Y677" i="7"/>
  <c r="Y678" i="7"/>
  <c r="Y679" i="7"/>
  <c r="Y680" i="7"/>
  <c r="Y681" i="7"/>
  <c r="Y682" i="7"/>
  <c r="Y683" i="7"/>
  <c r="Y684" i="7"/>
  <c r="Y685" i="7"/>
  <c r="Y686" i="7"/>
  <c r="Y687" i="7"/>
  <c r="Y688" i="7"/>
  <c r="Y689" i="7"/>
  <c r="Y690" i="7"/>
  <c r="Y691" i="7"/>
  <c r="Y692" i="7"/>
  <c r="Y693" i="7"/>
  <c r="Y694" i="7"/>
  <c r="Y695" i="7"/>
  <c r="Y696" i="7"/>
  <c r="Y697" i="7"/>
  <c r="Y698" i="7"/>
  <c r="Y699" i="7"/>
  <c r="Y700" i="7"/>
  <c r="Y701" i="7"/>
  <c r="Y702" i="7"/>
  <c r="Y703" i="7"/>
  <c r="Y704" i="7"/>
  <c r="Y705" i="7"/>
  <c r="Y706" i="7"/>
  <c r="Y707" i="7"/>
  <c r="Y708" i="7"/>
  <c r="Y709" i="7"/>
  <c r="Y710" i="7"/>
  <c r="Y711" i="7"/>
  <c r="Y712" i="7"/>
  <c r="Y713" i="7"/>
  <c r="Y2" i="7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</calcChain>
</file>

<file path=xl/sharedStrings.xml><?xml version="1.0" encoding="utf-8"?>
<sst xmlns="http://schemas.openxmlformats.org/spreadsheetml/2006/main" count="19848" uniqueCount="443">
  <si>
    <t>MethodCode</t>
  </si>
  <si>
    <t>SampleDate</t>
  </si>
  <si>
    <t>SampleTime</t>
  </si>
  <si>
    <t>StationCode</t>
  </si>
  <si>
    <t>Depth (ft)</t>
  </si>
  <si>
    <t>Volume Received (mL)</t>
  </si>
  <si>
    <t>Volume Analyzed (mL)</t>
  </si>
  <si>
    <t>Percent of Sample Counted</t>
  </si>
  <si>
    <t>Field-of-view (mm²)</t>
  </si>
  <si>
    <t>Slide/ Chamber Area (mm²)</t>
  </si>
  <si>
    <t>Area Counted</t>
  </si>
  <si>
    <t>Number of Fields Counted</t>
  </si>
  <si>
    <t>Factor</t>
  </si>
  <si>
    <t>BSA_TIN</t>
  </si>
  <si>
    <t>Taxon</t>
  </si>
  <si>
    <t>Diatom/SoftBody</t>
  </si>
  <si>
    <t>Genus</t>
  </si>
  <si>
    <t>Species</t>
  </si>
  <si>
    <t>Synonym</t>
  </si>
  <si>
    <t>Unit Abundance</t>
  </si>
  <si>
    <t>Number of cells per unit</t>
  </si>
  <si>
    <t>GALD 1</t>
  </si>
  <si>
    <t>GALD 2</t>
  </si>
  <si>
    <t>GALD 3</t>
  </si>
  <si>
    <t>Organisms per mL</t>
  </si>
  <si>
    <t>Colony/Filament/Individual Group Code</t>
  </si>
  <si>
    <t>BSA#</t>
  </si>
  <si>
    <t>Taxonomist</t>
  </si>
  <si>
    <t>Comments</t>
  </si>
  <si>
    <t>Shape</t>
  </si>
  <si>
    <t>Biovolume 1</t>
  </si>
  <si>
    <t>Biovolume 2</t>
  </si>
  <si>
    <t>Biovolume 3</t>
  </si>
  <si>
    <t>Biovolume 4</t>
  </si>
  <si>
    <t>Biovolume 5</t>
  </si>
  <si>
    <t>Biovolume 6</t>
  </si>
  <si>
    <t>Biovolume 7</t>
  </si>
  <si>
    <t>Biovolume 8</t>
  </si>
  <si>
    <t>Biovolume 9</t>
  </si>
  <si>
    <t>Biovolume 10</t>
  </si>
  <si>
    <t>Dimension</t>
  </si>
  <si>
    <t>Measurement average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</si>
  <si>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</si>
  <si>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</si>
  <si>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</si>
  <si>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</si>
  <si>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</si>
  <si>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</si>
  <si>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</si>
  <si>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</si>
  <si>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</si>
  <si>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</si>
  <si>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</si>
  <si>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</si>
  <si>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</si>
  <si>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</si>
  <si>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</si>
  <si>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</si>
  <si>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</si>
  <si>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</si>
  <si>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</si>
  <si>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</si>
  <si>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</si>
  <si>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</si>
  <si>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</si>
  <si>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</si>
  <si>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</si>
  <si>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Phyto</t>
  </si>
  <si>
    <t>LH-SAV-1</t>
  </si>
  <si>
    <t>Cocconeis placentula</t>
  </si>
  <si>
    <t>Diatom</t>
  </si>
  <si>
    <t>Cocconeis</t>
  </si>
  <si>
    <t>placentula</t>
  </si>
  <si>
    <t>i</t>
  </si>
  <si>
    <t>BSA.YOLO-01</t>
  </si>
  <si>
    <t>CT</t>
  </si>
  <si>
    <t>Moderate sediment and detritus.</t>
  </si>
  <si>
    <t>elliptic prism</t>
  </si>
  <si>
    <t>Length</t>
  </si>
  <si>
    <t>Width</t>
  </si>
  <si>
    <t>Depth</t>
  </si>
  <si>
    <t>Chlamydomonas sp.</t>
  </si>
  <si>
    <t>Soft Body</t>
  </si>
  <si>
    <t>Chlamydomonas</t>
  </si>
  <si>
    <t>sp.</t>
  </si>
  <si>
    <t>sphere</t>
  </si>
  <si>
    <t>Chlorella sp.</t>
  </si>
  <si>
    <t>Chlorella</t>
  </si>
  <si>
    <t>Plagioselmis nannoplanctica</t>
  </si>
  <si>
    <t>Plagioselmis</t>
  </si>
  <si>
    <t>nannoplanctica</t>
  </si>
  <si>
    <t>cone + half sphere</t>
  </si>
  <si>
    <t>Plagioselmis prolonga</t>
  </si>
  <si>
    <t>prolonga</t>
  </si>
  <si>
    <t>Chroococcus microscopicus</t>
  </si>
  <si>
    <t>Chroococcus</t>
  </si>
  <si>
    <t>microscopicus</t>
  </si>
  <si>
    <t>c</t>
  </si>
  <si>
    <t>Chroococcus minimus</t>
  </si>
  <si>
    <t>minimus</t>
  </si>
  <si>
    <t>BSA.YOLO-02</t>
  </si>
  <si>
    <t xml:space="preserve">Moderate sediment and low detritus. </t>
  </si>
  <si>
    <t>cf. Cyclotella sp.</t>
  </si>
  <si>
    <t>Cyclotella</t>
  </si>
  <si>
    <t>cylinder</t>
  </si>
  <si>
    <t>Geissleria decussis</t>
  </si>
  <si>
    <t>Geissleria</t>
  </si>
  <si>
    <t>decussis</t>
  </si>
  <si>
    <t>LH-WAT-1</t>
  </si>
  <si>
    <t>Achnanthidium sp.</t>
  </si>
  <si>
    <t>Achnanthidium</t>
  </si>
  <si>
    <t>BSA.YOLO-03</t>
  </si>
  <si>
    <t>Low sediment and detritus.</t>
  </si>
  <si>
    <t>LH-SAV-2</t>
  </si>
  <si>
    <t>BSA.YOLO-04</t>
  </si>
  <si>
    <t xml:space="preserve">Low sediment and detritus. </t>
  </si>
  <si>
    <t>FC-WAT-2</t>
  </si>
  <si>
    <t>BSA.YOLO-05</t>
  </si>
  <si>
    <t>Cryptomonas sp.</t>
  </si>
  <si>
    <t>Cryptomonas</t>
  </si>
  <si>
    <t>prolate spheroid</t>
  </si>
  <si>
    <t>Rhodomonas lacustris</t>
  </si>
  <si>
    <t>Rhodomonas</t>
  </si>
  <si>
    <t>lacustris</t>
  </si>
  <si>
    <t>FC-SAV-1</t>
  </si>
  <si>
    <t>BSA.YOLO-06</t>
  </si>
  <si>
    <t>Monoraphidium tortile</t>
  </si>
  <si>
    <t>Monoraphidium</t>
  </si>
  <si>
    <t>tortile</t>
  </si>
  <si>
    <t>2 cones</t>
  </si>
  <si>
    <t>Chroococcus minutus</t>
  </si>
  <si>
    <t>minutus</t>
  </si>
  <si>
    <t>Pseudanabaena sp.</t>
  </si>
  <si>
    <t>Pseudanabaena</t>
  </si>
  <si>
    <t>f</t>
  </si>
  <si>
    <t>FC-SAV-2</t>
  </si>
  <si>
    <t>BSA.YOLO-07</t>
  </si>
  <si>
    <t>Skeletonema potamos</t>
  </si>
  <si>
    <t>Skeletonema</t>
  </si>
  <si>
    <t>potamos</t>
  </si>
  <si>
    <t>cylinder + 2 half spheres</t>
  </si>
  <si>
    <t>DI_SAV_2</t>
  </si>
  <si>
    <t>Cocconeis sp.</t>
  </si>
  <si>
    <t>BSA.YOLO-08</t>
  </si>
  <si>
    <t>LH-WAT-2</t>
  </si>
  <si>
    <t>BSA.YOLO-09</t>
  </si>
  <si>
    <t>Navicula sp.</t>
  </si>
  <si>
    <t>Navicula</t>
  </si>
  <si>
    <t>Peridinium sp.</t>
  </si>
  <si>
    <t>Peridinium</t>
  </si>
  <si>
    <t>ellipsoid</t>
  </si>
  <si>
    <t>Strobilidium sp.</t>
  </si>
  <si>
    <t>Ciliophora</t>
  </si>
  <si>
    <t>Strobilidium</t>
  </si>
  <si>
    <t>DI_SAV_1</t>
  </si>
  <si>
    <t>BSA.YOLO-10</t>
  </si>
  <si>
    <t>cf. Synechococcus sp.</t>
  </si>
  <si>
    <t>Synechococcus</t>
  </si>
  <si>
    <t>FI-WAT-2</t>
  </si>
  <si>
    <t>BSA.YOLO-11</t>
  </si>
  <si>
    <t>Moderate sediment and low detritus.</t>
  </si>
  <si>
    <t>cf. Westella sp.</t>
  </si>
  <si>
    <t>Westella</t>
  </si>
  <si>
    <t>cf. Chroococcus sp.</t>
  </si>
  <si>
    <t>BSA.YOLO-12</t>
  </si>
  <si>
    <t>LH_WAT_1</t>
  </si>
  <si>
    <t>BSA.YOLO-13</t>
  </si>
  <si>
    <t>Ulnaria sp.</t>
  </si>
  <si>
    <t>Ulnaria</t>
  </si>
  <si>
    <t>Fragment. Moderate sediment and detritus.</t>
  </si>
  <si>
    <t>FI-WAT-1</t>
  </si>
  <si>
    <t>BSA.YOLO-14</t>
  </si>
  <si>
    <t>cf. Chlamydomonas sp.</t>
  </si>
  <si>
    <t>FI-SAV-2</t>
  </si>
  <si>
    <t>BSA.YOLO-15</t>
  </si>
  <si>
    <t>Low sediment and detritus. Many broken diatoms. Ciliates observed.</t>
  </si>
  <si>
    <t>Sphaerocystis planctonica</t>
  </si>
  <si>
    <t>Sphaerocystis</t>
  </si>
  <si>
    <t>planctonica</t>
  </si>
  <si>
    <t>cf. Kephyrion sp.</t>
  </si>
  <si>
    <t>Kephyrion</t>
  </si>
  <si>
    <t>LH_SAV_2</t>
  </si>
  <si>
    <t>BSA.YOLO-16</t>
  </si>
  <si>
    <t>Chroococcus planctonicus</t>
  </si>
  <si>
    <t>planctonicus</t>
  </si>
  <si>
    <t>Pseudanabaena limnetica</t>
  </si>
  <si>
    <t>limnetica</t>
  </si>
  <si>
    <t>LH_SAV_1</t>
  </si>
  <si>
    <t>BSA.YOLO-17</t>
  </si>
  <si>
    <t>FI-SAV-1</t>
  </si>
  <si>
    <t>Nitzschia sp.</t>
  </si>
  <si>
    <t>Nitzschia</t>
  </si>
  <si>
    <t>BSA.YOLO-18</t>
  </si>
  <si>
    <t>prism on parallelogram</t>
  </si>
  <si>
    <t>FI_WAT_2</t>
  </si>
  <si>
    <t>BSA.YOLO-19</t>
  </si>
  <si>
    <t>BSA.YOLO-20</t>
  </si>
  <si>
    <t>Lagerheimia genevensis</t>
  </si>
  <si>
    <t>Lagerheimia</t>
  </si>
  <si>
    <t>genevensis</t>
  </si>
  <si>
    <t>FC-WAT-1</t>
  </si>
  <si>
    <t>BSA.YOLO-21</t>
  </si>
  <si>
    <t>FI_WAT_1</t>
  </si>
  <si>
    <t>BSA.YOLO-22</t>
  </si>
  <si>
    <t>FI_SAV_2</t>
  </si>
  <si>
    <t>BSA.YOLO-23</t>
  </si>
  <si>
    <t>cf. Chrysochromulina sp.</t>
  </si>
  <si>
    <t>Chrysochromulina</t>
  </si>
  <si>
    <t>BSA.YOLO-24</t>
  </si>
  <si>
    <t>FI_SAV_1</t>
  </si>
  <si>
    <t>BSA.YOLO-25</t>
  </si>
  <si>
    <t>BSA.YOLO-26</t>
  </si>
  <si>
    <t>Actinastrum hantzschii</t>
  </si>
  <si>
    <t>Actinastrum</t>
  </si>
  <si>
    <t>hantzschii</t>
  </si>
  <si>
    <t>cylinder + 2 cones</t>
  </si>
  <si>
    <t>Scenedesmus sp.</t>
  </si>
  <si>
    <t>Scenedesmus</t>
  </si>
  <si>
    <t>BSA.YOLO-27</t>
  </si>
  <si>
    <t>DI-WAT-2</t>
  </si>
  <si>
    <t>BSA.YOLO-28</t>
  </si>
  <si>
    <t>Moderate sediment and detritus. Many broken diatoms.</t>
  </si>
  <si>
    <t>DI-WAT-1</t>
  </si>
  <si>
    <t>BSA.YOLO-29</t>
  </si>
  <si>
    <t>DI-SAV-2</t>
  </si>
  <si>
    <t>BSA.YOLO-30</t>
  </si>
  <si>
    <t>DI-SAV-1</t>
  </si>
  <si>
    <t>BSA.YOLO-31</t>
  </si>
  <si>
    <t>BSA.YOLO-32</t>
  </si>
  <si>
    <t>cf. Skeletonema sp.</t>
  </si>
  <si>
    <t>BSA.YOLO-33</t>
  </si>
  <si>
    <t>BSA.YOLO-34</t>
  </si>
  <si>
    <t>cf. Ochromonas sp.</t>
  </si>
  <si>
    <t>Ochromonas</t>
  </si>
  <si>
    <t>cf. Planktolyngbya sp.</t>
  </si>
  <si>
    <t>Planktolyngbya</t>
  </si>
  <si>
    <t>FC_SAV_1</t>
  </si>
  <si>
    <t>Aulacoseira granulata</t>
  </si>
  <si>
    <t>Aulacoseira</t>
  </si>
  <si>
    <t>granulata</t>
  </si>
  <si>
    <t>BSA.YOLO-35</t>
  </si>
  <si>
    <t xml:space="preserve">Fragment. Moderate sediment and detritus. Many broken diatoms. </t>
  </si>
  <si>
    <t>BSA.YOLO-36</t>
  </si>
  <si>
    <t>cf. Chlorella sp.</t>
  </si>
  <si>
    <t>BSA.YOLO-37</t>
  </si>
  <si>
    <t>FC_WAT_2</t>
  </si>
  <si>
    <t>BSA.YOLO-38</t>
  </si>
  <si>
    <t>FC_WAT_1</t>
  </si>
  <si>
    <t>BSA.YOLO-39</t>
  </si>
  <si>
    <t>BSA.YOLO-40</t>
  </si>
  <si>
    <t>Moderate sediment and high detritus. Many broken diatoms.</t>
  </si>
  <si>
    <t>cf. Ankistrodesmus sp.</t>
  </si>
  <si>
    <t>Ankistrodesmus</t>
  </si>
  <si>
    <t>BSA.YOLO-41</t>
  </si>
  <si>
    <t>BSA.YOLO-42</t>
  </si>
  <si>
    <t>BSA.YOLO-43</t>
  </si>
  <si>
    <t>DI_WAT_1</t>
  </si>
  <si>
    <t>BSA.YOLO-44</t>
  </si>
  <si>
    <t xml:space="preserve">High sediment and moderate detritus. </t>
  </si>
  <si>
    <t>BSA.YOLO-45</t>
  </si>
  <si>
    <t>BSA.YOLO-46</t>
  </si>
  <si>
    <t>cf. Nitzschia sp.</t>
  </si>
  <si>
    <t>BSA.YOLO-47</t>
  </si>
  <si>
    <t>BSA.YOLO-48</t>
  </si>
  <si>
    <t>Fragment. Moderate sediment and detritus. Many broken diatoms.</t>
  </si>
  <si>
    <t>BSA.YOLO-49</t>
  </si>
  <si>
    <t>Achnanthidium minutissimum</t>
  </si>
  <si>
    <t>minutissimum</t>
  </si>
  <si>
    <t>BSA.YOLO-50</t>
  </si>
  <si>
    <t>BSA.YOLO-51</t>
  </si>
  <si>
    <t>Nitzschia palea</t>
  </si>
  <si>
    <t>palea</t>
  </si>
  <si>
    <t>Pseudanabaena cf. galeata</t>
  </si>
  <si>
    <t>galeata</t>
  </si>
  <si>
    <t>BSA.YOLO-52</t>
  </si>
  <si>
    <t>cf. Psammothidium sp.</t>
  </si>
  <si>
    <t>Psammothidium</t>
  </si>
  <si>
    <t>BSA.YOLO-53</t>
  </si>
  <si>
    <t>DI_WAT_2</t>
  </si>
  <si>
    <t>BSA.YOLO-54</t>
  </si>
  <si>
    <t>BSA.YOLO-55</t>
  </si>
  <si>
    <t>Low sediment and detritus. Many broken diatoms.</t>
  </si>
  <si>
    <t>Monoraphidium convolutum</t>
  </si>
  <si>
    <t>convolutum</t>
  </si>
  <si>
    <t>BSA.YOLO-56</t>
  </si>
  <si>
    <t>BSA.YOLO-57</t>
  </si>
  <si>
    <t>High sediment and moderate detritus.</t>
  </si>
  <si>
    <t>Drepanochloris nannoselene</t>
  </si>
  <si>
    <t>Drepanochloris</t>
  </si>
  <si>
    <t>nannoselene</t>
  </si>
  <si>
    <t>BSA.YOLO-58</t>
  </si>
  <si>
    <t>cf. Encyonema sp.</t>
  </si>
  <si>
    <t>Encyonema</t>
  </si>
  <si>
    <t>cymbelloid</t>
  </si>
  <si>
    <t>Synechococcus sp.</t>
  </si>
  <si>
    <t>BSA.YOLO-59</t>
  </si>
  <si>
    <t>Cyclotella sp.</t>
  </si>
  <si>
    <t>BSA.YOLO-60</t>
  </si>
  <si>
    <t>BSA.YOLO-61</t>
  </si>
  <si>
    <t>BSA.YOLO-62</t>
  </si>
  <si>
    <t>BSA.YOLO-63</t>
  </si>
  <si>
    <t>Snowella sp.</t>
  </si>
  <si>
    <t>Snowella</t>
  </si>
  <si>
    <t>BSA.YOLO-64</t>
  </si>
  <si>
    <t>cf. Plagioselmis prolonga</t>
  </si>
  <si>
    <t>BSA.YOLO-65</t>
  </si>
  <si>
    <t>FC_SAV_2</t>
  </si>
  <si>
    <t>BSA.YOLO-66</t>
  </si>
  <si>
    <t>BSA.YOLO-67</t>
  </si>
  <si>
    <t>Coelastrum microporum</t>
  </si>
  <si>
    <t>Coelastrum</t>
  </si>
  <si>
    <t>microporum</t>
  </si>
  <si>
    <t>cf. Planktothrix sp.</t>
  </si>
  <si>
    <t>Planktothrix</t>
  </si>
  <si>
    <t>BSA.YOLO-68</t>
  </si>
  <si>
    <t>BSA.YOLO-69</t>
  </si>
  <si>
    <t>BSA.YOLO-70</t>
  </si>
  <si>
    <t>BSA.YOLO-71</t>
  </si>
  <si>
    <t>Merismopedia tenuissima</t>
  </si>
  <si>
    <t>Merismopedia</t>
  </si>
  <si>
    <t>tenuissima</t>
  </si>
  <si>
    <t>cube</t>
  </si>
  <si>
    <t>BSA.YOLO-72</t>
  </si>
  <si>
    <t>BSA.YOLO-73</t>
  </si>
  <si>
    <t xml:space="preserve">Moderate sediment and detritus. </t>
  </si>
  <si>
    <t>BSA.YOLO-74</t>
  </si>
  <si>
    <t>BSA.YOLO-75</t>
  </si>
  <si>
    <t>BSA.YOLO-76</t>
  </si>
  <si>
    <t xml:space="preserve">Moderate sediment and high detritus. </t>
  </si>
  <si>
    <t>BSA.YOLO-77</t>
  </si>
  <si>
    <t>High sediment and moderate detritus. Many broken diatoms.</t>
  </si>
  <si>
    <t>BSA.YOLO-78</t>
  </si>
  <si>
    <t>BSA.YOLO-79</t>
  </si>
  <si>
    <t>BSA.YOLO-80</t>
  </si>
  <si>
    <t>BSA.YOLO-81</t>
  </si>
  <si>
    <t>BSA.YOLO-82</t>
  </si>
  <si>
    <t>BSA.YOLO-83</t>
  </si>
  <si>
    <t>BSA.YOLO-84</t>
  </si>
  <si>
    <t>cf. Pseudostaurosira sp.</t>
  </si>
  <si>
    <t>Pseudostaurosira</t>
  </si>
  <si>
    <t>box</t>
  </si>
  <si>
    <t>BSA.YOLO-85</t>
  </si>
  <si>
    <t>BSA.YOLO-86</t>
  </si>
  <si>
    <t>Gomphonema sp.</t>
  </si>
  <si>
    <t>Gomphonema</t>
  </si>
  <si>
    <t>BSA.YOLO-87</t>
  </si>
  <si>
    <t>gomphonemoid</t>
  </si>
  <si>
    <t>E</t>
  </si>
  <si>
    <t>F</t>
  </si>
  <si>
    <t>BSA.YOLO-88</t>
  </si>
  <si>
    <t>BSA.YOLO-89</t>
  </si>
  <si>
    <t>Epithemia turgida</t>
  </si>
  <si>
    <t>Epithemia</t>
  </si>
  <si>
    <t>turgida</t>
  </si>
  <si>
    <t>BSA.YOLO-90</t>
  </si>
  <si>
    <t>Trachelomonas sp.</t>
  </si>
  <si>
    <t>Trachelomonas</t>
  </si>
  <si>
    <t>BSA.YOLO-91</t>
  </si>
  <si>
    <t>BSA.YOLO-92</t>
  </si>
  <si>
    <t>BSA.YOLO-93</t>
  </si>
  <si>
    <t>cf. Oocystis sp.</t>
  </si>
  <si>
    <t>Oocystis</t>
  </si>
  <si>
    <t>BSA.YOLO-94</t>
  </si>
  <si>
    <t>Achnanthidium catenatum</t>
  </si>
  <si>
    <t>catenatum</t>
  </si>
  <si>
    <t>BSA.YOLO-95</t>
  </si>
  <si>
    <t xml:space="preserve">Moderate sediment and detritus. Many broken diatoms. </t>
  </si>
  <si>
    <t>cf. Cocconeis sp.</t>
  </si>
  <si>
    <t>Gomphonema parvulum</t>
  </si>
  <si>
    <t>parvulum</t>
  </si>
  <si>
    <t xml:space="preserve">Girdle view. Moderate sediment and detritus. Many broken diatoms. </t>
  </si>
  <si>
    <t>BSA.YOLO-96</t>
  </si>
  <si>
    <t>BSA.YOLO-97</t>
  </si>
  <si>
    <t>BSA.YOLO-98</t>
  </si>
  <si>
    <t>BSA.YOLO-99</t>
  </si>
  <si>
    <t>Monoraphidium contortum</t>
  </si>
  <si>
    <t>contortum</t>
  </si>
  <si>
    <t>Encyonema sp.</t>
  </si>
  <si>
    <t>BSA.YOLO-100</t>
  </si>
  <si>
    <t>Degraded. Moderate sediment and detritus. Ciliates observed.</t>
  </si>
  <si>
    <t>Moderate sediment and detritus. Ciliates observed.</t>
  </si>
  <si>
    <t>Planothidium sp.</t>
  </si>
  <si>
    <t>Planothidium</t>
  </si>
  <si>
    <t>BSA.YOLO-101</t>
  </si>
  <si>
    <t>BSA.YOLO-102</t>
  </si>
  <si>
    <t>BSA.YOLO-103</t>
  </si>
  <si>
    <t>DK</t>
  </si>
  <si>
    <t>Low sediment and moderate detritus. Many broken diatoms.</t>
  </si>
  <si>
    <t>BSA.YOLO-104</t>
  </si>
  <si>
    <t>BSA.YOLO-105</t>
  </si>
  <si>
    <t>Moderate sediment.</t>
  </si>
  <si>
    <t>Plagioselmis cf. prolonga</t>
  </si>
  <si>
    <t>BSA.YOLO-106</t>
  </si>
  <si>
    <t>cf. Navicula sp.</t>
  </si>
  <si>
    <t>BSA.YOLO-107</t>
  </si>
  <si>
    <t>Fragment. Moderate sediment.</t>
  </si>
  <si>
    <t>BSA.YOLO-108</t>
  </si>
  <si>
    <t>Chrysococcus sp.</t>
  </si>
  <si>
    <t>Chrysococcus</t>
  </si>
  <si>
    <t>Ochromonas sp.</t>
  </si>
  <si>
    <t>Cryptomonas erosa</t>
  </si>
  <si>
    <t>erosa</t>
  </si>
  <si>
    <t>BSA.YOLO-109</t>
  </si>
  <si>
    <t>cf. Cryptomonas sp.</t>
  </si>
  <si>
    <t>Degraded.</t>
  </si>
  <si>
    <t>BSA.YOLO-110</t>
  </si>
  <si>
    <t>Low detritus.</t>
  </si>
  <si>
    <t>BSA.YOLO-111</t>
  </si>
  <si>
    <t>Nitzschia linearis</t>
  </si>
  <si>
    <t>linearis</t>
  </si>
  <si>
    <t>BSA.YOLO-112</t>
  </si>
  <si>
    <t>BSA.YOLO-113</t>
  </si>
  <si>
    <t>Low sediment.</t>
  </si>
  <si>
    <t>BSA.YOLO-114</t>
  </si>
  <si>
    <t>Fragment.</t>
  </si>
  <si>
    <t>Fragilaria tenera</t>
  </si>
  <si>
    <t>Fragilaria</t>
  </si>
  <si>
    <t>tenera</t>
  </si>
  <si>
    <t>BSA.YOLO-115</t>
  </si>
  <si>
    <t>BSA.YOLO-116</t>
  </si>
  <si>
    <t>Girdle view. Low sediment and detritus.</t>
  </si>
  <si>
    <t>cf. Thalassiosira sp.</t>
  </si>
  <si>
    <t>Thalassiosira</t>
  </si>
  <si>
    <t>Plagioselmis spp.</t>
  </si>
  <si>
    <t>spp.</t>
  </si>
  <si>
    <t>BSA.YOLO-117</t>
  </si>
  <si>
    <t>BSA.YOLO-118</t>
  </si>
  <si>
    <t>BSA.YOLO-119</t>
  </si>
  <si>
    <t>BSA.YOLO-120</t>
  </si>
  <si>
    <t>Obscured by detritus.</t>
  </si>
  <si>
    <t>Average Biovolume</t>
  </si>
  <si>
    <t>date</t>
  </si>
  <si>
    <t>time</t>
  </si>
  <si>
    <t>site</t>
  </si>
  <si>
    <t>taxon</t>
  </si>
  <si>
    <t>genus</t>
  </si>
  <si>
    <t>density</t>
  </si>
  <si>
    <t>type</t>
  </si>
  <si>
    <t>volume_avg</t>
  </si>
  <si>
    <t>OUTPUT = original data from BSA contractor</t>
  </si>
  <si>
    <t>R_Intermediate = all data except cell measurements (i.e., columns A - AN) plus calculation of "Organisms per mL" and "Average Biovolume"</t>
  </si>
  <si>
    <t>R_Final = subset of columns needed for analysis with column headers simplified; headers of columns used highlighted in yellow in 'R_Intermediate' tab</t>
  </si>
  <si>
    <t>exported 'R_Final' as csv called "phyto_2018-10.csv"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</si>
</sst>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m/d/yy;@"/>
    <numFmt numFmtId="166" formatCode="0.0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rgb="FF006100"/>
      <name val="Calibri"/>
      <family val="2"/>
      <scheme val="minor"/>
    </font>
    <font>
      <sz val="10"/>
      <color theme="3"/>
      <name val="Arial"/>
      <family val="2"/>
    </font>
    <font>
      <b/>
      <sz val="10"/>
      <color theme="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5" borderId="0" applyNumberFormat="0" applyBorder="0" applyAlignment="0" applyProtection="0"/>
  </cellStyleXfs>
  <cellXfs count="93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2" fontId="4" fillId="2" borderId="1" xfId="2" applyNumberFormat="1" applyFont="1" applyFill="1" applyBorder="1" applyAlignment="1">
      <alignment horizontal="center" vertic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11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1" applyFont="1" applyFill="1"/>
    <xf numFmtId="2" fontId="1" fillId="0" borderId="0" xfId="0" applyNumberFormat="1" applyFont="1" applyFill="1" applyAlignment="1">
      <alignment horizontal="right"/>
    </xf>
    <xf numFmtId="2" fontId="1" fillId="0" borderId="0" xfId="0" applyNumberFormat="1" applyFont="1" applyFill="1" applyAlignment="1">
      <alignment horizontal="left"/>
    </xf>
    <xf numFmtId="2" fontId="4" fillId="3" borderId="1" xfId="2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3" applyNumberFormat="1" applyFont="1" applyFill="1" applyAlignment="1">
      <alignment horizontal="left"/>
    </xf>
    <xf numFmtId="0" fontId="1" fillId="0" borderId="0" xfId="3" applyFont="1" applyFill="1" applyAlignment="1">
      <alignment horizontal="left"/>
    </xf>
    <xf numFmtId="0" fontId="4" fillId="2" borderId="1" xfId="2" applyNumberFormat="1" applyFont="1" applyFill="1" applyBorder="1" applyAlignment="1">
      <alignment horizontal="center" vertical="center" wrapText="1"/>
    </xf>
    <xf numFmtId="11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0" fontId="4" fillId="4" borderId="1" xfId="2" applyFont="1" applyFill="1" applyBorder="1" applyAlignment="1">
      <alignment horizontal="center" vertical="center" wrapText="1"/>
    </xf>
    <xf numFmtId="14" fontId="1" fillId="0" borderId="0" xfId="0" applyNumberFormat="1" applyFont="1" applyFill="1" applyAlignment="1">
      <alignment horizontal="left"/>
    </xf>
    <xf numFmtId="20" fontId="1" fillId="0" borderId="0" xfId="0" applyNumberFormat="1" applyFont="1" applyFill="1" applyAlignment="1">
      <alignment horizontal="left"/>
    </xf>
    <xf numFmtId="2" fontId="4" fillId="3" borderId="2" xfId="2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right"/>
    </xf>
    <xf numFmtId="166" fontId="4" fillId="0" borderId="2" xfId="2" applyNumberFormat="1" applyFont="1" applyFill="1" applyBorder="1" applyAlignment="1">
      <alignment horizontal="center" vertical="center"/>
    </xf>
    <xf numFmtId="166" fontId="4" fillId="3" borderId="2" xfId="2" applyNumberFormat="1" applyFont="1" applyFill="1" applyBorder="1" applyAlignment="1">
      <alignment horizontal="center" vertical="center"/>
    </xf>
    <xf numFmtId="166" fontId="1" fillId="0" borderId="0" xfId="0" applyNumberFormat="1" applyFont="1" applyFill="1"/>
    <xf numFmtId="166" fontId="1" fillId="0" borderId="0" xfId="0" applyNumberFormat="1" applyFont="1" applyFill="1" applyAlignment="1">
      <alignment horizontal="left"/>
    </xf>
    <xf numFmtId="166" fontId="1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horizontal="right"/>
    </xf>
    <xf numFmtId="0" fontId="1" fillId="0" borderId="0" xfId="0" applyFont="1" applyFill="1" applyBorder="1"/>
    <xf numFmtId="0" fontId="1" fillId="0" borderId="0" xfId="1" applyFont="1" applyFill="1" applyBorder="1"/>
    <xf numFmtId="0" fontId="6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left"/>
    </xf>
    <xf numFmtId="0" fontId="6" fillId="0" borderId="0" xfId="1" applyFont="1" applyFill="1"/>
    <xf numFmtId="0" fontId="6" fillId="0" borderId="0" xfId="0" applyFont="1" applyFill="1"/>
    <xf numFmtId="0" fontId="6" fillId="0" borderId="0" xfId="3" applyNumberFormat="1" applyFont="1" applyFill="1" applyAlignment="1">
      <alignment horizontal="left"/>
    </xf>
    <xf numFmtId="0" fontId="6" fillId="0" borderId="0" xfId="3" applyFont="1" applyFill="1" applyAlignment="1">
      <alignment horizontal="left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Fill="1" applyAlignment="1">
      <alignment horizontal="right"/>
    </xf>
    <xf numFmtId="11" fontId="6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right"/>
    </xf>
    <xf numFmtId="166" fontId="6" fillId="0" borderId="0" xfId="0" applyNumberFormat="1" applyFont="1" applyFill="1"/>
    <xf numFmtId="0" fontId="8" fillId="0" borderId="0" xfId="0" applyNumberFormat="1" applyFont="1" applyFill="1" applyAlignment="1">
      <alignment horizontal="left"/>
    </xf>
    <xf numFmtId="14" fontId="8" fillId="0" borderId="0" xfId="0" applyNumberFormat="1" applyFont="1" applyFill="1" applyAlignment="1">
      <alignment horizontal="left"/>
    </xf>
    <xf numFmtId="20" fontId="8" fillId="0" borderId="0" xfId="0" applyNumberFormat="1" applyFont="1" applyFill="1" applyAlignment="1">
      <alignment horizontal="left"/>
    </xf>
    <xf numFmtId="166" fontId="8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10" fontId="8" fillId="0" borderId="0" xfId="0" applyNumberFormat="1" applyFont="1" applyFill="1" applyAlignment="1">
      <alignment horizontal="left"/>
    </xf>
    <xf numFmtId="164" fontId="8" fillId="0" borderId="0" xfId="0" applyNumberFormat="1" applyFont="1" applyFill="1" applyAlignment="1">
      <alignment horizontal="left"/>
    </xf>
    <xf numFmtId="2" fontId="8" fillId="0" borderId="0" xfId="0" applyNumberFormat="1" applyFont="1" applyFill="1" applyAlignment="1">
      <alignment horizontal="left"/>
    </xf>
    <xf numFmtId="0" fontId="8" fillId="0" borderId="0" xfId="1" applyFont="1" applyFill="1"/>
    <xf numFmtId="0" fontId="8" fillId="0" borderId="0" xfId="0" applyFont="1" applyFill="1"/>
    <xf numFmtId="0" fontId="8" fillId="0" borderId="0" xfId="3" applyNumberFormat="1" applyFont="1" applyFill="1" applyAlignment="1">
      <alignment horizontal="left"/>
    </xf>
    <xf numFmtId="0" fontId="8" fillId="0" borderId="0" xfId="3" applyFont="1" applyFill="1" applyAlignment="1">
      <alignment horizontal="left"/>
    </xf>
    <xf numFmtId="0" fontId="8" fillId="0" borderId="0" xfId="0" applyFont="1" applyFill="1" applyAlignment="1">
      <alignment horizontal="center"/>
    </xf>
    <xf numFmtId="2" fontId="8" fillId="0" borderId="0" xfId="0" applyNumberFormat="1" applyFont="1" applyFill="1" applyAlignment="1">
      <alignment horizontal="right"/>
    </xf>
    <xf numFmtId="11" fontId="8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right"/>
    </xf>
    <xf numFmtId="166" fontId="8" fillId="0" borderId="0" xfId="0" applyNumberFormat="1" applyFont="1" applyFill="1"/>
    <xf numFmtId="2" fontId="9" fillId="0" borderId="0" xfId="0" applyNumberFormat="1" applyFont="1" applyFill="1" applyAlignment="1">
      <alignment horizontal="right"/>
    </xf>
    <xf numFmtId="165" fontId="8" fillId="0" borderId="0" xfId="0" applyNumberFormat="1" applyFont="1" applyFill="1" applyAlignment="1">
      <alignment horizontal="center"/>
    </xf>
    <xf numFmtId="166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left"/>
    </xf>
    <xf numFmtId="11" fontId="8" fillId="0" borderId="0" xfId="0" applyNumberFormat="1" applyFont="1" applyFill="1" applyAlignment="1">
      <alignment horizontal="left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right"/>
    </xf>
    <xf numFmtId="166" fontId="8" fillId="0" borderId="0" xfId="0" applyNumberFormat="1" applyFont="1" applyFill="1" applyAlignment="1">
      <alignment horizontal="right"/>
    </xf>
    <xf numFmtId="14" fontId="8" fillId="0" borderId="0" xfId="0" applyNumberFormat="1" applyFont="1" applyAlignment="1">
      <alignment horizontal="left"/>
    </xf>
    <xf numFmtId="20" fontId="8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left"/>
    </xf>
    <xf numFmtId="10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0" fontId="8" fillId="0" borderId="0" xfId="1" applyFont="1"/>
    <xf numFmtId="0" fontId="8" fillId="0" borderId="0" xfId="0" applyFont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right"/>
    </xf>
    <xf numFmtId="11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right"/>
    </xf>
    <xf numFmtId="166" fontId="8" fillId="0" borderId="0" xfId="0" applyNumberFormat="1" applyFont="1"/>
    <xf numFmtId="165" fontId="8" fillId="0" borderId="0" xfId="0" applyNumberFormat="1" applyFont="1" applyFill="1" applyAlignment="1">
      <alignment horizontal="left"/>
    </xf>
    <xf numFmtId="165" fontId="4" fillId="3" borderId="1" xfId="2" applyNumberFormat="1" applyFont="1" applyFill="1" applyBorder="1" applyAlignment="1">
      <alignment horizontal="center" vertical="center" wrapText="1"/>
    </xf>
    <xf numFmtId="166" fontId="4" fillId="3" borderId="1" xfId="2" applyNumberFormat="1" applyFont="1" applyFill="1" applyBorder="1" applyAlignment="1">
      <alignment horizontal="center" vertical="center" wrapText="1"/>
    </xf>
    <xf numFmtId="0" fontId="1" fillId="0" borderId="0" xfId="0" applyFont="1"/>
    <xf numFmtId="2" fontId="4" fillId="6" borderId="1" xfId="2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">
    <cellStyle name="Good" xfId="3" builtinId="26"/>
    <cellStyle name="Normal" xfId="0" builtinId="0"/>
    <cellStyle name="Normal 2" xfId="1" xr:uid="{00000000-0005-0000-0000-000002000000}"/>
    <cellStyle name="Normal_Sheet1 2" xfId="2" xr:uid="{00000000-0005-0000-0000-000003000000}"/>
  </cellStyles>
  <dxfs count="0"/>
  <tableStyles count="0" defaultTableStyle="TableStyleMedium9" defaultPivotStyle="PivotStyleLight16"/>
  <colors>
    <mruColors>
      <color rgb="FF99FFCC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BO1283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9.140625" defaultRowHeight="12.75" x14ac:dyDescent="0.2"/>
  <cols>
    <col min="1" max="1" width="17.28515625" style="11" bestFit="1" customWidth="1"/>
    <col min="2" max="2" width="13.140625" style="23" bestFit="1" customWidth="1"/>
    <col min="3" max="3" width="8" style="11" bestFit="1" customWidth="1"/>
    <col min="4" max="4" width="17.28515625" style="9" bestFit="1" customWidth="1"/>
    <col min="5" max="5" width="9.7109375" style="9" bestFit="1" customWidth="1"/>
    <col min="6" max="6" width="11.42578125" style="33" customWidth="1"/>
    <col min="7" max="7" width="13.28515625" style="11" customWidth="1"/>
    <col min="8" max="8" width="15.140625" style="11" customWidth="1"/>
    <col min="9" max="9" width="13.5703125" style="11" customWidth="1"/>
    <col min="10" max="10" width="14.7109375" style="11" customWidth="1"/>
    <col min="11" max="11" width="9.85546875" style="9" bestFit="1" customWidth="1"/>
    <col min="12" max="12" width="12.5703125" style="9" customWidth="1"/>
    <col min="13" max="13" width="12.28515625" style="14" bestFit="1" customWidth="1"/>
    <col min="14" max="14" width="12.140625" style="8" customWidth="1"/>
    <col min="15" max="15" width="38" style="8" bestFit="1" customWidth="1"/>
    <col min="16" max="16" width="12.42578125" style="8" customWidth="1"/>
    <col min="17" max="17" width="19.140625" style="9" customWidth="1"/>
    <col min="18" max="18" width="28.5703125" style="9" customWidth="1"/>
    <col min="19" max="19" width="10.85546875" style="17" customWidth="1"/>
    <col min="20" max="20" width="11.5703125" style="17" customWidth="1"/>
    <col min="21" max="21" width="9.140625" style="5" customWidth="1"/>
    <col min="22" max="25" width="10.42578125" style="9" customWidth="1"/>
    <col min="26" max="26" width="16.5703125" style="17" customWidth="1"/>
    <col min="27" max="27" width="14.28515625" style="8" customWidth="1"/>
    <col min="28" max="28" width="12.140625" style="8" customWidth="1"/>
    <col min="29" max="29" width="59.140625" style="21" bestFit="1" customWidth="1"/>
    <col min="30" max="30" width="21.42578125" style="10" customWidth="1"/>
    <col min="31" max="32" width="10.7109375" style="22" customWidth="1"/>
    <col min="33" max="33" width="10.7109375" style="21" customWidth="1"/>
    <col min="34" max="34" width="10.7109375" style="11" customWidth="1"/>
    <col min="35" max="39" width="10.7109375" style="8" customWidth="1"/>
    <col min="40" max="40" width="10.85546875" style="8" customWidth="1"/>
    <col min="41" max="41" width="10.85546875" style="28" customWidth="1"/>
    <col min="42" max="42" width="21.7109375" style="31" bestFit="1" customWidth="1"/>
    <col min="43" max="51" width="15" style="31" bestFit="1" customWidth="1"/>
    <col min="52" max="67" width="16" style="31" bestFit="1" customWidth="1"/>
    <col min="68" max="16384" width="9.140625" style="8"/>
  </cols>
  <sheetData>
    <row r="1" spans="1:67" ht="70.5" customHeight="1" x14ac:dyDescent="0.2">
      <c r="A1" s="16" t="s">
        <v>0</v>
      </c>
      <c r="B1" s="88" t="s">
        <v>1</v>
      </c>
      <c r="C1" s="16" t="s">
        <v>2</v>
      </c>
      <c r="D1" s="16" t="s">
        <v>3</v>
      </c>
      <c r="E1" s="16" t="s">
        <v>4</v>
      </c>
      <c r="F1" s="89" t="s">
        <v>5</v>
      </c>
      <c r="G1" s="15" t="s">
        <v>6</v>
      </c>
      <c r="H1" s="3" t="s">
        <v>7</v>
      </c>
      <c r="I1" s="15" t="s">
        <v>8</v>
      </c>
      <c r="J1" s="1" t="s">
        <v>9</v>
      </c>
      <c r="K1" s="2" t="s">
        <v>10</v>
      </c>
      <c r="L1" s="15" t="s">
        <v>11</v>
      </c>
      <c r="M1" s="2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0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1" t="s">
        <v>25</v>
      </c>
      <c r="AA1" s="4" t="s">
        <v>26</v>
      </c>
      <c r="AB1" s="4" t="s">
        <v>27</v>
      </c>
      <c r="AC1" s="1" t="s">
        <v>28</v>
      </c>
      <c r="AD1" s="16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27" t="s">
        <v>40</v>
      </c>
      <c r="AP1" s="29" t="s">
        <v>41</v>
      </c>
      <c r="AQ1" s="30" t="s">
        <v>42</v>
      </c>
      <c r="AR1" s="30" t="s">
        <v>43</v>
      </c>
      <c r="AS1" s="30" t="s">
        <v>44</v>
      </c>
      <c r="AT1" s="30" t="s">
        <v>45</v>
      </c>
      <c r="AU1" s="30" t="s">
        <v>46</v>
      </c>
      <c r="AV1" s="30" t="s">
        <v>47</v>
      </c>
      <c r="AW1" s="30" t="s">
        <v>48</v>
      </c>
      <c r="AX1" s="30" t="s">
        <v>49</v>
      </c>
      <c r="AY1" s="30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30" t="s">
        <v>61</v>
      </c>
      <c r="BK1" s="30" t="s">
        <v>62</v>
      </c>
      <c r="BL1" s="30" t="s">
        <v>63</v>
      </c>
      <c r="BM1" s="30" t="s">
        <v>64</v>
      </c>
      <c r="BN1" s="30" t="s">
        <v>65</v>
      </c>
      <c r="BO1" s="30" t="s">
        <v>66</v>
      </c>
    </row>
    <row r="2" spans="1:67" x14ac:dyDescent="0.2">
      <c r="A2" s="5" t="s">
        <v>67</v>
      </c>
      <c r="B2" s="25">
        <v>43360</v>
      </c>
      <c r="C2" s="26">
        <v>0.63541666666666696</v>
      </c>
      <c r="D2" s="5" t="s">
        <v>68</v>
      </c>
      <c r="E2" s="5">
        <v>3</v>
      </c>
      <c r="F2" s="32">
        <v>61.5</v>
      </c>
      <c r="G2" s="9">
        <v>2</v>
      </c>
      <c r="H2" s="6">
        <v>3.2520325203252036E-2</v>
      </c>
      <c r="I2" s="7">
        <v>6.83E-2</v>
      </c>
      <c r="J2" s="9">
        <v>314.15899999999999</v>
      </c>
      <c r="K2" s="9">
        <v>0.88790000000000002</v>
      </c>
      <c r="L2" s="9">
        <v>13</v>
      </c>
      <c r="M2" s="14">
        <v>176.91125126703457</v>
      </c>
      <c r="N2" s="9">
        <v>145</v>
      </c>
      <c r="O2" s="12" t="s">
        <v>69</v>
      </c>
      <c r="P2" s="8" t="s">
        <v>70</v>
      </c>
      <c r="Q2" s="9" t="s">
        <v>71</v>
      </c>
      <c r="R2" s="9" t="s">
        <v>72</v>
      </c>
      <c r="S2" s="9"/>
      <c r="T2" s="18">
        <v>1</v>
      </c>
      <c r="U2" s="18">
        <v>1</v>
      </c>
      <c r="V2" s="9">
        <v>16.7</v>
      </c>
      <c r="Y2" s="9">
        <f>(T2*J2)/(G2*I2*L2)</f>
        <v>176.91125126703457</v>
      </c>
      <c r="Z2" s="19" t="s">
        <v>73</v>
      </c>
      <c r="AA2" s="8" t="s">
        <v>74</v>
      </c>
      <c r="AB2" s="8" t="s">
        <v>75</v>
      </c>
      <c r="AC2" s="11" t="s">
        <v>76</v>
      </c>
      <c r="AD2" s="9" t="s">
        <v>77</v>
      </c>
      <c r="AE2" s="14">
        <v>407.64957680999993</v>
      </c>
      <c r="AF2" s="13"/>
      <c r="AO2" s="34" t="s">
        <v>78</v>
      </c>
      <c r="AP2" s="31">
        <v>16.7</v>
      </c>
      <c r="AQ2" s="31">
        <v>16.7</v>
      </c>
    </row>
    <row r="3" spans="1:67" x14ac:dyDescent="0.2">
      <c r="A3" s="5"/>
      <c r="B3" s="25"/>
      <c r="C3" s="26"/>
      <c r="D3" s="5"/>
      <c r="E3" s="5"/>
      <c r="F3" s="32"/>
      <c r="G3" s="9"/>
      <c r="H3" s="6"/>
      <c r="I3" s="7"/>
      <c r="J3" s="9"/>
      <c r="N3" s="9"/>
      <c r="O3" s="12"/>
      <c r="S3" s="9"/>
      <c r="T3" s="18"/>
      <c r="U3" s="18"/>
      <c r="Y3" s="9" t="e">
        <f t="shared" ref="Y3:Y66" si="0">(T3*J3)/(G3*I3*L3)</f>
        <v>#DIV/0!</v>
      </c>
      <c r="Z3" s="19"/>
      <c r="AC3" s="11"/>
      <c r="AD3" s="9"/>
      <c r="AE3" s="14"/>
      <c r="AF3" s="13"/>
      <c r="AO3" s="34" t="s">
        <v>79</v>
      </c>
      <c r="AP3" s="31">
        <v>11.1</v>
      </c>
      <c r="AQ3" s="31">
        <v>11.1</v>
      </c>
    </row>
    <row r="4" spans="1:67" x14ac:dyDescent="0.2">
      <c r="A4" s="5"/>
      <c r="B4" s="25"/>
      <c r="C4" s="26"/>
      <c r="D4" s="5"/>
      <c r="E4" s="5"/>
      <c r="F4" s="32"/>
      <c r="G4" s="9"/>
      <c r="H4" s="6"/>
      <c r="I4" s="7"/>
      <c r="J4" s="9"/>
      <c r="N4" s="9"/>
      <c r="O4" s="12"/>
      <c r="S4" s="9"/>
      <c r="T4" s="18"/>
      <c r="U4" s="18"/>
      <c r="Y4" s="9" t="e">
        <f t="shared" si="0"/>
        <v>#DIV/0!</v>
      </c>
      <c r="Z4" s="19"/>
      <c r="AC4" s="11"/>
      <c r="AD4" s="9"/>
      <c r="AE4" s="14"/>
      <c r="AF4" s="13"/>
      <c r="AO4" s="34" t="s">
        <v>80</v>
      </c>
      <c r="AP4" s="31">
        <v>2.8</v>
      </c>
      <c r="AQ4" s="31">
        <v>2.8</v>
      </c>
    </row>
    <row r="5" spans="1:67" x14ac:dyDescent="0.2">
      <c r="A5" s="5" t="s">
        <v>67</v>
      </c>
      <c r="B5" s="25">
        <v>43360</v>
      </c>
      <c r="C5" s="26">
        <v>0.63541666666666696</v>
      </c>
      <c r="D5" s="5" t="s">
        <v>68</v>
      </c>
      <c r="E5" s="5">
        <v>3</v>
      </c>
      <c r="F5" s="32">
        <v>61.5</v>
      </c>
      <c r="G5" s="9">
        <v>2</v>
      </c>
      <c r="H5" s="6">
        <v>3.2520325203252036E-2</v>
      </c>
      <c r="I5" s="7">
        <v>6.83E-2</v>
      </c>
      <c r="J5" s="9">
        <v>314.15899999999999</v>
      </c>
      <c r="K5" s="9">
        <v>0.88790000000000002</v>
      </c>
      <c r="L5" s="9">
        <v>13</v>
      </c>
      <c r="M5" s="14">
        <v>176.91125126703457</v>
      </c>
      <c r="N5" s="9">
        <v>1031</v>
      </c>
      <c r="O5" s="12" t="s">
        <v>81</v>
      </c>
      <c r="P5" s="12" t="s">
        <v>82</v>
      </c>
      <c r="Q5" s="9" t="s">
        <v>83</v>
      </c>
      <c r="R5" s="9" t="s">
        <v>84</v>
      </c>
      <c r="S5" s="9"/>
      <c r="T5" s="18">
        <v>1</v>
      </c>
      <c r="U5" s="18">
        <v>1</v>
      </c>
      <c r="V5" s="9">
        <v>7.4</v>
      </c>
      <c r="Y5" s="9">
        <f t="shared" si="0"/>
        <v>176.91125126703457</v>
      </c>
      <c r="Z5" s="19" t="s">
        <v>73</v>
      </c>
      <c r="AA5" s="8" t="s">
        <v>74</v>
      </c>
      <c r="AB5" s="8" t="s">
        <v>75</v>
      </c>
      <c r="AC5" s="11" t="s">
        <v>76</v>
      </c>
      <c r="AD5" s="9" t="s">
        <v>85</v>
      </c>
      <c r="AE5" s="14">
        <v>99.810408693333329</v>
      </c>
      <c r="AF5" s="13"/>
      <c r="AO5" s="34" t="s">
        <v>78</v>
      </c>
      <c r="AP5" s="31">
        <v>7.4</v>
      </c>
      <c r="AQ5" s="31">
        <v>7.4</v>
      </c>
    </row>
    <row r="6" spans="1:67" x14ac:dyDescent="0.2">
      <c r="A6" s="5"/>
      <c r="B6" s="25"/>
      <c r="C6" s="26"/>
      <c r="D6" s="5"/>
      <c r="E6" s="5"/>
      <c r="F6" s="32"/>
      <c r="G6" s="9"/>
      <c r="H6" s="6"/>
      <c r="I6" s="7"/>
      <c r="J6" s="9"/>
      <c r="N6" s="9"/>
      <c r="O6" s="12"/>
      <c r="P6" s="12"/>
      <c r="S6" s="9"/>
      <c r="T6" s="18"/>
      <c r="U6" s="18"/>
      <c r="Y6" s="9" t="e">
        <f t="shared" si="0"/>
        <v>#DIV/0!</v>
      </c>
      <c r="Z6" s="19"/>
      <c r="AC6" s="11"/>
      <c r="AD6" s="9"/>
      <c r="AE6" s="14"/>
      <c r="AF6" s="13"/>
      <c r="AO6" s="34" t="s">
        <v>79</v>
      </c>
      <c r="AP6" s="31">
        <v>5.6</v>
      </c>
      <c r="AQ6" s="31">
        <v>5.6</v>
      </c>
    </row>
    <row r="7" spans="1:67" x14ac:dyDescent="0.2">
      <c r="A7" s="5"/>
      <c r="B7" s="25"/>
      <c r="C7" s="26"/>
      <c r="D7" s="5"/>
      <c r="E7" s="5"/>
      <c r="F7" s="32"/>
      <c r="G7" s="9"/>
      <c r="H7" s="6"/>
      <c r="I7" s="7"/>
      <c r="J7" s="9"/>
      <c r="N7" s="9"/>
      <c r="O7" s="12"/>
      <c r="P7" s="12"/>
      <c r="S7" s="9"/>
      <c r="T7" s="18"/>
      <c r="U7" s="18"/>
      <c r="Y7" s="9" t="e">
        <f t="shared" si="0"/>
        <v>#DIV/0!</v>
      </c>
      <c r="Z7" s="19"/>
      <c r="AC7" s="11"/>
      <c r="AD7" s="9"/>
      <c r="AE7" s="14"/>
      <c r="AF7" s="13"/>
      <c r="AO7" s="34" t="s">
        <v>80</v>
      </c>
      <c r="AP7" s="31">
        <v>4.5999999999999996</v>
      </c>
      <c r="AQ7" s="31">
        <v>4.5999999999999996</v>
      </c>
    </row>
    <row r="8" spans="1:67" x14ac:dyDescent="0.2">
      <c r="A8" s="5" t="s">
        <v>67</v>
      </c>
      <c r="B8" s="25">
        <v>43360</v>
      </c>
      <c r="C8" s="26">
        <v>0.63541666666666696</v>
      </c>
      <c r="D8" s="5" t="s">
        <v>68</v>
      </c>
      <c r="E8" s="5">
        <v>3</v>
      </c>
      <c r="F8" s="32">
        <v>61.5</v>
      </c>
      <c r="G8" s="9">
        <v>2</v>
      </c>
      <c r="H8" s="6">
        <v>3.2520325203252036E-2</v>
      </c>
      <c r="I8" s="7">
        <v>6.83E-2</v>
      </c>
      <c r="J8" s="9">
        <v>314.15899999999999</v>
      </c>
      <c r="K8" s="9">
        <v>0.88790000000000002</v>
      </c>
      <c r="L8" s="9">
        <v>13</v>
      </c>
      <c r="M8" s="14">
        <v>176.91125126703457</v>
      </c>
      <c r="N8" s="9">
        <v>1037</v>
      </c>
      <c r="O8" s="12" t="s">
        <v>86</v>
      </c>
      <c r="P8" s="12" t="s">
        <v>82</v>
      </c>
      <c r="Q8" s="9" t="s">
        <v>87</v>
      </c>
      <c r="R8" s="9" t="s">
        <v>84</v>
      </c>
      <c r="S8" s="9"/>
      <c r="T8" s="18">
        <v>17</v>
      </c>
      <c r="U8" s="18">
        <v>17</v>
      </c>
      <c r="V8" s="9">
        <v>2.8</v>
      </c>
      <c r="Y8" s="9">
        <f t="shared" si="0"/>
        <v>3007.4912715395876</v>
      </c>
      <c r="Z8" s="19" t="s">
        <v>73</v>
      </c>
      <c r="AA8" s="8" t="s">
        <v>74</v>
      </c>
      <c r="AB8" s="8" t="s">
        <v>75</v>
      </c>
      <c r="AC8" s="11" t="s">
        <v>76</v>
      </c>
      <c r="AD8" s="9" t="s">
        <v>85</v>
      </c>
      <c r="AE8" s="14">
        <v>7.2382233599999992</v>
      </c>
      <c r="AF8" s="13"/>
      <c r="AO8" s="34" t="s">
        <v>78</v>
      </c>
      <c r="AP8" s="31">
        <v>2.44</v>
      </c>
      <c r="AQ8" s="31">
        <v>1.9</v>
      </c>
      <c r="AR8" s="31">
        <v>2.8</v>
      </c>
      <c r="AS8" s="31">
        <v>2.8</v>
      </c>
      <c r="AT8" s="31">
        <v>2.8</v>
      </c>
      <c r="AU8" s="31">
        <v>1.9</v>
      </c>
    </row>
    <row r="9" spans="1:67" x14ac:dyDescent="0.2">
      <c r="A9" s="5" t="s">
        <v>67</v>
      </c>
      <c r="B9" s="25">
        <v>43360</v>
      </c>
      <c r="C9" s="26">
        <v>0.63541666666666696</v>
      </c>
      <c r="D9" s="5" t="s">
        <v>68</v>
      </c>
      <c r="E9" s="5">
        <v>3</v>
      </c>
      <c r="F9" s="32">
        <v>61.5</v>
      </c>
      <c r="G9" s="9">
        <v>2</v>
      </c>
      <c r="H9" s="6">
        <v>3.2520325203252036E-2</v>
      </c>
      <c r="I9" s="7">
        <v>6.83E-2</v>
      </c>
      <c r="J9" s="9">
        <v>314.15899999999999</v>
      </c>
      <c r="K9" s="9">
        <v>0.88790000000000002</v>
      </c>
      <c r="L9" s="9">
        <v>13</v>
      </c>
      <c r="M9" s="14">
        <v>176.91125126703457</v>
      </c>
      <c r="N9" s="9">
        <v>1364</v>
      </c>
      <c r="O9" s="12" t="s">
        <v>88</v>
      </c>
      <c r="P9" s="12" t="s">
        <v>82</v>
      </c>
      <c r="Q9" s="9" t="s">
        <v>89</v>
      </c>
      <c r="R9" s="9" t="s">
        <v>90</v>
      </c>
      <c r="S9" s="9"/>
      <c r="T9" s="18">
        <v>4</v>
      </c>
      <c r="U9" s="18">
        <v>4</v>
      </c>
      <c r="V9" s="9">
        <v>10.199999999999999</v>
      </c>
      <c r="Y9" s="9">
        <f t="shared" si="0"/>
        <v>707.64500506813829</v>
      </c>
      <c r="Z9" s="19" t="s">
        <v>73</v>
      </c>
      <c r="AA9" s="8" t="s">
        <v>74</v>
      </c>
      <c r="AB9" s="8" t="s">
        <v>75</v>
      </c>
      <c r="AC9" s="11" t="s">
        <v>76</v>
      </c>
      <c r="AD9" s="9" t="s">
        <v>91</v>
      </c>
      <c r="AE9" s="14">
        <v>356.77335935416664</v>
      </c>
      <c r="AF9" s="13"/>
      <c r="AO9" s="34" t="s">
        <v>78</v>
      </c>
      <c r="AP9" s="31">
        <v>9.5250000000000004</v>
      </c>
      <c r="AQ9" s="31">
        <v>9.3000000000000007</v>
      </c>
      <c r="AR9" s="31">
        <v>10.199999999999999</v>
      </c>
      <c r="AS9" s="31">
        <v>9.3000000000000007</v>
      </c>
      <c r="AT9" s="31">
        <v>9.3000000000000007</v>
      </c>
    </row>
    <row r="10" spans="1:67" x14ac:dyDescent="0.2">
      <c r="A10" s="5"/>
      <c r="B10" s="25"/>
      <c r="C10" s="26"/>
      <c r="D10" s="5"/>
      <c r="E10" s="5"/>
      <c r="F10" s="32"/>
      <c r="G10" s="9"/>
      <c r="H10" s="6"/>
      <c r="I10" s="7"/>
      <c r="J10" s="9"/>
      <c r="N10" s="9"/>
      <c r="O10" s="12"/>
      <c r="P10" s="12"/>
      <c r="S10" s="9"/>
      <c r="T10" s="18"/>
      <c r="U10" s="18"/>
      <c r="Y10" s="9" t="e">
        <f t="shared" si="0"/>
        <v>#DIV/0!</v>
      </c>
      <c r="Z10" s="19"/>
      <c r="AC10" s="11"/>
      <c r="AD10" s="9"/>
      <c r="AE10" s="14"/>
      <c r="AF10" s="13"/>
      <c r="AO10" s="34" t="s">
        <v>79</v>
      </c>
      <c r="AP10" s="31">
        <v>5.6</v>
      </c>
      <c r="AQ10" s="31">
        <v>5.6</v>
      </c>
      <c r="AR10" s="31">
        <v>5.6</v>
      </c>
      <c r="AS10" s="31">
        <v>5.6</v>
      </c>
      <c r="AT10" s="31">
        <v>5.6</v>
      </c>
    </row>
    <row r="11" spans="1:67" x14ac:dyDescent="0.2">
      <c r="A11" s="5" t="s">
        <v>67</v>
      </c>
      <c r="B11" s="25">
        <v>43360</v>
      </c>
      <c r="C11" s="26">
        <v>0.63541666666666696</v>
      </c>
      <c r="D11" s="5" t="s">
        <v>68</v>
      </c>
      <c r="E11" s="5">
        <v>3</v>
      </c>
      <c r="F11" s="32">
        <v>61.5</v>
      </c>
      <c r="G11" s="9">
        <v>2</v>
      </c>
      <c r="H11" s="6">
        <v>3.2520325203252036E-2</v>
      </c>
      <c r="I11" s="7">
        <v>6.83E-2</v>
      </c>
      <c r="J11" s="9">
        <v>314.15899999999999</v>
      </c>
      <c r="K11" s="9">
        <v>0.88790000000000002</v>
      </c>
      <c r="L11" s="9">
        <v>13</v>
      </c>
      <c r="M11" s="14">
        <v>176.91125126703457</v>
      </c>
      <c r="N11" s="9">
        <v>1733</v>
      </c>
      <c r="O11" s="12" t="s">
        <v>92</v>
      </c>
      <c r="P11" s="12" t="s">
        <v>82</v>
      </c>
      <c r="Q11" s="9" t="s">
        <v>89</v>
      </c>
      <c r="R11" s="9" t="s">
        <v>93</v>
      </c>
      <c r="S11" s="9"/>
      <c r="T11" s="18">
        <v>1</v>
      </c>
      <c r="U11" s="18">
        <v>1</v>
      </c>
      <c r="V11" s="9">
        <v>5.6</v>
      </c>
      <c r="Y11" s="9">
        <f t="shared" si="0"/>
        <v>176.91125126703457</v>
      </c>
      <c r="Z11" s="19" t="s">
        <v>73</v>
      </c>
      <c r="AA11" s="8" t="s">
        <v>74</v>
      </c>
      <c r="AB11" s="8" t="s">
        <v>75</v>
      </c>
      <c r="AC11" s="11" t="s">
        <v>76</v>
      </c>
      <c r="AD11" s="9" t="s">
        <v>91</v>
      </c>
      <c r="AE11" s="14">
        <v>76.353203359999995</v>
      </c>
      <c r="AF11" s="13"/>
      <c r="AO11" s="34" t="s">
        <v>78</v>
      </c>
      <c r="AP11" s="31">
        <v>5.6</v>
      </c>
      <c r="AQ11" s="31">
        <v>5.6</v>
      </c>
    </row>
    <row r="12" spans="1:67" x14ac:dyDescent="0.2">
      <c r="A12" s="5"/>
      <c r="B12" s="25"/>
      <c r="C12" s="26"/>
      <c r="D12" s="5"/>
      <c r="E12" s="5"/>
      <c r="F12" s="32"/>
      <c r="G12" s="9"/>
      <c r="H12" s="6"/>
      <c r="I12" s="7"/>
      <c r="J12" s="9"/>
      <c r="N12" s="9"/>
      <c r="O12" s="12"/>
      <c r="P12" s="12"/>
      <c r="S12" s="9"/>
      <c r="T12" s="18"/>
      <c r="U12" s="18"/>
      <c r="Y12" s="9" t="e">
        <f t="shared" si="0"/>
        <v>#DIV/0!</v>
      </c>
      <c r="Z12" s="19"/>
      <c r="AC12" s="11"/>
      <c r="AD12" s="9"/>
      <c r="AE12" s="14"/>
      <c r="AF12" s="13"/>
      <c r="AO12" s="34" t="s">
        <v>79</v>
      </c>
      <c r="AP12" s="31">
        <v>3.7</v>
      </c>
      <c r="AQ12" s="31">
        <v>3.7</v>
      </c>
    </row>
    <row r="13" spans="1:67" x14ac:dyDescent="0.2">
      <c r="A13" s="5" t="s">
        <v>67</v>
      </c>
      <c r="B13" s="25">
        <v>43360</v>
      </c>
      <c r="C13" s="26">
        <v>0.63541666666666696</v>
      </c>
      <c r="D13" s="5" t="s">
        <v>68</v>
      </c>
      <c r="E13" s="5">
        <v>3</v>
      </c>
      <c r="F13" s="32">
        <v>61.5</v>
      </c>
      <c r="G13" s="9">
        <v>2</v>
      </c>
      <c r="H13" s="6">
        <v>3.2520325203252036E-2</v>
      </c>
      <c r="I13" s="7">
        <v>6.83E-2</v>
      </c>
      <c r="J13" s="9">
        <v>314.15899999999999</v>
      </c>
      <c r="K13" s="9">
        <v>0.88790000000000002</v>
      </c>
      <c r="L13" s="9">
        <v>13</v>
      </c>
      <c r="M13" s="14">
        <v>176.91125126703457</v>
      </c>
      <c r="N13" s="9">
        <v>1419</v>
      </c>
      <c r="O13" s="12" t="s">
        <v>94</v>
      </c>
      <c r="P13" s="12" t="s">
        <v>82</v>
      </c>
      <c r="Q13" s="9" t="s">
        <v>95</v>
      </c>
      <c r="R13" s="9" t="s">
        <v>96</v>
      </c>
      <c r="S13" s="9"/>
      <c r="T13" s="18">
        <v>380</v>
      </c>
      <c r="U13" s="18">
        <v>763</v>
      </c>
      <c r="V13" s="9">
        <v>0.8</v>
      </c>
      <c r="W13" s="9">
        <v>0.8</v>
      </c>
      <c r="X13" s="9">
        <v>0.8</v>
      </c>
      <c r="Y13" s="9">
        <f t="shared" si="0"/>
        <v>67226.275481473131</v>
      </c>
      <c r="Z13" s="19" t="s">
        <v>97</v>
      </c>
      <c r="AA13" s="8" t="s">
        <v>74</v>
      </c>
      <c r="AB13" s="8" t="s">
        <v>75</v>
      </c>
      <c r="AC13" s="11" t="s">
        <v>76</v>
      </c>
      <c r="AD13" s="9" t="s">
        <v>85</v>
      </c>
      <c r="AE13" s="14">
        <v>0.18</v>
      </c>
      <c r="AF13" s="14">
        <v>0.18</v>
      </c>
      <c r="AG13" s="14">
        <v>0.18</v>
      </c>
      <c r="AH13" s="14">
        <v>0.18</v>
      </c>
      <c r="AI13" s="14">
        <v>0.18</v>
      </c>
      <c r="AJ13" s="14">
        <v>0.18</v>
      </c>
      <c r="AK13" s="14">
        <v>0.18</v>
      </c>
      <c r="AL13" s="14">
        <v>0.18</v>
      </c>
      <c r="AM13" s="14">
        <v>0.18</v>
      </c>
      <c r="AN13" s="14">
        <v>0.18</v>
      </c>
      <c r="AO13" s="35" t="s">
        <v>78</v>
      </c>
      <c r="AP13" s="31">
        <v>0.75200000000000033</v>
      </c>
      <c r="AQ13" s="31">
        <v>0.7</v>
      </c>
      <c r="AR13" s="31">
        <v>0.7</v>
      </c>
      <c r="AS13" s="31">
        <v>0.7</v>
      </c>
      <c r="AT13" s="31">
        <v>0.7</v>
      </c>
      <c r="AU13" s="31">
        <v>0.7</v>
      </c>
      <c r="AV13" s="31">
        <v>0.7</v>
      </c>
      <c r="AW13" s="31">
        <v>0.7</v>
      </c>
      <c r="AX13" s="31">
        <v>0.7</v>
      </c>
      <c r="AY13" s="31">
        <v>0.7</v>
      </c>
      <c r="AZ13" s="31">
        <v>0.7</v>
      </c>
      <c r="BA13" s="31">
        <v>0.7</v>
      </c>
      <c r="BB13" s="31">
        <v>0.7</v>
      </c>
      <c r="BC13" s="31">
        <v>0.8</v>
      </c>
      <c r="BD13" s="31">
        <v>0.8</v>
      </c>
      <c r="BE13" s="31">
        <v>0.8</v>
      </c>
      <c r="BF13" s="31">
        <v>0.8</v>
      </c>
      <c r="BG13" s="31">
        <v>0.8</v>
      </c>
      <c r="BH13" s="31">
        <v>0.8</v>
      </c>
      <c r="BI13" s="31">
        <v>0.8</v>
      </c>
      <c r="BJ13" s="31">
        <v>0.8</v>
      </c>
      <c r="BK13" s="31">
        <v>0.8</v>
      </c>
      <c r="BL13" s="31">
        <v>0.8</v>
      </c>
      <c r="BM13" s="31">
        <v>0.8</v>
      </c>
      <c r="BN13" s="31">
        <v>0.8</v>
      </c>
      <c r="BO13" s="31">
        <v>0.8</v>
      </c>
    </row>
    <row r="14" spans="1:67" x14ac:dyDescent="0.2">
      <c r="A14" s="5" t="s">
        <v>67</v>
      </c>
      <c r="B14" s="25">
        <v>43360</v>
      </c>
      <c r="C14" s="26">
        <v>0.63541666666666696</v>
      </c>
      <c r="D14" s="5" t="s">
        <v>68</v>
      </c>
      <c r="E14" s="5">
        <v>3</v>
      </c>
      <c r="F14" s="32">
        <v>61.5</v>
      </c>
      <c r="G14" s="9">
        <v>2</v>
      </c>
      <c r="H14" s="6">
        <v>3.2520325203252036E-2</v>
      </c>
      <c r="I14" s="7">
        <v>6.83E-2</v>
      </c>
      <c r="J14" s="9">
        <v>314.15899999999999</v>
      </c>
      <c r="K14" s="9">
        <v>0.88790000000000002</v>
      </c>
      <c r="L14" s="9">
        <v>13</v>
      </c>
      <c r="M14" s="14">
        <v>176.91125126703457</v>
      </c>
      <c r="N14" s="9">
        <v>1420</v>
      </c>
      <c r="O14" s="12" t="s">
        <v>98</v>
      </c>
      <c r="P14" s="12" t="s">
        <v>82</v>
      </c>
      <c r="Q14" s="9" t="s">
        <v>95</v>
      </c>
      <c r="R14" s="9" t="s">
        <v>99</v>
      </c>
      <c r="S14" s="9"/>
      <c r="T14" s="18">
        <v>1</v>
      </c>
      <c r="U14" s="18">
        <v>2</v>
      </c>
      <c r="V14" s="9">
        <v>2.8</v>
      </c>
      <c r="Y14" s="9">
        <f t="shared" si="0"/>
        <v>176.91125126703457</v>
      </c>
      <c r="Z14" s="19" t="s">
        <v>97</v>
      </c>
      <c r="AA14" s="8" t="s">
        <v>74</v>
      </c>
      <c r="AB14" s="8" t="s">
        <v>75</v>
      </c>
      <c r="AC14" s="11" t="s">
        <v>76</v>
      </c>
      <c r="AD14" s="9" t="s">
        <v>85</v>
      </c>
      <c r="AE14" s="14">
        <v>11.494030613333329</v>
      </c>
      <c r="AF14" s="13"/>
      <c r="AO14" s="34" t="s">
        <v>78</v>
      </c>
      <c r="AP14" s="31">
        <v>2.8</v>
      </c>
      <c r="AQ14" s="31">
        <v>2.8</v>
      </c>
      <c r="AR14" s="31">
        <v>2.8</v>
      </c>
    </row>
    <row r="15" spans="1:67" x14ac:dyDescent="0.2">
      <c r="A15" s="5" t="s">
        <v>67</v>
      </c>
      <c r="B15" s="25">
        <v>43383</v>
      </c>
      <c r="C15" s="26">
        <v>0.625</v>
      </c>
      <c r="D15" s="5" t="s">
        <v>68</v>
      </c>
      <c r="E15" s="5">
        <v>3</v>
      </c>
      <c r="F15" s="32">
        <v>61</v>
      </c>
      <c r="G15" s="9">
        <v>2</v>
      </c>
      <c r="H15" s="6">
        <v>3.2786885245901641E-2</v>
      </c>
      <c r="I15" s="7">
        <v>6.83E-2</v>
      </c>
      <c r="J15" s="9">
        <v>314.15899999999999</v>
      </c>
      <c r="K15" s="9">
        <v>0.47809999999999997</v>
      </c>
      <c r="L15" s="9">
        <v>7</v>
      </c>
      <c r="M15" s="14">
        <v>328.54946663877848</v>
      </c>
      <c r="N15" s="9">
        <v>145</v>
      </c>
      <c r="O15" s="12" t="s">
        <v>69</v>
      </c>
      <c r="P15" s="8" t="s">
        <v>70</v>
      </c>
      <c r="Q15" s="9" t="s">
        <v>71</v>
      </c>
      <c r="R15" s="9" t="s">
        <v>72</v>
      </c>
      <c r="S15" s="9"/>
      <c r="T15" s="18">
        <v>1</v>
      </c>
      <c r="U15" s="18">
        <v>1</v>
      </c>
      <c r="V15" s="9">
        <v>20.399999999999999</v>
      </c>
      <c r="Y15" s="9">
        <f t="shared" si="0"/>
        <v>328.54946663877848</v>
      </c>
      <c r="Z15" s="19" t="s">
        <v>73</v>
      </c>
      <c r="AA15" s="8" t="s">
        <v>100</v>
      </c>
      <c r="AB15" s="8" t="s">
        <v>75</v>
      </c>
      <c r="AC15" s="11" t="s">
        <v>101</v>
      </c>
      <c r="AD15" s="9" t="s">
        <v>77</v>
      </c>
      <c r="AE15" s="14">
        <v>497.96714771999984</v>
      </c>
      <c r="AF15" s="13"/>
      <c r="AO15" s="35" t="s">
        <v>78</v>
      </c>
      <c r="AP15" s="31">
        <v>20.399999999999999</v>
      </c>
      <c r="AQ15" s="31">
        <v>20.399999999999999</v>
      </c>
    </row>
    <row r="16" spans="1:67" x14ac:dyDescent="0.2">
      <c r="A16" s="5"/>
      <c r="B16" s="25"/>
      <c r="C16" s="26"/>
      <c r="D16" s="5"/>
      <c r="E16" s="5"/>
      <c r="F16" s="32"/>
      <c r="G16" s="9"/>
      <c r="H16" s="6"/>
      <c r="I16" s="7"/>
      <c r="J16" s="9"/>
      <c r="N16" s="9"/>
      <c r="O16" s="12"/>
      <c r="S16" s="9"/>
      <c r="T16" s="18"/>
      <c r="U16" s="18"/>
      <c r="Y16" s="9" t="e">
        <f t="shared" si="0"/>
        <v>#DIV/0!</v>
      </c>
      <c r="Z16" s="19"/>
      <c r="AC16" s="11"/>
      <c r="AD16" s="9"/>
      <c r="AE16" s="14"/>
      <c r="AF16" s="13"/>
      <c r="AO16" s="34" t="s">
        <v>79</v>
      </c>
      <c r="AP16" s="31">
        <v>11.1</v>
      </c>
      <c r="AQ16" s="31">
        <v>11.1</v>
      </c>
    </row>
    <row r="17" spans="1:67" x14ac:dyDescent="0.2">
      <c r="A17" s="5"/>
      <c r="B17" s="25"/>
      <c r="C17" s="26"/>
      <c r="D17" s="5"/>
      <c r="E17" s="5"/>
      <c r="F17" s="32"/>
      <c r="G17" s="9"/>
      <c r="H17" s="6"/>
      <c r="I17" s="7"/>
      <c r="J17" s="9"/>
      <c r="N17" s="9"/>
      <c r="O17" s="12"/>
      <c r="S17" s="9"/>
      <c r="T17" s="18"/>
      <c r="U17" s="18"/>
      <c r="Y17" s="9" t="e">
        <f t="shared" si="0"/>
        <v>#DIV/0!</v>
      </c>
      <c r="Z17" s="19"/>
      <c r="AC17" s="11"/>
      <c r="AD17" s="9"/>
      <c r="AE17" s="14"/>
      <c r="AF17" s="13"/>
      <c r="AO17" s="34" t="s">
        <v>80</v>
      </c>
      <c r="AP17" s="31">
        <v>2.8</v>
      </c>
      <c r="AQ17" s="31">
        <v>2.8</v>
      </c>
    </row>
    <row r="18" spans="1:67" x14ac:dyDescent="0.2">
      <c r="A18" s="5" t="s">
        <v>67</v>
      </c>
      <c r="B18" s="25">
        <v>43383</v>
      </c>
      <c r="C18" s="26">
        <v>0.625</v>
      </c>
      <c r="D18" s="5" t="s">
        <v>68</v>
      </c>
      <c r="E18" s="5">
        <v>3</v>
      </c>
      <c r="F18" s="32">
        <v>61</v>
      </c>
      <c r="G18" s="9">
        <v>2</v>
      </c>
      <c r="H18" s="6">
        <v>3.2786885245901641E-2</v>
      </c>
      <c r="I18" s="7">
        <v>6.83E-2</v>
      </c>
      <c r="J18" s="9">
        <v>314.15899999999999</v>
      </c>
      <c r="K18" s="9">
        <v>0.47809999999999997</v>
      </c>
      <c r="L18" s="9">
        <v>7</v>
      </c>
      <c r="M18" s="14">
        <v>328.54946663877848</v>
      </c>
      <c r="N18" s="9">
        <v>190</v>
      </c>
      <c r="O18" s="12" t="s">
        <v>102</v>
      </c>
      <c r="P18" s="8" t="s">
        <v>70</v>
      </c>
      <c r="Q18" s="9" t="s">
        <v>103</v>
      </c>
      <c r="R18" s="9" t="s">
        <v>84</v>
      </c>
      <c r="S18" s="9"/>
      <c r="T18" s="18">
        <v>1</v>
      </c>
      <c r="U18" s="18">
        <v>1</v>
      </c>
      <c r="V18" s="9">
        <v>5.6</v>
      </c>
      <c r="Y18" s="9">
        <f t="shared" si="0"/>
        <v>328.54946663877848</v>
      </c>
      <c r="Z18" s="19" t="s">
        <v>73</v>
      </c>
      <c r="AA18" s="8" t="s">
        <v>100</v>
      </c>
      <c r="AB18" s="8" t="s">
        <v>75</v>
      </c>
      <c r="AC18" s="11" t="s">
        <v>101</v>
      </c>
      <c r="AD18" s="9" t="s">
        <v>104</v>
      </c>
      <c r="AE18" s="14">
        <v>91.131242719999989</v>
      </c>
      <c r="AF18" s="13"/>
      <c r="AO18" s="35" t="s">
        <v>78</v>
      </c>
      <c r="AP18" s="31">
        <v>3.7</v>
      </c>
      <c r="AQ18" s="31">
        <v>3.7</v>
      </c>
    </row>
    <row r="19" spans="1:67" x14ac:dyDescent="0.2">
      <c r="A19" s="5"/>
      <c r="B19" s="25"/>
      <c r="C19" s="26"/>
      <c r="D19" s="5"/>
      <c r="E19" s="5"/>
      <c r="F19" s="32"/>
      <c r="G19" s="9"/>
      <c r="H19" s="6"/>
      <c r="I19" s="7"/>
      <c r="J19" s="9"/>
      <c r="N19" s="9"/>
      <c r="O19" s="12"/>
      <c r="S19" s="9"/>
      <c r="T19" s="18"/>
      <c r="U19" s="18"/>
      <c r="Y19" s="9" t="e">
        <f t="shared" si="0"/>
        <v>#DIV/0!</v>
      </c>
      <c r="Z19" s="19"/>
      <c r="AC19" s="11"/>
      <c r="AD19" s="9"/>
      <c r="AE19" s="14"/>
      <c r="AF19" s="13"/>
      <c r="AO19" s="34" t="s">
        <v>79</v>
      </c>
      <c r="AP19" s="31">
        <v>5.6</v>
      </c>
      <c r="AQ19" s="31">
        <v>5.6</v>
      </c>
    </row>
    <row r="20" spans="1:67" x14ac:dyDescent="0.2">
      <c r="A20" s="5" t="s">
        <v>67</v>
      </c>
      <c r="B20" s="25">
        <v>43383</v>
      </c>
      <c r="C20" s="26">
        <v>0.625</v>
      </c>
      <c r="D20" s="5" t="s">
        <v>68</v>
      </c>
      <c r="E20" s="5">
        <v>3</v>
      </c>
      <c r="F20" s="32">
        <v>61</v>
      </c>
      <c r="G20" s="9">
        <v>2</v>
      </c>
      <c r="H20" s="6">
        <v>3.2786885245901641E-2</v>
      </c>
      <c r="I20" s="7">
        <v>6.83E-2</v>
      </c>
      <c r="J20" s="9">
        <v>314.15899999999999</v>
      </c>
      <c r="K20" s="9">
        <v>0.47809999999999997</v>
      </c>
      <c r="L20" s="9">
        <v>7</v>
      </c>
      <c r="M20" s="14">
        <v>328.54946663877848</v>
      </c>
      <c r="N20" s="9">
        <v>412</v>
      </c>
      <c r="O20" s="12" t="s">
        <v>105</v>
      </c>
      <c r="P20" s="8" t="s">
        <v>70</v>
      </c>
      <c r="Q20" s="9" t="s">
        <v>106</v>
      </c>
      <c r="R20" s="9" t="s">
        <v>107</v>
      </c>
      <c r="S20" s="9"/>
      <c r="T20" s="18">
        <v>1</v>
      </c>
      <c r="U20" s="18">
        <v>1</v>
      </c>
      <c r="V20" s="9">
        <v>14.8</v>
      </c>
      <c r="Y20" s="9">
        <f t="shared" si="0"/>
        <v>328.54946663877848</v>
      </c>
      <c r="Z20" s="19" t="s">
        <v>73</v>
      </c>
      <c r="AA20" s="8" t="s">
        <v>100</v>
      </c>
      <c r="AB20" s="8" t="s">
        <v>75</v>
      </c>
      <c r="AC20" s="11" t="s">
        <v>101</v>
      </c>
      <c r="AD20" s="9" t="s">
        <v>77</v>
      </c>
      <c r="AE20" s="14">
        <v>240.84685576000001</v>
      </c>
      <c r="AF20" s="13"/>
      <c r="AO20" s="35" t="s">
        <v>78</v>
      </c>
      <c r="AP20" s="31">
        <v>14.8</v>
      </c>
      <c r="AQ20" s="31">
        <v>14.8</v>
      </c>
    </row>
    <row r="21" spans="1:67" x14ac:dyDescent="0.2">
      <c r="A21" s="5"/>
      <c r="B21" s="25"/>
      <c r="C21" s="26"/>
      <c r="D21" s="5"/>
      <c r="E21" s="5"/>
      <c r="F21" s="32"/>
      <c r="G21" s="9"/>
      <c r="H21" s="6"/>
      <c r="I21" s="7"/>
      <c r="J21" s="9"/>
      <c r="N21" s="9"/>
      <c r="O21" s="12"/>
      <c r="S21" s="9"/>
      <c r="T21" s="18"/>
      <c r="U21" s="18"/>
      <c r="Y21" s="9" t="e">
        <f t="shared" si="0"/>
        <v>#DIV/0!</v>
      </c>
      <c r="Z21" s="19"/>
      <c r="AC21" s="11"/>
      <c r="AD21" s="9"/>
      <c r="AE21" s="14"/>
      <c r="AF21" s="13"/>
      <c r="AO21" s="34" t="s">
        <v>79</v>
      </c>
      <c r="AP21" s="31">
        <v>5.6</v>
      </c>
      <c r="AQ21" s="31">
        <v>5.6</v>
      </c>
    </row>
    <row r="22" spans="1:67" x14ac:dyDescent="0.2">
      <c r="A22" s="5"/>
      <c r="B22" s="25"/>
      <c r="C22" s="26"/>
      <c r="D22" s="5"/>
      <c r="E22" s="5"/>
      <c r="F22" s="32"/>
      <c r="G22" s="9"/>
      <c r="H22" s="6"/>
      <c r="I22" s="7"/>
      <c r="J22" s="9"/>
      <c r="N22" s="9"/>
      <c r="O22" s="12"/>
      <c r="S22" s="9"/>
      <c r="T22" s="18"/>
      <c r="U22" s="18"/>
      <c r="Y22" s="9" t="e">
        <f t="shared" si="0"/>
        <v>#DIV/0!</v>
      </c>
      <c r="Z22" s="19"/>
      <c r="AC22" s="11"/>
      <c r="AD22" s="9"/>
      <c r="AE22" s="14"/>
      <c r="AF22" s="13"/>
      <c r="AO22" s="34" t="s">
        <v>80</v>
      </c>
      <c r="AP22" s="31">
        <v>3.7</v>
      </c>
      <c r="AQ22" s="31">
        <v>3.7</v>
      </c>
    </row>
    <row r="23" spans="1:67" x14ac:dyDescent="0.2">
      <c r="A23" s="5" t="s">
        <v>67</v>
      </c>
      <c r="B23" s="25">
        <v>43383</v>
      </c>
      <c r="C23" s="26">
        <v>0.625</v>
      </c>
      <c r="D23" s="5" t="s">
        <v>68</v>
      </c>
      <c r="E23" s="5">
        <v>3</v>
      </c>
      <c r="F23" s="32">
        <v>61</v>
      </c>
      <c r="G23" s="9">
        <v>2</v>
      </c>
      <c r="H23" s="6">
        <v>3.2786885245901641E-2</v>
      </c>
      <c r="I23" s="7">
        <v>6.83E-2</v>
      </c>
      <c r="J23" s="9">
        <v>314.15899999999999</v>
      </c>
      <c r="K23" s="9">
        <v>0.47809999999999997</v>
      </c>
      <c r="L23" s="9">
        <v>7</v>
      </c>
      <c r="M23" s="14">
        <v>328.54946663877848</v>
      </c>
      <c r="N23" s="9">
        <v>1037</v>
      </c>
      <c r="O23" s="12" t="s">
        <v>86</v>
      </c>
      <c r="P23" s="12" t="s">
        <v>82</v>
      </c>
      <c r="Q23" s="9" t="s">
        <v>87</v>
      </c>
      <c r="R23" s="9" t="s">
        <v>84</v>
      </c>
      <c r="S23" s="9"/>
      <c r="T23" s="18">
        <v>5</v>
      </c>
      <c r="U23" s="18">
        <v>5</v>
      </c>
      <c r="V23" s="9">
        <v>2.8</v>
      </c>
      <c r="Y23" s="9">
        <f t="shared" si="0"/>
        <v>1642.7473331938927</v>
      </c>
      <c r="Z23" s="19" t="s">
        <v>73</v>
      </c>
      <c r="AA23" s="8" t="s">
        <v>100</v>
      </c>
      <c r="AB23" s="8" t="s">
        <v>75</v>
      </c>
      <c r="AC23" s="11" t="s">
        <v>101</v>
      </c>
      <c r="AD23" s="9" t="s">
        <v>85</v>
      </c>
      <c r="AE23" s="14">
        <v>9.2027643066666673</v>
      </c>
      <c r="AF23" s="13"/>
      <c r="AO23" s="35" t="s">
        <v>78</v>
      </c>
      <c r="AP23" s="31">
        <v>2.62</v>
      </c>
      <c r="AQ23" s="31">
        <v>2.8</v>
      </c>
      <c r="AR23" s="31">
        <v>2.8</v>
      </c>
      <c r="AS23" s="31">
        <v>2.8</v>
      </c>
      <c r="AT23" s="31">
        <v>2.8</v>
      </c>
      <c r="AU23" s="31">
        <v>1.9</v>
      </c>
    </row>
    <row r="24" spans="1:67" x14ac:dyDescent="0.2">
      <c r="A24" s="5" t="s">
        <v>67</v>
      </c>
      <c r="B24" s="25">
        <v>43383</v>
      </c>
      <c r="C24" s="26">
        <v>0.625</v>
      </c>
      <c r="D24" s="5" t="s">
        <v>68</v>
      </c>
      <c r="E24" s="5">
        <v>3</v>
      </c>
      <c r="F24" s="32">
        <v>61</v>
      </c>
      <c r="G24" s="9">
        <v>2</v>
      </c>
      <c r="H24" s="6">
        <v>3.2786885245901641E-2</v>
      </c>
      <c r="I24" s="7">
        <v>6.83E-2</v>
      </c>
      <c r="J24" s="9">
        <v>314.15899999999999</v>
      </c>
      <c r="K24" s="9">
        <v>0.47809999999999997</v>
      </c>
      <c r="L24" s="9">
        <v>7</v>
      </c>
      <c r="M24" s="14">
        <v>328.54946663877848</v>
      </c>
      <c r="N24" s="9">
        <v>1364</v>
      </c>
      <c r="O24" s="12" t="s">
        <v>88</v>
      </c>
      <c r="P24" s="12" t="s">
        <v>82</v>
      </c>
      <c r="Q24" s="9" t="s">
        <v>89</v>
      </c>
      <c r="R24" s="9" t="s">
        <v>90</v>
      </c>
      <c r="S24" s="9"/>
      <c r="T24" s="18">
        <v>3</v>
      </c>
      <c r="U24" s="18">
        <v>3</v>
      </c>
      <c r="V24" s="9">
        <v>11.1</v>
      </c>
      <c r="Y24" s="9">
        <f t="shared" si="0"/>
        <v>985.64839991633551</v>
      </c>
      <c r="Z24" s="19" t="s">
        <v>73</v>
      </c>
      <c r="AA24" s="8" t="s">
        <v>100</v>
      </c>
      <c r="AB24" s="8" t="s">
        <v>75</v>
      </c>
      <c r="AC24" s="11" t="s">
        <v>101</v>
      </c>
      <c r="AD24" s="9" t="s">
        <v>91</v>
      </c>
      <c r="AE24" s="14">
        <v>422.18257214999988</v>
      </c>
      <c r="AF24" s="13"/>
      <c r="AO24" s="35" t="s">
        <v>78</v>
      </c>
      <c r="AP24" s="31">
        <v>10.199999999999999</v>
      </c>
      <c r="AQ24" s="31">
        <v>11.1</v>
      </c>
      <c r="AR24" s="31">
        <v>10.199999999999999</v>
      </c>
      <c r="AS24" s="31">
        <v>9.3000000000000007</v>
      </c>
    </row>
    <row r="25" spans="1:67" x14ac:dyDescent="0.2">
      <c r="A25" s="5"/>
      <c r="B25" s="25"/>
      <c r="C25" s="26"/>
      <c r="D25" s="5"/>
      <c r="E25" s="5"/>
      <c r="F25" s="32"/>
      <c r="G25" s="9"/>
      <c r="H25" s="6"/>
      <c r="I25" s="7"/>
      <c r="J25" s="9"/>
      <c r="N25" s="9"/>
      <c r="O25" s="12"/>
      <c r="P25" s="12"/>
      <c r="S25" s="9"/>
      <c r="T25" s="18"/>
      <c r="U25" s="18"/>
      <c r="Y25" s="9" t="e">
        <f t="shared" si="0"/>
        <v>#DIV/0!</v>
      </c>
      <c r="Z25" s="19"/>
      <c r="AC25" s="11"/>
      <c r="AD25" s="9"/>
      <c r="AE25" s="14"/>
      <c r="AF25" s="13"/>
      <c r="AO25" s="34" t="s">
        <v>79</v>
      </c>
      <c r="AP25" s="31">
        <v>5.2666666666666666</v>
      </c>
      <c r="AQ25" s="31">
        <v>5.6</v>
      </c>
      <c r="AR25" s="31">
        <v>5.6</v>
      </c>
      <c r="AS25" s="31">
        <v>4.5999999999999996</v>
      </c>
    </row>
    <row r="26" spans="1:67" x14ac:dyDescent="0.2">
      <c r="A26" s="5" t="s">
        <v>67</v>
      </c>
      <c r="B26" s="25">
        <v>43383</v>
      </c>
      <c r="C26" s="26">
        <v>0.625</v>
      </c>
      <c r="D26" s="5" t="s">
        <v>68</v>
      </c>
      <c r="E26" s="5">
        <v>3</v>
      </c>
      <c r="F26" s="32">
        <v>61</v>
      </c>
      <c r="G26" s="9">
        <v>2</v>
      </c>
      <c r="H26" s="6">
        <v>3.2786885245901641E-2</v>
      </c>
      <c r="I26" s="7">
        <v>6.83E-2</v>
      </c>
      <c r="J26" s="9">
        <v>314.15899999999999</v>
      </c>
      <c r="K26" s="9">
        <v>0.47809999999999997</v>
      </c>
      <c r="L26" s="9">
        <v>7</v>
      </c>
      <c r="M26" s="14">
        <v>328.54946663877848</v>
      </c>
      <c r="N26" s="9">
        <v>1733</v>
      </c>
      <c r="O26" s="12" t="s">
        <v>92</v>
      </c>
      <c r="P26" s="12" t="s">
        <v>82</v>
      </c>
      <c r="Q26" s="9" t="s">
        <v>89</v>
      </c>
      <c r="R26" s="9" t="s">
        <v>93</v>
      </c>
      <c r="S26" s="9"/>
      <c r="T26" s="18">
        <v>2</v>
      </c>
      <c r="U26" s="18">
        <v>2</v>
      </c>
      <c r="V26" s="9">
        <v>5.6</v>
      </c>
      <c r="Y26" s="9">
        <f t="shared" si="0"/>
        <v>657.09893327755697</v>
      </c>
      <c r="Z26" s="19" t="s">
        <v>73</v>
      </c>
      <c r="AA26" s="8" t="s">
        <v>100</v>
      </c>
      <c r="AB26" s="8" t="s">
        <v>75</v>
      </c>
      <c r="AC26" s="11" t="s">
        <v>101</v>
      </c>
      <c r="AD26" s="9" t="s">
        <v>91</v>
      </c>
      <c r="AE26" s="14">
        <v>76.353203359999995</v>
      </c>
      <c r="AF26" s="13"/>
      <c r="AO26" s="35" t="s">
        <v>78</v>
      </c>
      <c r="AP26" s="31">
        <v>5.6</v>
      </c>
      <c r="AQ26" s="31">
        <v>5.6</v>
      </c>
      <c r="AR26" s="31">
        <v>5.6</v>
      </c>
    </row>
    <row r="27" spans="1:67" x14ac:dyDescent="0.2">
      <c r="A27" s="5"/>
      <c r="B27" s="25"/>
      <c r="C27" s="26"/>
      <c r="D27" s="5"/>
      <c r="E27" s="5"/>
      <c r="F27" s="32"/>
      <c r="G27" s="9"/>
      <c r="H27" s="6"/>
      <c r="I27" s="7"/>
      <c r="J27" s="9"/>
      <c r="N27" s="9"/>
      <c r="O27" s="12"/>
      <c r="P27" s="12"/>
      <c r="S27" s="9"/>
      <c r="T27" s="18"/>
      <c r="U27" s="18"/>
      <c r="Y27" s="9" t="e">
        <f t="shared" si="0"/>
        <v>#DIV/0!</v>
      </c>
      <c r="Z27" s="19"/>
      <c r="AC27" s="11"/>
      <c r="AD27" s="9"/>
      <c r="AE27" s="14"/>
      <c r="AF27" s="13"/>
      <c r="AO27" s="34" t="s">
        <v>79</v>
      </c>
      <c r="AP27" s="31">
        <v>3.7</v>
      </c>
      <c r="AQ27" s="31">
        <v>3.7</v>
      </c>
      <c r="AR27" s="31">
        <v>3.7</v>
      </c>
    </row>
    <row r="28" spans="1:67" x14ac:dyDescent="0.2">
      <c r="A28" s="5" t="s">
        <v>67</v>
      </c>
      <c r="B28" s="25">
        <v>43383</v>
      </c>
      <c r="C28" s="26">
        <v>0.625</v>
      </c>
      <c r="D28" s="5" t="s">
        <v>68</v>
      </c>
      <c r="E28" s="5">
        <v>3</v>
      </c>
      <c r="F28" s="32">
        <v>61</v>
      </c>
      <c r="G28" s="9">
        <v>2</v>
      </c>
      <c r="H28" s="6">
        <v>3.2786885245901641E-2</v>
      </c>
      <c r="I28" s="7">
        <v>6.83E-2</v>
      </c>
      <c r="J28" s="9">
        <v>314.15899999999999</v>
      </c>
      <c r="K28" s="9">
        <v>0.47809999999999997</v>
      </c>
      <c r="L28" s="9">
        <v>7</v>
      </c>
      <c r="M28" s="14">
        <v>328.54946663877848</v>
      </c>
      <c r="N28" s="9">
        <v>1419</v>
      </c>
      <c r="O28" s="12" t="s">
        <v>94</v>
      </c>
      <c r="P28" s="12" t="s">
        <v>82</v>
      </c>
      <c r="Q28" s="9" t="s">
        <v>95</v>
      </c>
      <c r="R28" s="9" t="s">
        <v>96</v>
      </c>
      <c r="S28" s="9"/>
      <c r="T28" s="18">
        <v>393</v>
      </c>
      <c r="U28" s="18">
        <v>795</v>
      </c>
      <c r="V28" s="9">
        <v>0.8</v>
      </c>
      <c r="W28" s="9">
        <v>0.8</v>
      </c>
      <c r="X28" s="9">
        <v>0.8</v>
      </c>
      <c r="Y28" s="9">
        <f t="shared" si="0"/>
        <v>129119.94038903996</v>
      </c>
      <c r="Z28" s="19" t="s">
        <v>97</v>
      </c>
      <c r="AA28" s="8" t="s">
        <v>100</v>
      </c>
      <c r="AB28" s="8" t="s">
        <v>75</v>
      </c>
      <c r="AC28" s="11" t="s">
        <v>101</v>
      </c>
      <c r="AD28" s="9" t="s">
        <v>85</v>
      </c>
      <c r="AE28" s="14">
        <v>0.18</v>
      </c>
      <c r="AF28" s="14">
        <v>0.18</v>
      </c>
      <c r="AG28" s="14">
        <v>0.18</v>
      </c>
      <c r="AH28" s="14">
        <v>0.18</v>
      </c>
      <c r="AI28" s="14">
        <v>0.18</v>
      </c>
      <c r="AJ28" s="14">
        <v>0.18</v>
      </c>
      <c r="AK28" s="14">
        <v>0.18</v>
      </c>
      <c r="AL28" s="14">
        <v>0.18</v>
      </c>
      <c r="AM28" s="14">
        <v>0.18</v>
      </c>
      <c r="AN28" s="14">
        <v>0.18</v>
      </c>
      <c r="AO28" s="35" t="s">
        <v>78</v>
      </c>
      <c r="AP28" s="31">
        <v>0.75200000000000033</v>
      </c>
      <c r="AQ28" s="31">
        <v>0.7</v>
      </c>
      <c r="AR28" s="31">
        <v>0.7</v>
      </c>
      <c r="AS28" s="31">
        <v>0.7</v>
      </c>
      <c r="AT28" s="31">
        <v>0.7</v>
      </c>
      <c r="AU28" s="31">
        <v>0.7</v>
      </c>
      <c r="AV28" s="31">
        <v>0.7</v>
      </c>
      <c r="AW28" s="31">
        <v>0.7</v>
      </c>
      <c r="AX28" s="31">
        <v>0.7</v>
      </c>
      <c r="AY28" s="31">
        <v>0.7</v>
      </c>
      <c r="AZ28" s="31">
        <v>0.7</v>
      </c>
      <c r="BA28" s="31">
        <v>0.7</v>
      </c>
      <c r="BB28" s="31">
        <v>0.7</v>
      </c>
      <c r="BC28" s="31">
        <v>0.8</v>
      </c>
      <c r="BD28" s="31">
        <v>0.8</v>
      </c>
      <c r="BE28" s="31">
        <v>0.8</v>
      </c>
      <c r="BF28" s="31">
        <v>0.8</v>
      </c>
      <c r="BG28" s="31">
        <v>0.8</v>
      </c>
      <c r="BH28" s="31">
        <v>0.8</v>
      </c>
      <c r="BI28" s="31">
        <v>0.8</v>
      </c>
      <c r="BJ28" s="31">
        <v>0.8</v>
      </c>
      <c r="BK28" s="31">
        <v>0.8</v>
      </c>
      <c r="BL28" s="31">
        <v>0.8</v>
      </c>
      <c r="BM28" s="31">
        <v>0.8</v>
      </c>
      <c r="BN28" s="31">
        <v>0.8</v>
      </c>
      <c r="BO28" s="31">
        <v>0.8</v>
      </c>
    </row>
    <row r="29" spans="1:67" x14ac:dyDescent="0.2">
      <c r="A29" s="5" t="s">
        <v>67</v>
      </c>
      <c r="B29" s="25">
        <v>43389</v>
      </c>
      <c r="C29" s="26">
        <v>0.64236111111111105</v>
      </c>
      <c r="D29" s="5" t="s">
        <v>108</v>
      </c>
      <c r="E29" s="5">
        <v>3</v>
      </c>
      <c r="F29" s="32">
        <v>64</v>
      </c>
      <c r="G29" s="9">
        <v>2</v>
      </c>
      <c r="H29" s="6">
        <v>3.125E-2</v>
      </c>
      <c r="I29" s="7">
        <v>6.83E-2</v>
      </c>
      <c r="J29" s="9">
        <v>314.15899999999999</v>
      </c>
      <c r="K29" s="9">
        <v>1.0928</v>
      </c>
      <c r="L29" s="9">
        <v>16</v>
      </c>
      <c r="M29" s="14">
        <v>143.74039165446558</v>
      </c>
      <c r="N29" s="9">
        <v>46</v>
      </c>
      <c r="O29" s="12" t="s">
        <v>109</v>
      </c>
      <c r="P29" s="8" t="s">
        <v>70</v>
      </c>
      <c r="Q29" s="9" t="s">
        <v>110</v>
      </c>
      <c r="R29" s="9" t="s">
        <v>84</v>
      </c>
      <c r="S29" s="9"/>
      <c r="T29" s="18">
        <v>1</v>
      </c>
      <c r="U29" s="18">
        <v>1</v>
      </c>
      <c r="V29" s="9">
        <v>11.1</v>
      </c>
      <c r="Y29" s="9">
        <f t="shared" si="0"/>
        <v>143.74039165446558</v>
      </c>
      <c r="Z29" s="19" t="s">
        <v>73</v>
      </c>
      <c r="AA29" s="8" t="s">
        <v>111</v>
      </c>
      <c r="AB29" s="8" t="s">
        <v>75</v>
      </c>
      <c r="AC29" s="11" t="s">
        <v>112</v>
      </c>
      <c r="AD29" s="9" t="s">
        <v>77</v>
      </c>
      <c r="AE29" s="14">
        <v>90.317570909999986</v>
      </c>
      <c r="AF29" s="13"/>
      <c r="AO29" s="35" t="s">
        <v>78</v>
      </c>
      <c r="AP29" s="31">
        <v>11.1</v>
      </c>
      <c r="AQ29" s="31">
        <v>11.1</v>
      </c>
    </row>
    <row r="30" spans="1:67" x14ac:dyDescent="0.2">
      <c r="A30" s="5"/>
      <c r="B30" s="25"/>
      <c r="C30" s="26"/>
      <c r="D30" s="5"/>
      <c r="E30" s="5"/>
      <c r="F30" s="32"/>
      <c r="G30" s="9"/>
      <c r="H30" s="6"/>
      <c r="I30" s="7"/>
      <c r="J30" s="9"/>
      <c r="N30" s="9"/>
      <c r="O30" s="12"/>
      <c r="S30" s="9"/>
      <c r="T30" s="18"/>
      <c r="U30" s="18"/>
      <c r="Y30" s="9" t="e">
        <f t="shared" si="0"/>
        <v>#DIV/0!</v>
      </c>
      <c r="Z30" s="19"/>
      <c r="AC30" s="11"/>
      <c r="AD30" s="9"/>
      <c r="AE30" s="14"/>
      <c r="AF30" s="13"/>
      <c r="AO30" s="34" t="s">
        <v>79</v>
      </c>
      <c r="AP30" s="31">
        <v>3.7</v>
      </c>
      <c r="AQ30" s="31">
        <v>3.7</v>
      </c>
    </row>
    <row r="31" spans="1:67" x14ac:dyDescent="0.2">
      <c r="A31" s="5"/>
      <c r="B31" s="25"/>
      <c r="C31" s="26"/>
      <c r="D31" s="5"/>
      <c r="E31" s="5"/>
      <c r="F31" s="32"/>
      <c r="G31" s="9"/>
      <c r="H31" s="6"/>
      <c r="I31" s="7"/>
      <c r="J31" s="9"/>
      <c r="N31" s="9"/>
      <c r="O31" s="12"/>
      <c r="S31" s="9"/>
      <c r="T31" s="18"/>
      <c r="U31" s="18"/>
      <c r="Y31" s="9" t="e">
        <f t="shared" si="0"/>
        <v>#DIV/0!</v>
      </c>
      <c r="Z31" s="19"/>
      <c r="AC31" s="11"/>
      <c r="AD31" s="9"/>
      <c r="AE31" s="14"/>
      <c r="AF31" s="13"/>
      <c r="AO31" s="34" t="s">
        <v>80</v>
      </c>
      <c r="AP31" s="31">
        <v>2.8</v>
      </c>
      <c r="AQ31" s="31">
        <v>2.8</v>
      </c>
    </row>
    <row r="32" spans="1:67" x14ac:dyDescent="0.2">
      <c r="A32" s="5" t="s">
        <v>67</v>
      </c>
      <c r="B32" s="25">
        <v>43389</v>
      </c>
      <c r="C32" s="26">
        <v>0.64236111111111105</v>
      </c>
      <c r="D32" s="5" t="s">
        <v>108</v>
      </c>
      <c r="E32" s="5">
        <v>3</v>
      </c>
      <c r="F32" s="32">
        <v>64</v>
      </c>
      <c r="G32" s="9">
        <v>2</v>
      </c>
      <c r="H32" s="6">
        <v>3.125E-2</v>
      </c>
      <c r="I32" s="7">
        <v>6.83E-2</v>
      </c>
      <c r="J32" s="9">
        <v>314.15899999999999</v>
      </c>
      <c r="K32" s="9">
        <v>1.0928</v>
      </c>
      <c r="L32" s="9">
        <v>16</v>
      </c>
      <c r="M32" s="14">
        <v>143.74039165446558</v>
      </c>
      <c r="N32" s="9">
        <v>145</v>
      </c>
      <c r="O32" s="12" t="s">
        <v>69</v>
      </c>
      <c r="P32" s="8" t="s">
        <v>70</v>
      </c>
      <c r="Q32" s="9" t="s">
        <v>71</v>
      </c>
      <c r="R32" s="9" t="s">
        <v>72</v>
      </c>
      <c r="S32" s="9"/>
      <c r="T32" s="18">
        <v>1</v>
      </c>
      <c r="U32" s="18">
        <v>1</v>
      </c>
      <c r="V32" s="9">
        <v>10.199999999999999</v>
      </c>
      <c r="Y32" s="9">
        <f t="shared" si="0"/>
        <v>143.74039165446558</v>
      </c>
      <c r="Z32" s="19" t="s">
        <v>73</v>
      </c>
      <c r="AA32" s="8" t="s">
        <v>111</v>
      </c>
      <c r="AB32" s="8" t="s">
        <v>75</v>
      </c>
      <c r="AC32" s="11" t="s">
        <v>112</v>
      </c>
      <c r="AD32" s="9" t="s">
        <v>77</v>
      </c>
      <c r="AE32" s="14">
        <v>98.936523074999968</v>
      </c>
      <c r="AF32" s="13"/>
      <c r="AO32" s="35" t="s">
        <v>78</v>
      </c>
      <c r="AP32" s="31">
        <v>10.199999999999999</v>
      </c>
      <c r="AQ32" s="31">
        <v>10.199999999999999</v>
      </c>
    </row>
    <row r="33" spans="1:67" x14ac:dyDescent="0.2">
      <c r="A33" s="5"/>
      <c r="B33" s="25"/>
      <c r="C33" s="26"/>
      <c r="D33" s="5"/>
      <c r="E33" s="5"/>
      <c r="F33" s="32"/>
      <c r="G33" s="9"/>
      <c r="H33" s="6"/>
      <c r="I33" s="7"/>
      <c r="J33" s="9"/>
      <c r="N33" s="9"/>
      <c r="O33" s="12"/>
      <c r="S33" s="9"/>
      <c r="T33" s="18"/>
      <c r="U33" s="18"/>
      <c r="Y33" s="9" t="e">
        <f t="shared" si="0"/>
        <v>#DIV/0!</v>
      </c>
      <c r="Z33" s="19"/>
      <c r="AC33" s="11"/>
      <c r="AD33" s="9"/>
      <c r="AE33" s="14"/>
      <c r="AF33" s="13"/>
      <c r="AO33" s="34" t="s">
        <v>79</v>
      </c>
      <c r="AP33" s="31">
        <v>6.5</v>
      </c>
      <c r="AQ33" s="31">
        <v>6.5</v>
      </c>
    </row>
    <row r="34" spans="1:67" x14ac:dyDescent="0.2">
      <c r="A34" s="5"/>
      <c r="B34" s="25"/>
      <c r="C34" s="26"/>
      <c r="D34" s="5"/>
      <c r="E34" s="5"/>
      <c r="F34" s="32"/>
      <c r="G34" s="9"/>
      <c r="H34" s="6"/>
      <c r="I34" s="7"/>
      <c r="J34" s="9"/>
      <c r="N34" s="9"/>
      <c r="O34" s="12"/>
      <c r="S34" s="9"/>
      <c r="T34" s="18"/>
      <c r="U34" s="18"/>
      <c r="Y34" s="9" t="e">
        <f t="shared" si="0"/>
        <v>#DIV/0!</v>
      </c>
      <c r="Z34" s="19"/>
      <c r="AC34" s="11"/>
      <c r="AD34" s="9"/>
      <c r="AE34" s="14"/>
      <c r="AF34" s="13"/>
      <c r="AO34" s="34" t="s">
        <v>80</v>
      </c>
      <c r="AP34" s="31">
        <v>1.9</v>
      </c>
      <c r="AQ34" s="31">
        <v>1.9</v>
      </c>
    </row>
    <row r="35" spans="1:67" x14ac:dyDescent="0.2">
      <c r="A35" s="5" t="s">
        <v>67</v>
      </c>
      <c r="B35" s="25">
        <v>43389</v>
      </c>
      <c r="C35" s="26">
        <v>0.64236111111111105</v>
      </c>
      <c r="D35" s="5" t="s">
        <v>108</v>
      </c>
      <c r="E35" s="5">
        <v>3</v>
      </c>
      <c r="F35" s="32">
        <v>64</v>
      </c>
      <c r="G35" s="9">
        <v>2</v>
      </c>
      <c r="H35" s="6">
        <v>3.125E-2</v>
      </c>
      <c r="I35" s="7">
        <v>6.83E-2</v>
      </c>
      <c r="J35" s="9">
        <v>314.15899999999999</v>
      </c>
      <c r="K35" s="9">
        <v>1.0928</v>
      </c>
      <c r="L35" s="9">
        <v>16</v>
      </c>
      <c r="M35" s="14">
        <v>143.74039165446558</v>
      </c>
      <c r="N35" s="9">
        <v>1037</v>
      </c>
      <c r="O35" s="12" t="s">
        <v>86</v>
      </c>
      <c r="P35" s="12" t="s">
        <v>82</v>
      </c>
      <c r="Q35" s="9" t="s">
        <v>87</v>
      </c>
      <c r="R35" s="9" t="s">
        <v>84</v>
      </c>
      <c r="S35" s="9"/>
      <c r="T35" s="18">
        <v>33</v>
      </c>
      <c r="U35" s="18">
        <v>33</v>
      </c>
      <c r="V35" s="9">
        <v>2.8</v>
      </c>
      <c r="Y35" s="9">
        <f t="shared" si="0"/>
        <v>4743.432924597364</v>
      </c>
      <c r="Z35" s="19" t="s">
        <v>73</v>
      </c>
      <c r="AA35" s="8" t="s">
        <v>111</v>
      </c>
      <c r="AB35" s="8" t="s">
        <v>75</v>
      </c>
      <c r="AC35" s="11" t="s">
        <v>112</v>
      </c>
      <c r="AD35" s="9" t="s">
        <v>85</v>
      </c>
      <c r="AE35" s="14">
        <v>6.3706209216666645</v>
      </c>
      <c r="AF35" s="13"/>
      <c r="AO35" s="35" t="s">
        <v>78</v>
      </c>
      <c r="AP35" s="31">
        <v>2.2599999999999998</v>
      </c>
      <c r="AQ35" s="31">
        <v>2.8</v>
      </c>
      <c r="AR35" s="31">
        <v>1.9</v>
      </c>
      <c r="AS35" s="31">
        <v>1.9</v>
      </c>
      <c r="AT35" s="31">
        <v>2.8</v>
      </c>
      <c r="AU35" s="31">
        <v>1.9</v>
      </c>
    </row>
    <row r="36" spans="1:67" x14ac:dyDescent="0.2">
      <c r="A36" s="5" t="s">
        <v>67</v>
      </c>
      <c r="B36" s="25">
        <v>43389</v>
      </c>
      <c r="C36" s="26">
        <v>0.64236111111111105</v>
      </c>
      <c r="D36" s="5" t="s">
        <v>108</v>
      </c>
      <c r="E36" s="5">
        <v>3</v>
      </c>
      <c r="F36" s="32">
        <v>64</v>
      </c>
      <c r="G36" s="9">
        <v>2</v>
      </c>
      <c r="H36" s="6">
        <v>3.125E-2</v>
      </c>
      <c r="I36" s="7">
        <v>6.83E-2</v>
      </c>
      <c r="J36" s="9">
        <v>314.15899999999999</v>
      </c>
      <c r="K36" s="9">
        <v>1.0928</v>
      </c>
      <c r="L36" s="9">
        <v>16</v>
      </c>
      <c r="M36" s="14">
        <v>143.74039165446558</v>
      </c>
      <c r="N36" s="9">
        <v>1364</v>
      </c>
      <c r="O36" s="12" t="s">
        <v>88</v>
      </c>
      <c r="P36" s="12" t="s">
        <v>82</v>
      </c>
      <c r="Q36" s="9" t="s">
        <v>89</v>
      </c>
      <c r="R36" s="9" t="s">
        <v>90</v>
      </c>
      <c r="S36" s="9"/>
      <c r="T36" s="18">
        <v>1</v>
      </c>
      <c r="U36" s="18">
        <v>1</v>
      </c>
      <c r="V36" s="9">
        <v>9.3000000000000007</v>
      </c>
      <c r="Y36" s="9">
        <f t="shared" si="0"/>
        <v>143.74039165446558</v>
      </c>
      <c r="Z36" s="19" t="s">
        <v>73</v>
      </c>
      <c r="AA36" s="8" t="s">
        <v>111</v>
      </c>
      <c r="AB36" s="8" t="s">
        <v>75</v>
      </c>
      <c r="AC36" s="11" t="s">
        <v>112</v>
      </c>
      <c r="AD36" s="9" t="s">
        <v>91</v>
      </c>
      <c r="AE36" s="14">
        <v>337.38084788249995</v>
      </c>
      <c r="AF36" s="13"/>
      <c r="AO36" s="35" t="s">
        <v>78</v>
      </c>
      <c r="AP36" s="31">
        <v>9.3000000000000007</v>
      </c>
      <c r="AQ36" s="31">
        <v>9.3000000000000007</v>
      </c>
    </row>
    <row r="37" spans="1:67" x14ac:dyDescent="0.2">
      <c r="A37" s="5"/>
      <c r="B37" s="25"/>
      <c r="C37" s="26"/>
      <c r="D37" s="5"/>
      <c r="E37" s="5"/>
      <c r="F37" s="32"/>
      <c r="G37" s="9"/>
      <c r="H37" s="6"/>
      <c r="I37" s="7"/>
      <c r="J37" s="9"/>
      <c r="N37" s="9"/>
      <c r="O37" s="12"/>
      <c r="P37" s="12"/>
      <c r="S37" s="9"/>
      <c r="T37" s="18"/>
      <c r="U37" s="18"/>
      <c r="Y37" s="9" t="e">
        <f t="shared" si="0"/>
        <v>#DIV/0!</v>
      </c>
      <c r="Z37" s="19"/>
      <c r="AC37" s="11"/>
      <c r="AD37" s="9"/>
      <c r="AE37" s="14"/>
      <c r="AF37" s="13"/>
      <c r="AO37" s="34" t="s">
        <v>79</v>
      </c>
      <c r="AP37" s="31">
        <v>5.6</v>
      </c>
      <c r="AQ37" s="31">
        <v>5.6</v>
      </c>
    </row>
    <row r="38" spans="1:67" x14ac:dyDescent="0.2">
      <c r="A38" s="5" t="s">
        <v>67</v>
      </c>
      <c r="B38" s="25">
        <v>43389</v>
      </c>
      <c r="C38" s="26">
        <v>0.64236111111111105</v>
      </c>
      <c r="D38" s="5" t="s">
        <v>108</v>
      </c>
      <c r="E38" s="5">
        <v>3</v>
      </c>
      <c r="F38" s="32">
        <v>64</v>
      </c>
      <c r="G38" s="9">
        <v>2</v>
      </c>
      <c r="H38" s="6">
        <v>3.125E-2</v>
      </c>
      <c r="I38" s="7">
        <v>6.83E-2</v>
      </c>
      <c r="J38" s="9">
        <v>314.15899999999999</v>
      </c>
      <c r="K38" s="9">
        <v>1.0928</v>
      </c>
      <c r="L38" s="9">
        <v>16</v>
      </c>
      <c r="M38" s="14">
        <v>143.74039165446558</v>
      </c>
      <c r="N38" s="9">
        <v>1419</v>
      </c>
      <c r="O38" s="12" t="s">
        <v>94</v>
      </c>
      <c r="P38" s="12" t="s">
        <v>82</v>
      </c>
      <c r="Q38" s="9" t="s">
        <v>95</v>
      </c>
      <c r="R38" s="9" t="s">
        <v>96</v>
      </c>
      <c r="S38" s="9"/>
      <c r="T38" s="18">
        <v>364</v>
      </c>
      <c r="U38" s="18">
        <v>727</v>
      </c>
      <c r="V38" s="9">
        <v>0.8</v>
      </c>
      <c r="W38" s="9">
        <v>0.8</v>
      </c>
      <c r="X38" s="9">
        <v>0.8</v>
      </c>
      <c r="Y38" s="9">
        <f t="shared" si="0"/>
        <v>52321.502562225476</v>
      </c>
      <c r="Z38" s="19" t="s">
        <v>97</v>
      </c>
      <c r="AA38" s="8" t="s">
        <v>111</v>
      </c>
      <c r="AB38" s="8" t="s">
        <v>75</v>
      </c>
      <c r="AC38" s="11" t="s">
        <v>112</v>
      </c>
      <c r="AD38" s="9" t="s">
        <v>85</v>
      </c>
      <c r="AE38" s="14">
        <v>0.18</v>
      </c>
      <c r="AF38" s="14">
        <v>0.18</v>
      </c>
      <c r="AG38" s="14">
        <v>0.18</v>
      </c>
      <c r="AH38" s="14">
        <v>0.18</v>
      </c>
      <c r="AI38" s="14">
        <v>0.18</v>
      </c>
      <c r="AJ38" s="14">
        <v>0.18</v>
      </c>
      <c r="AK38" s="14">
        <v>0.18</v>
      </c>
      <c r="AL38" s="14">
        <v>0.18</v>
      </c>
      <c r="AM38" s="14">
        <v>0.18</v>
      </c>
      <c r="AN38" s="14">
        <v>0.18</v>
      </c>
      <c r="AO38" s="35" t="s">
        <v>78</v>
      </c>
      <c r="AP38" s="31">
        <v>0.75200000000000033</v>
      </c>
      <c r="AQ38" s="31">
        <v>0.7</v>
      </c>
      <c r="AR38" s="31">
        <v>0.7</v>
      </c>
      <c r="AS38" s="31">
        <v>0.7</v>
      </c>
      <c r="AT38" s="31">
        <v>0.7</v>
      </c>
      <c r="AU38" s="31">
        <v>0.7</v>
      </c>
      <c r="AV38" s="31">
        <v>0.7</v>
      </c>
      <c r="AW38" s="31">
        <v>0.7</v>
      </c>
      <c r="AX38" s="31">
        <v>0.7</v>
      </c>
      <c r="AY38" s="31">
        <v>0.7</v>
      </c>
      <c r="AZ38" s="31">
        <v>0.7</v>
      </c>
      <c r="BA38" s="31">
        <v>0.7</v>
      </c>
      <c r="BB38" s="31">
        <v>0.7</v>
      </c>
      <c r="BC38" s="31">
        <v>0.8</v>
      </c>
      <c r="BD38" s="31">
        <v>0.8</v>
      </c>
      <c r="BE38" s="31">
        <v>0.8</v>
      </c>
      <c r="BF38" s="31">
        <v>0.8</v>
      </c>
      <c r="BG38" s="31">
        <v>0.8</v>
      </c>
      <c r="BH38" s="31">
        <v>0.8</v>
      </c>
      <c r="BI38" s="31">
        <v>0.8</v>
      </c>
      <c r="BJ38" s="31">
        <v>0.8</v>
      </c>
      <c r="BK38" s="31">
        <v>0.8</v>
      </c>
      <c r="BL38" s="31">
        <v>0.8</v>
      </c>
      <c r="BM38" s="31">
        <v>0.8</v>
      </c>
      <c r="BN38" s="31">
        <v>0.8</v>
      </c>
      <c r="BO38" s="31">
        <v>0.8</v>
      </c>
    </row>
    <row r="39" spans="1:67" x14ac:dyDescent="0.2">
      <c r="A39" s="5" t="s">
        <v>67</v>
      </c>
      <c r="B39" s="25">
        <v>43389</v>
      </c>
      <c r="C39" s="26">
        <v>0.61458333333333304</v>
      </c>
      <c r="D39" s="5" t="s">
        <v>113</v>
      </c>
      <c r="E39" s="5"/>
      <c r="F39" s="32">
        <v>61</v>
      </c>
      <c r="G39" s="9">
        <v>2</v>
      </c>
      <c r="H39" s="6">
        <v>3.2786885245901641E-2</v>
      </c>
      <c r="I39" s="7">
        <v>6.83E-2</v>
      </c>
      <c r="J39" s="9">
        <v>314.15899999999999</v>
      </c>
      <c r="K39" s="9">
        <v>0.68300000000000005</v>
      </c>
      <c r="L39" s="9">
        <v>10</v>
      </c>
      <c r="M39" s="14">
        <v>229.98462664714492</v>
      </c>
      <c r="N39" s="9">
        <v>145</v>
      </c>
      <c r="O39" s="12" t="s">
        <v>69</v>
      </c>
      <c r="P39" s="8" t="s">
        <v>70</v>
      </c>
      <c r="Q39" s="9" t="s">
        <v>71</v>
      </c>
      <c r="R39" s="9" t="s">
        <v>72</v>
      </c>
      <c r="S39" s="9"/>
      <c r="T39" s="18">
        <v>1</v>
      </c>
      <c r="U39" s="18">
        <v>1</v>
      </c>
      <c r="V39" s="9">
        <v>16.7</v>
      </c>
      <c r="Y39" s="9">
        <f t="shared" si="0"/>
        <v>229.98462664714492</v>
      </c>
      <c r="Z39" s="19" t="s">
        <v>73</v>
      </c>
      <c r="AA39" s="8" t="s">
        <v>114</v>
      </c>
      <c r="AB39" s="8" t="s">
        <v>75</v>
      </c>
      <c r="AC39" s="11" t="s">
        <v>115</v>
      </c>
      <c r="AD39" s="9" t="s">
        <v>77</v>
      </c>
      <c r="AE39" s="14">
        <v>538.67979792749998</v>
      </c>
      <c r="AF39" s="13"/>
      <c r="AO39" s="35" t="s">
        <v>78</v>
      </c>
      <c r="AP39" s="31">
        <v>16.7</v>
      </c>
      <c r="AQ39" s="31">
        <v>16.7</v>
      </c>
    </row>
    <row r="40" spans="1:67" x14ac:dyDescent="0.2">
      <c r="A40" s="5"/>
      <c r="B40" s="25"/>
      <c r="C40" s="26"/>
      <c r="D40" s="5"/>
      <c r="E40" s="5"/>
      <c r="F40" s="32"/>
      <c r="G40" s="9"/>
      <c r="H40" s="6"/>
      <c r="I40" s="7"/>
      <c r="J40" s="9"/>
      <c r="N40" s="9"/>
      <c r="O40" s="12"/>
      <c r="S40" s="9"/>
      <c r="T40" s="18"/>
      <c r="U40" s="18"/>
      <c r="Y40" s="9" t="e">
        <f t="shared" si="0"/>
        <v>#DIV/0!</v>
      </c>
      <c r="Z40" s="19"/>
      <c r="AC40" s="11"/>
      <c r="AD40" s="9"/>
      <c r="AE40" s="14"/>
      <c r="AF40" s="13"/>
      <c r="AO40" s="34" t="s">
        <v>79</v>
      </c>
      <c r="AP40" s="31">
        <v>11.1</v>
      </c>
      <c r="AQ40" s="31">
        <v>11.1</v>
      </c>
    </row>
    <row r="41" spans="1:67" x14ac:dyDescent="0.2">
      <c r="A41" s="5"/>
      <c r="B41" s="25"/>
      <c r="C41" s="26"/>
      <c r="D41" s="5"/>
      <c r="E41" s="5"/>
      <c r="F41" s="32"/>
      <c r="G41" s="9"/>
      <c r="H41" s="6"/>
      <c r="I41" s="7"/>
      <c r="J41" s="9"/>
      <c r="N41" s="9"/>
      <c r="O41" s="12"/>
      <c r="S41" s="9"/>
      <c r="T41" s="18"/>
      <c r="U41" s="18"/>
      <c r="Y41" s="9" t="e">
        <f t="shared" si="0"/>
        <v>#DIV/0!</v>
      </c>
      <c r="Z41" s="19"/>
      <c r="AC41" s="11"/>
      <c r="AD41" s="9"/>
      <c r="AE41" s="14"/>
      <c r="AF41" s="13"/>
      <c r="AO41" s="34" t="s">
        <v>80</v>
      </c>
      <c r="AP41" s="31">
        <v>3.7</v>
      </c>
      <c r="AQ41" s="31">
        <v>3.7</v>
      </c>
    </row>
    <row r="42" spans="1:67" x14ac:dyDescent="0.2">
      <c r="A42" s="5" t="s">
        <v>67</v>
      </c>
      <c r="B42" s="25">
        <v>43389</v>
      </c>
      <c r="C42" s="26">
        <v>0.61458333333333304</v>
      </c>
      <c r="D42" s="5" t="s">
        <v>113</v>
      </c>
      <c r="E42" s="5"/>
      <c r="F42" s="32">
        <v>61</v>
      </c>
      <c r="G42" s="9">
        <v>2</v>
      </c>
      <c r="H42" s="6">
        <v>3.2786885245901641E-2</v>
      </c>
      <c r="I42" s="7">
        <v>6.83E-2</v>
      </c>
      <c r="J42" s="9">
        <v>314.15899999999999</v>
      </c>
      <c r="K42" s="9">
        <v>0.68300000000000005</v>
      </c>
      <c r="L42" s="9">
        <v>10</v>
      </c>
      <c r="M42" s="14">
        <v>229.98462664714492</v>
      </c>
      <c r="N42" s="9">
        <v>1037</v>
      </c>
      <c r="O42" s="12" t="s">
        <v>86</v>
      </c>
      <c r="P42" s="12" t="s">
        <v>82</v>
      </c>
      <c r="Q42" s="9" t="s">
        <v>87</v>
      </c>
      <c r="R42" s="9" t="s">
        <v>84</v>
      </c>
      <c r="S42" s="9"/>
      <c r="T42" s="18">
        <v>9</v>
      </c>
      <c r="U42" s="18">
        <v>9</v>
      </c>
      <c r="V42" s="9">
        <v>2.8</v>
      </c>
      <c r="Y42" s="9">
        <f t="shared" si="0"/>
        <v>2069.8616398243043</v>
      </c>
      <c r="Z42" s="19" t="s">
        <v>73</v>
      </c>
      <c r="AA42" s="8" t="s">
        <v>114</v>
      </c>
      <c r="AB42" s="8" t="s">
        <v>75</v>
      </c>
      <c r="AC42" s="11" t="s">
        <v>115</v>
      </c>
      <c r="AD42" s="9" t="s">
        <v>85</v>
      </c>
      <c r="AE42" s="14">
        <v>7.2382233599999992</v>
      </c>
      <c r="AF42" s="13"/>
      <c r="AO42" s="35" t="s">
        <v>78</v>
      </c>
      <c r="AP42" s="31">
        <v>2.44</v>
      </c>
      <c r="AQ42" s="31">
        <v>2.8</v>
      </c>
      <c r="AR42" s="31">
        <v>2.8</v>
      </c>
      <c r="AS42" s="31">
        <v>1.9</v>
      </c>
      <c r="AT42" s="31">
        <v>1.9</v>
      </c>
      <c r="AU42" s="31">
        <v>2.8</v>
      </c>
    </row>
    <row r="43" spans="1:67" ht="12" customHeight="1" x14ac:dyDescent="0.2">
      <c r="A43" s="5" t="s">
        <v>67</v>
      </c>
      <c r="B43" s="25">
        <v>43389</v>
      </c>
      <c r="C43" s="26">
        <v>0.61458333333333304</v>
      </c>
      <c r="D43" s="5" t="s">
        <v>113</v>
      </c>
      <c r="E43" s="5"/>
      <c r="F43" s="32">
        <v>61</v>
      </c>
      <c r="G43" s="9">
        <v>2</v>
      </c>
      <c r="H43" s="6">
        <v>3.2786885245901641E-2</v>
      </c>
      <c r="I43" s="7">
        <v>6.83E-2</v>
      </c>
      <c r="J43" s="9">
        <v>314.15899999999999</v>
      </c>
      <c r="K43" s="9">
        <v>0.68300000000000005</v>
      </c>
      <c r="L43" s="9">
        <v>10</v>
      </c>
      <c r="M43" s="14">
        <v>229.98462664714492</v>
      </c>
      <c r="N43" s="9">
        <v>1364</v>
      </c>
      <c r="O43" s="12" t="s">
        <v>88</v>
      </c>
      <c r="P43" s="12" t="s">
        <v>82</v>
      </c>
      <c r="Q43" s="9" t="s">
        <v>89</v>
      </c>
      <c r="R43" s="9" t="s">
        <v>90</v>
      </c>
      <c r="S43" s="9"/>
      <c r="T43" s="18">
        <v>1</v>
      </c>
      <c r="U43" s="18">
        <v>1</v>
      </c>
      <c r="V43" s="9">
        <v>9.3000000000000007</v>
      </c>
      <c r="Y43" s="9">
        <f t="shared" si="0"/>
        <v>229.98462664714492</v>
      </c>
      <c r="Z43" s="19" t="s">
        <v>73</v>
      </c>
      <c r="AA43" s="8" t="s">
        <v>114</v>
      </c>
      <c r="AB43" s="8" t="s">
        <v>75</v>
      </c>
      <c r="AC43" s="11" t="s">
        <v>115</v>
      </c>
      <c r="AD43" s="9" t="s">
        <v>91</v>
      </c>
      <c r="AE43" s="14">
        <v>337.38084788249995</v>
      </c>
      <c r="AF43" s="13"/>
      <c r="AO43" s="35" t="s">
        <v>78</v>
      </c>
      <c r="AP43" s="31">
        <v>9.3000000000000007</v>
      </c>
      <c r="AQ43" s="31">
        <v>9.3000000000000007</v>
      </c>
    </row>
    <row r="44" spans="1:67" ht="12" customHeight="1" x14ac:dyDescent="0.2">
      <c r="A44" s="5"/>
      <c r="B44" s="25"/>
      <c r="C44" s="26"/>
      <c r="D44" s="5"/>
      <c r="E44" s="5"/>
      <c r="F44" s="32"/>
      <c r="G44" s="9"/>
      <c r="H44" s="6"/>
      <c r="I44" s="7"/>
      <c r="J44" s="9"/>
      <c r="N44" s="9"/>
      <c r="O44" s="12"/>
      <c r="P44" s="12"/>
      <c r="S44" s="9"/>
      <c r="T44" s="18"/>
      <c r="U44" s="18"/>
      <c r="Y44" s="9" t="e">
        <f t="shared" si="0"/>
        <v>#DIV/0!</v>
      </c>
      <c r="Z44" s="19"/>
      <c r="AC44" s="11"/>
      <c r="AD44" s="9"/>
      <c r="AE44" s="14"/>
      <c r="AF44" s="13"/>
      <c r="AO44" s="34" t="s">
        <v>79</v>
      </c>
      <c r="AP44" s="31">
        <v>5.6</v>
      </c>
      <c r="AQ44" s="31">
        <v>5.6</v>
      </c>
    </row>
    <row r="45" spans="1:67" x14ac:dyDescent="0.2">
      <c r="A45" s="5" t="s">
        <v>67</v>
      </c>
      <c r="B45" s="25">
        <v>43389</v>
      </c>
      <c r="C45" s="26">
        <v>0.61458333333333304</v>
      </c>
      <c r="D45" s="5" t="s">
        <v>113</v>
      </c>
      <c r="E45" s="5"/>
      <c r="F45" s="32">
        <v>61</v>
      </c>
      <c r="G45" s="9">
        <v>2</v>
      </c>
      <c r="H45" s="6">
        <v>3.2786885245901641E-2</v>
      </c>
      <c r="I45" s="7">
        <v>6.83E-2</v>
      </c>
      <c r="J45" s="9">
        <v>314.15899999999999</v>
      </c>
      <c r="K45" s="9">
        <v>0.68300000000000005</v>
      </c>
      <c r="L45" s="9">
        <v>10</v>
      </c>
      <c r="M45" s="14">
        <v>229.98462664714492</v>
      </c>
      <c r="N45" s="9">
        <v>1733</v>
      </c>
      <c r="O45" s="12" t="s">
        <v>92</v>
      </c>
      <c r="P45" s="12" t="s">
        <v>82</v>
      </c>
      <c r="Q45" s="9" t="s">
        <v>89</v>
      </c>
      <c r="R45" s="9" t="s">
        <v>93</v>
      </c>
      <c r="S45" s="9"/>
      <c r="T45" s="18">
        <v>1</v>
      </c>
      <c r="U45" s="18">
        <v>1</v>
      </c>
      <c r="V45" s="9">
        <v>7.4</v>
      </c>
      <c r="Y45" s="9">
        <f t="shared" si="0"/>
        <v>229.98462664714492</v>
      </c>
      <c r="Z45" s="19" t="s">
        <v>73</v>
      </c>
      <c r="AA45" s="8" t="s">
        <v>114</v>
      </c>
      <c r="AB45" s="8" t="s">
        <v>75</v>
      </c>
      <c r="AC45" s="11" t="s">
        <v>115</v>
      </c>
      <c r="AD45" s="9" t="s">
        <v>91</v>
      </c>
      <c r="AE45" s="14">
        <v>172.0334684</v>
      </c>
      <c r="AF45" s="13"/>
      <c r="AO45" s="35" t="s">
        <v>78</v>
      </c>
      <c r="AP45" s="31">
        <v>7.4</v>
      </c>
      <c r="AQ45" s="31">
        <v>7.4</v>
      </c>
    </row>
    <row r="46" spans="1:67" x14ac:dyDescent="0.2">
      <c r="A46" s="5"/>
      <c r="B46" s="25"/>
      <c r="C46" s="26"/>
      <c r="D46" s="5"/>
      <c r="E46" s="5"/>
      <c r="F46" s="32"/>
      <c r="G46" s="9"/>
      <c r="H46" s="6"/>
      <c r="I46" s="7"/>
      <c r="J46" s="9"/>
      <c r="N46" s="9"/>
      <c r="O46" s="12"/>
      <c r="P46" s="12"/>
      <c r="S46" s="9"/>
      <c r="T46" s="18"/>
      <c r="U46" s="18"/>
      <c r="Y46" s="9" t="e">
        <f t="shared" si="0"/>
        <v>#DIV/0!</v>
      </c>
      <c r="Z46" s="19"/>
      <c r="AC46" s="11"/>
      <c r="AD46" s="9"/>
      <c r="AE46" s="14"/>
      <c r="AF46" s="13"/>
      <c r="AO46" s="34" t="s">
        <v>79</v>
      </c>
      <c r="AP46" s="31">
        <v>4.5999999999999996</v>
      </c>
      <c r="AQ46" s="31">
        <v>4.5999999999999996</v>
      </c>
    </row>
    <row r="47" spans="1:67" x14ac:dyDescent="0.2">
      <c r="A47" s="5" t="s">
        <v>67</v>
      </c>
      <c r="B47" s="25">
        <v>43389</v>
      </c>
      <c r="C47" s="26">
        <v>0.61458333333333304</v>
      </c>
      <c r="D47" s="5" t="s">
        <v>113</v>
      </c>
      <c r="E47" s="5"/>
      <c r="F47" s="32">
        <v>61</v>
      </c>
      <c r="G47" s="9">
        <v>2</v>
      </c>
      <c r="H47" s="6">
        <v>3.2786885245901641E-2</v>
      </c>
      <c r="I47" s="7">
        <v>6.83E-2</v>
      </c>
      <c r="J47" s="9">
        <v>314.15899999999999</v>
      </c>
      <c r="K47" s="9">
        <v>0.68300000000000005</v>
      </c>
      <c r="L47" s="9">
        <v>10</v>
      </c>
      <c r="M47" s="14">
        <v>229.98462664714492</v>
      </c>
      <c r="N47" s="9">
        <v>1419</v>
      </c>
      <c r="O47" s="12" t="s">
        <v>94</v>
      </c>
      <c r="P47" s="12" t="s">
        <v>82</v>
      </c>
      <c r="Q47" s="9" t="s">
        <v>95</v>
      </c>
      <c r="R47" s="9" t="s">
        <v>96</v>
      </c>
      <c r="S47" s="9"/>
      <c r="T47" s="18">
        <v>414</v>
      </c>
      <c r="U47" s="18">
        <v>831</v>
      </c>
      <c r="V47" s="9">
        <v>0.8</v>
      </c>
      <c r="W47" s="9">
        <v>0.8</v>
      </c>
      <c r="X47" s="9">
        <v>0.8</v>
      </c>
      <c r="Y47" s="9">
        <f t="shared" si="0"/>
        <v>95213.635431917995</v>
      </c>
      <c r="Z47" s="19" t="s">
        <v>97</v>
      </c>
      <c r="AA47" s="8" t="s">
        <v>114</v>
      </c>
      <c r="AB47" s="8" t="s">
        <v>75</v>
      </c>
      <c r="AC47" s="11" t="s">
        <v>115</v>
      </c>
      <c r="AD47" s="9" t="s">
        <v>85</v>
      </c>
      <c r="AE47" s="14">
        <v>0.18</v>
      </c>
      <c r="AF47" s="14">
        <v>0.18</v>
      </c>
      <c r="AG47" s="14">
        <v>0.18</v>
      </c>
      <c r="AH47" s="14">
        <v>0.18</v>
      </c>
      <c r="AI47" s="14">
        <v>0.18</v>
      </c>
      <c r="AJ47" s="14">
        <v>0.18</v>
      </c>
      <c r="AK47" s="14">
        <v>0.18</v>
      </c>
      <c r="AL47" s="14">
        <v>0.18</v>
      </c>
      <c r="AM47" s="14">
        <v>0.18</v>
      </c>
      <c r="AN47" s="14">
        <v>0.18</v>
      </c>
      <c r="AO47" s="35" t="s">
        <v>78</v>
      </c>
      <c r="AP47" s="31">
        <v>0.75200000000000033</v>
      </c>
      <c r="AQ47" s="31">
        <v>0.7</v>
      </c>
      <c r="AR47" s="31">
        <v>0.7</v>
      </c>
      <c r="AS47" s="31">
        <v>0.7</v>
      </c>
      <c r="AT47" s="31">
        <v>0.7</v>
      </c>
      <c r="AU47" s="31">
        <v>0.7</v>
      </c>
      <c r="AV47" s="31">
        <v>0.7</v>
      </c>
      <c r="AW47" s="31">
        <v>0.7</v>
      </c>
      <c r="AX47" s="31">
        <v>0.7</v>
      </c>
      <c r="AY47" s="31">
        <v>0.7</v>
      </c>
      <c r="AZ47" s="31">
        <v>0.7</v>
      </c>
      <c r="BA47" s="31">
        <v>0.7</v>
      </c>
      <c r="BB47" s="31">
        <v>0.7</v>
      </c>
      <c r="BC47" s="31">
        <v>0.8</v>
      </c>
      <c r="BD47" s="31">
        <v>0.8</v>
      </c>
      <c r="BE47" s="31">
        <v>0.8</v>
      </c>
      <c r="BF47" s="31">
        <v>0.8</v>
      </c>
      <c r="BG47" s="31">
        <v>0.8</v>
      </c>
      <c r="BH47" s="31">
        <v>0.8</v>
      </c>
      <c r="BI47" s="31">
        <v>0.8</v>
      </c>
      <c r="BJ47" s="31">
        <v>0.8</v>
      </c>
      <c r="BK47" s="31">
        <v>0.8</v>
      </c>
      <c r="BL47" s="31">
        <v>0.8</v>
      </c>
      <c r="BM47" s="31">
        <v>0.8</v>
      </c>
      <c r="BN47" s="31">
        <v>0.8</v>
      </c>
      <c r="BO47" s="31">
        <v>0.8</v>
      </c>
    </row>
    <row r="48" spans="1:67" x14ac:dyDescent="0.2">
      <c r="A48" s="5" t="s">
        <v>67</v>
      </c>
      <c r="B48" s="25">
        <v>43390</v>
      </c>
      <c r="C48" s="26">
        <v>0.62777777777777799</v>
      </c>
      <c r="D48" s="5" t="s">
        <v>116</v>
      </c>
      <c r="E48" s="5"/>
      <c r="F48" s="32">
        <v>61.5</v>
      </c>
      <c r="G48" s="9">
        <v>2</v>
      </c>
      <c r="H48" s="6">
        <v>3.2520325203252036E-2</v>
      </c>
      <c r="I48" s="7">
        <v>6.83E-2</v>
      </c>
      <c r="J48" s="9">
        <v>314.15899999999999</v>
      </c>
      <c r="K48" s="9">
        <v>0.5464</v>
      </c>
      <c r="L48" s="9">
        <v>8</v>
      </c>
      <c r="M48" s="14">
        <v>287.48078330893117</v>
      </c>
      <c r="N48" s="9">
        <v>1037</v>
      </c>
      <c r="O48" s="12" t="s">
        <v>86</v>
      </c>
      <c r="P48" s="12" t="s">
        <v>82</v>
      </c>
      <c r="Q48" s="9" t="s">
        <v>87</v>
      </c>
      <c r="R48" s="9" t="s">
        <v>84</v>
      </c>
      <c r="S48" s="9"/>
      <c r="T48" s="18">
        <v>14</v>
      </c>
      <c r="U48" s="18">
        <v>14</v>
      </c>
      <c r="V48" s="9">
        <v>2.8</v>
      </c>
      <c r="Y48" s="9">
        <f t="shared" si="0"/>
        <v>4024.7309663250362</v>
      </c>
      <c r="Z48" s="19" t="s">
        <v>73</v>
      </c>
      <c r="AA48" s="8" t="s">
        <v>117</v>
      </c>
      <c r="AB48" s="8" t="s">
        <v>75</v>
      </c>
      <c r="AC48" s="11" t="s">
        <v>76</v>
      </c>
      <c r="AD48" s="9" t="s">
        <v>85</v>
      </c>
      <c r="AE48" s="14">
        <v>6.3706209216666645</v>
      </c>
      <c r="AF48" s="13"/>
      <c r="AO48" s="34" t="s">
        <v>78</v>
      </c>
      <c r="AP48" s="31">
        <v>2.2599999999999998</v>
      </c>
      <c r="AQ48" s="31">
        <v>2.8</v>
      </c>
      <c r="AR48" s="31">
        <v>1.9</v>
      </c>
      <c r="AS48" s="31">
        <v>1.9</v>
      </c>
      <c r="AT48" s="31">
        <v>2.8</v>
      </c>
      <c r="AU48" s="31">
        <v>1.9</v>
      </c>
    </row>
    <row r="49" spans="1:67" x14ac:dyDescent="0.2">
      <c r="A49" s="5" t="s">
        <v>67</v>
      </c>
      <c r="B49" s="25">
        <v>43390</v>
      </c>
      <c r="C49" s="26">
        <v>0.62777777777777799</v>
      </c>
      <c r="D49" s="5" t="s">
        <v>116</v>
      </c>
      <c r="E49" s="5"/>
      <c r="F49" s="32">
        <v>61.5</v>
      </c>
      <c r="G49" s="9">
        <v>2</v>
      </c>
      <c r="H49" s="6">
        <v>3.2520325203252036E-2</v>
      </c>
      <c r="I49" s="7">
        <v>6.83E-2</v>
      </c>
      <c r="J49" s="9">
        <v>314.15899999999999</v>
      </c>
      <c r="K49" s="9">
        <v>0.5464</v>
      </c>
      <c r="L49" s="9">
        <v>8</v>
      </c>
      <c r="M49" s="14">
        <v>287.48078330893117</v>
      </c>
      <c r="N49" s="9">
        <v>1352</v>
      </c>
      <c r="O49" s="12" t="s">
        <v>118</v>
      </c>
      <c r="P49" s="12" t="s">
        <v>82</v>
      </c>
      <c r="Q49" s="9" t="s">
        <v>119</v>
      </c>
      <c r="R49" s="9" t="s">
        <v>84</v>
      </c>
      <c r="S49" s="9"/>
      <c r="T49" s="18">
        <v>1</v>
      </c>
      <c r="U49" s="18">
        <v>1</v>
      </c>
      <c r="V49" s="9">
        <v>20.399999999999999</v>
      </c>
      <c r="Y49" s="9">
        <f t="shared" si="0"/>
        <v>287.48078330893117</v>
      </c>
      <c r="Z49" s="19" t="s">
        <v>73</v>
      </c>
      <c r="AA49" s="8" t="s">
        <v>117</v>
      </c>
      <c r="AB49" s="8" t="s">
        <v>75</v>
      </c>
      <c r="AC49" s="11" t="s">
        <v>76</v>
      </c>
      <c r="AD49" s="9" t="s">
        <v>120</v>
      </c>
      <c r="AE49" s="14">
        <v>2339.6551702399997</v>
      </c>
      <c r="AF49" s="13"/>
      <c r="AO49" s="34" t="s">
        <v>78</v>
      </c>
      <c r="AP49" s="31">
        <v>20.399999999999999</v>
      </c>
      <c r="AQ49" s="31">
        <v>20.399999999999999</v>
      </c>
    </row>
    <row r="50" spans="1:67" x14ac:dyDescent="0.2">
      <c r="A50" s="5"/>
      <c r="B50" s="25"/>
      <c r="C50" s="26"/>
      <c r="D50" s="5"/>
      <c r="E50" s="5"/>
      <c r="F50" s="32"/>
      <c r="G50" s="9"/>
      <c r="H50" s="6"/>
      <c r="I50" s="7"/>
      <c r="J50" s="9"/>
      <c r="N50" s="9"/>
      <c r="O50" s="12"/>
      <c r="P50" s="12"/>
      <c r="S50" s="9"/>
      <c r="T50" s="18"/>
      <c r="U50" s="18"/>
      <c r="Y50" s="9" t="e">
        <f t="shared" si="0"/>
        <v>#DIV/0!</v>
      </c>
      <c r="Z50" s="19"/>
      <c r="AC50" s="11"/>
      <c r="AD50" s="9"/>
      <c r="AE50" s="14"/>
      <c r="AF50" s="13"/>
      <c r="AO50" s="34" t="s">
        <v>79</v>
      </c>
      <c r="AP50" s="31">
        <v>14.8</v>
      </c>
      <c r="AQ50" s="31">
        <v>14.8</v>
      </c>
    </row>
    <row r="51" spans="1:67" x14ac:dyDescent="0.2">
      <c r="A51" s="5" t="s">
        <v>67</v>
      </c>
      <c r="B51" s="25">
        <v>43390</v>
      </c>
      <c r="C51" s="26">
        <v>0.62777777777777799</v>
      </c>
      <c r="D51" s="5" t="s">
        <v>116</v>
      </c>
      <c r="E51" s="5"/>
      <c r="F51" s="32">
        <v>61.5</v>
      </c>
      <c r="G51" s="9">
        <v>2</v>
      </c>
      <c r="H51" s="6">
        <v>3.2520325203252036E-2</v>
      </c>
      <c r="I51" s="7">
        <v>6.83E-2</v>
      </c>
      <c r="J51" s="9">
        <v>314.15899999999999</v>
      </c>
      <c r="K51" s="9">
        <v>0.5464</v>
      </c>
      <c r="L51" s="9">
        <v>8</v>
      </c>
      <c r="M51" s="14">
        <v>287.48078330893117</v>
      </c>
      <c r="N51" s="9">
        <v>1364</v>
      </c>
      <c r="O51" s="12" t="s">
        <v>88</v>
      </c>
      <c r="P51" s="12" t="s">
        <v>82</v>
      </c>
      <c r="Q51" s="9" t="s">
        <v>89</v>
      </c>
      <c r="R51" s="9" t="s">
        <v>90</v>
      </c>
      <c r="S51" s="9"/>
      <c r="T51" s="18">
        <v>1</v>
      </c>
      <c r="U51" s="18">
        <v>1</v>
      </c>
      <c r="V51" s="9">
        <v>9.3000000000000007</v>
      </c>
      <c r="Y51" s="9">
        <f t="shared" si="0"/>
        <v>287.48078330893117</v>
      </c>
      <c r="Z51" s="19" t="s">
        <v>73</v>
      </c>
      <c r="AA51" s="8" t="s">
        <v>117</v>
      </c>
      <c r="AB51" s="8" t="s">
        <v>75</v>
      </c>
      <c r="AC51" s="11" t="s">
        <v>76</v>
      </c>
      <c r="AD51" s="9" t="s">
        <v>91</v>
      </c>
      <c r="AE51" s="14">
        <v>337.38084788249995</v>
      </c>
      <c r="AF51" s="13"/>
      <c r="AO51" s="34" t="s">
        <v>78</v>
      </c>
      <c r="AP51" s="31">
        <v>9.3000000000000007</v>
      </c>
      <c r="AQ51" s="31">
        <v>9.3000000000000007</v>
      </c>
    </row>
    <row r="52" spans="1:67" x14ac:dyDescent="0.2">
      <c r="A52" s="5"/>
      <c r="B52" s="25"/>
      <c r="C52" s="26"/>
      <c r="D52" s="5"/>
      <c r="E52" s="5"/>
      <c r="F52" s="32"/>
      <c r="G52" s="9"/>
      <c r="H52" s="6"/>
      <c r="I52" s="7"/>
      <c r="J52" s="9"/>
      <c r="N52" s="9"/>
      <c r="O52" s="12"/>
      <c r="P52" s="12"/>
      <c r="S52" s="9"/>
      <c r="T52" s="18"/>
      <c r="U52" s="18"/>
      <c r="Y52" s="9" t="e">
        <f t="shared" si="0"/>
        <v>#DIV/0!</v>
      </c>
      <c r="Z52" s="19"/>
      <c r="AC52" s="11"/>
      <c r="AD52" s="9"/>
      <c r="AE52" s="14"/>
      <c r="AF52" s="13"/>
      <c r="AO52" s="34" t="s">
        <v>79</v>
      </c>
      <c r="AP52" s="31">
        <v>5.6</v>
      </c>
      <c r="AQ52" s="31">
        <v>5.6</v>
      </c>
    </row>
    <row r="53" spans="1:67" x14ac:dyDescent="0.2">
      <c r="A53" s="5" t="s">
        <v>67</v>
      </c>
      <c r="B53" s="25">
        <v>43390</v>
      </c>
      <c r="C53" s="26">
        <v>0.62777777777777799</v>
      </c>
      <c r="D53" s="5" t="s">
        <v>116</v>
      </c>
      <c r="E53" s="5"/>
      <c r="F53" s="32">
        <v>61.5</v>
      </c>
      <c r="G53" s="9">
        <v>2</v>
      </c>
      <c r="H53" s="6">
        <v>3.2520325203252036E-2</v>
      </c>
      <c r="I53" s="7">
        <v>6.83E-2</v>
      </c>
      <c r="J53" s="9">
        <v>314.15899999999999</v>
      </c>
      <c r="K53" s="9">
        <v>0.5464</v>
      </c>
      <c r="L53" s="9">
        <v>8</v>
      </c>
      <c r="M53" s="14">
        <v>287.48078330893117</v>
      </c>
      <c r="N53" s="9">
        <v>1365</v>
      </c>
      <c r="O53" s="8" t="s">
        <v>121</v>
      </c>
      <c r="P53" s="12" t="s">
        <v>82</v>
      </c>
      <c r="Q53" s="9" t="s">
        <v>122</v>
      </c>
      <c r="R53" s="9" t="s">
        <v>123</v>
      </c>
      <c r="S53" s="9"/>
      <c r="T53" s="18">
        <v>3</v>
      </c>
      <c r="U53" s="18">
        <v>3</v>
      </c>
      <c r="V53" s="9">
        <v>11.1</v>
      </c>
      <c r="Y53" s="9">
        <f t="shared" si="0"/>
        <v>862.44234992679355</v>
      </c>
      <c r="Z53" s="19" t="s">
        <v>73</v>
      </c>
      <c r="AA53" s="8" t="s">
        <v>117</v>
      </c>
      <c r="AB53" s="8" t="s">
        <v>75</v>
      </c>
      <c r="AC53" s="11" t="s">
        <v>76</v>
      </c>
      <c r="AD53" s="9" t="s">
        <v>91</v>
      </c>
      <c r="AE53" s="14">
        <v>537.43808448000004</v>
      </c>
      <c r="AF53" s="13"/>
      <c r="AO53" s="34" t="s">
        <v>78</v>
      </c>
      <c r="AP53" s="31">
        <v>10.799999999999999</v>
      </c>
      <c r="AQ53" s="31">
        <v>11.1</v>
      </c>
      <c r="AR53" s="31">
        <v>11.1</v>
      </c>
      <c r="AS53" s="31">
        <v>10.199999999999999</v>
      </c>
    </row>
    <row r="54" spans="1:67" x14ac:dyDescent="0.2">
      <c r="A54" s="5"/>
      <c r="B54" s="25"/>
      <c r="C54" s="26"/>
      <c r="D54" s="5"/>
      <c r="E54" s="5"/>
      <c r="F54" s="32"/>
      <c r="G54" s="9"/>
      <c r="H54" s="6"/>
      <c r="I54" s="7"/>
      <c r="J54" s="9"/>
      <c r="N54" s="9"/>
      <c r="P54" s="12"/>
      <c r="S54" s="9"/>
      <c r="T54" s="18"/>
      <c r="U54" s="18"/>
      <c r="Y54" s="9" t="e">
        <f t="shared" si="0"/>
        <v>#DIV/0!</v>
      </c>
      <c r="Z54" s="19"/>
      <c r="AC54" s="11"/>
      <c r="AD54" s="9"/>
      <c r="AE54" s="14"/>
      <c r="AF54" s="13"/>
      <c r="AO54" s="34" t="s">
        <v>79</v>
      </c>
      <c r="AP54" s="31">
        <v>6.8</v>
      </c>
      <c r="AQ54" s="31">
        <v>6.5</v>
      </c>
      <c r="AR54" s="31">
        <v>7.4</v>
      </c>
      <c r="AS54" s="31">
        <v>6.5</v>
      </c>
    </row>
    <row r="55" spans="1:67" x14ac:dyDescent="0.2">
      <c r="A55" s="5" t="s">
        <v>67</v>
      </c>
      <c r="B55" s="25">
        <v>43390</v>
      </c>
      <c r="C55" s="26">
        <v>0.62777777777777799</v>
      </c>
      <c r="D55" s="5" t="s">
        <v>116</v>
      </c>
      <c r="E55" s="5"/>
      <c r="F55" s="32">
        <v>61.5</v>
      </c>
      <c r="G55" s="9">
        <v>2</v>
      </c>
      <c r="H55" s="6">
        <v>3.2520325203252036E-2</v>
      </c>
      <c r="I55" s="7">
        <v>6.83E-2</v>
      </c>
      <c r="J55" s="9">
        <v>314.15899999999999</v>
      </c>
      <c r="K55" s="9">
        <v>0.5464</v>
      </c>
      <c r="L55" s="9">
        <v>8</v>
      </c>
      <c r="M55" s="14">
        <v>287.48078330893117</v>
      </c>
      <c r="N55" s="9">
        <v>1419</v>
      </c>
      <c r="O55" s="12" t="s">
        <v>94</v>
      </c>
      <c r="P55" s="12" t="s">
        <v>82</v>
      </c>
      <c r="Q55" s="9" t="s">
        <v>95</v>
      </c>
      <c r="R55" s="9" t="s">
        <v>96</v>
      </c>
      <c r="S55" s="9"/>
      <c r="T55" s="18">
        <v>447</v>
      </c>
      <c r="U55" s="18">
        <v>903</v>
      </c>
      <c r="V55" s="9">
        <v>0.8</v>
      </c>
      <c r="W55" s="9">
        <v>0.8</v>
      </c>
      <c r="X55" s="9">
        <v>0.8</v>
      </c>
      <c r="Y55" s="9">
        <f t="shared" si="0"/>
        <v>128503.91013909224</v>
      </c>
      <c r="Z55" s="19" t="s">
        <v>97</v>
      </c>
      <c r="AA55" s="8" t="s">
        <v>117</v>
      </c>
      <c r="AB55" s="8" t="s">
        <v>75</v>
      </c>
      <c r="AC55" s="11" t="s">
        <v>76</v>
      </c>
      <c r="AD55" s="9" t="s">
        <v>85</v>
      </c>
      <c r="AE55" s="14">
        <v>0.18</v>
      </c>
      <c r="AF55" s="14">
        <v>0.18</v>
      </c>
      <c r="AG55" s="14">
        <v>0.18</v>
      </c>
      <c r="AH55" s="14">
        <v>0.18</v>
      </c>
      <c r="AI55" s="14">
        <v>0.18</v>
      </c>
      <c r="AJ55" s="14">
        <v>0.18</v>
      </c>
      <c r="AK55" s="14">
        <v>0.18</v>
      </c>
      <c r="AL55" s="14">
        <v>0.18</v>
      </c>
      <c r="AM55" s="14">
        <v>0.18</v>
      </c>
      <c r="AN55" s="14">
        <v>0.18</v>
      </c>
      <c r="AO55" s="35" t="s">
        <v>78</v>
      </c>
      <c r="AP55" s="31">
        <v>0.75200000000000033</v>
      </c>
      <c r="AQ55" s="31">
        <v>0.7</v>
      </c>
      <c r="AR55" s="31">
        <v>0.7</v>
      </c>
      <c r="AS55" s="31">
        <v>0.7</v>
      </c>
      <c r="AT55" s="31">
        <v>0.7</v>
      </c>
      <c r="AU55" s="31">
        <v>0.7</v>
      </c>
      <c r="AV55" s="31">
        <v>0.7</v>
      </c>
      <c r="AW55" s="31">
        <v>0.7</v>
      </c>
      <c r="AX55" s="31">
        <v>0.7</v>
      </c>
      <c r="AY55" s="31">
        <v>0.7</v>
      </c>
      <c r="AZ55" s="31">
        <v>0.7</v>
      </c>
      <c r="BA55" s="31">
        <v>0.7</v>
      </c>
      <c r="BB55" s="31">
        <v>0.7</v>
      </c>
      <c r="BC55" s="31">
        <v>0.8</v>
      </c>
      <c r="BD55" s="31">
        <v>0.8</v>
      </c>
      <c r="BE55" s="31">
        <v>0.8</v>
      </c>
      <c r="BF55" s="31">
        <v>0.8</v>
      </c>
      <c r="BG55" s="31">
        <v>0.8</v>
      </c>
      <c r="BH55" s="31">
        <v>0.8</v>
      </c>
      <c r="BI55" s="31">
        <v>0.8</v>
      </c>
      <c r="BJ55" s="31">
        <v>0.8</v>
      </c>
      <c r="BK55" s="31">
        <v>0.8</v>
      </c>
      <c r="BL55" s="31">
        <v>0.8</v>
      </c>
      <c r="BM55" s="31">
        <v>0.8</v>
      </c>
      <c r="BN55" s="31">
        <v>0.8</v>
      </c>
      <c r="BO55" s="31">
        <v>0.8</v>
      </c>
    </row>
    <row r="56" spans="1:67" x14ac:dyDescent="0.2">
      <c r="A56" s="5" t="s">
        <v>67</v>
      </c>
      <c r="B56" s="25">
        <v>43390</v>
      </c>
      <c r="C56" s="26">
        <v>0.58819444444444402</v>
      </c>
      <c r="D56" s="26" t="s">
        <v>124</v>
      </c>
      <c r="E56" s="5">
        <v>3</v>
      </c>
      <c r="F56" s="32">
        <v>62.5</v>
      </c>
      <c r="G56" s="9">
        <v>2</v>
      </c>
      <c r="H56" s="6">
        <v>3.2000000000000001E-2</v>
      </c>
      <c r="I56" s="7">
        <v>6.83E-2</v>
      </c>
      <c r="J56" s="9">
        <v>314.15899999999999</v>
      </c>
      <c r="K56" s="9">
        <v>0.75129999999999997</v>
      </c>
      <c r="L56" s="9">
        <v>11</v>
      </c>
      <c r="M56" s="14">
        <v>209.07693331558633</v>
      </c>
      <c r="N56" s="9">
        <v>190</v>
      </c>
      <c r="O56" s="12" t="s">
        <v>102</v>
      </c>
      <c r="P56" s="8" t="s">
        <v>70</v>
      </c>
      <c r="Q56" s="9" t="s">
        <v>103</v>
      </c>
      <c r="R56" s="9" t="s">
        <v>84</v>
      </c>
      <c r="S56" s="9"/>
      <c r="T56" s="18">
        <v>3</v>
      </c>
      <c r="U56" s="18">
        <v>3</v>
      </c>
      <c r="V56" s="9">
        <v>7.4</v>
      </c>
      <c r="Y56" s="9">
        <f t="shared" si="0"/>
        <v>627.23079994675891</v>
      </c>
      <c r="Z56" s="19" t="s">
        <v>73</v>
      </c>
      <c r="AA56" s="8" t="s">
        <v>125</v>
      </c>
      <c r="AB56" s="8" t="s">
        <v>75</v>
      </c>
      <c r="AC56" s="11" t="s">
        <v>112</v>
      </c>
      <c r="AD56" s="9" t="s">
        <v>104</v>
      </c>
      <c r="AE56" s="14">
        <v>95.033097499999997</v>
      </c>
      <c r="AF56" s="13"/>
      <c r="AO56" s="34" t="s">
        <v>78</v>
      </c>
      <c r="AP56" s="31">
        <v>4</v>
      </c>
      <c r="AQ56" s="31">
        <v>3.7</v>
      </c>
      <c r="AR56" s="31">
        <v>4.5999999999999996</v>
      </c>
      <c r="AS56" s="31">
        <v>3.7</v>
      </c>
    </row>
    <row r="57" spans="1:67" x14ac:dyDescent="0.2">
      <c r="A57" s="5"/>
      <c r="B57" s="25"/>
      <c r="C57" s="26"/>
      <c r="D57" s="26"/>
      <c r="E57" s="5"/>
      <c r="F57" s="32"/>
      <c r="G57" s="9"/>
      <c r="H57" s="6"/>
      <c r="I57" s="7"/>
      <c r="J57" s="9"/>
      <c r="N57" s="9"/>
      <c r="O57" s="12"/>
      <c r="S57" s="9"/>
      <c r="T57" s="18"/>
      <c r="U57" s="18"/>
      <c r="Y57" s="9" t="e">
        <f t="shared" si="0"/>
        <v>#DIV/0!</v>
      </c>
      <c r="Z57" s="19"/>
      <c r="AC57" s="11"/>
      <c r="AD57" s="9"/>
      <c r="AE57" s="14"/>
      <c r="AF57" s="13"/>
      <c r="AO57" s="34" t="s">
        <v>79</v>
      </c>
      <c r="AP57" s="31">
        <v>5.5333333333333341</v>
      </c>
      <c r="AQ57" s="31">
        <v>4.5999999999999996</v>
      </c>
      <c r="AR57" s="31">
        <v>7.4</v>
      </c>
      <c r="AS57" s="31">
        <v>4.5999999999999996</v>
      </c>
    </row>
    <row r="58" spans="1:67" x14ac:dyDescent="0.2">
      <c r="A58" s="5" t="s">
        <v>67</v>
      </c>
      <c r="B58" s="25">
        <v>43390</v>
      </c>
      <c r="C58" s="26">
        <v>0.58819444444444402</v>
      </c>
      <c r="D58" s="26" t="s">
        <v>124</v>
      </c>
      <c r="E58" s="5">
        <v>3</v>
      </c>
      <c r="F58" s="32">
        <v>62.5</v>
      </c>
      <c r="G58" s="9">
        <v>2</v>
      </c>
      <c r="H58" s="6">
        <v>3.2000000000000001E-2</v>
      </c>
      <c r="I58" s="7">
        <v>6.83E-2</v>
      </c>
      <c r="J58" s="9">
        <v>314.15899999999999</v>
      </c>
      <c r="K58" s="9">
        <v>0.75129999999999997</v>
      </c>
      <c r="L58" s="9">
        <v>11</v>
      </c>
      <c r="M58" s="14">
        <v>209.07693331558633</v>
      </c>
      <c r="N58" s="9">
        <v>1037</v>
      </c>
      <c r="O58" s="12" t="s">
        <v>86</v>
      </c>
      <c r="P58" s="12" t="s">
        <v>82</v>
      </c>
      <c r="Q58" s="9" t="s">
        <v>87</v>
      </c>
      <c r="R58" s="9" t="s">
        <v>84</v>
      </c>
      <c r="S58" s="9"/>
      <c r="T58" s="18">
        <v>20</v>
      </c>
      <c r="U58" s="18">
        <v>20</v>
      </c>
      <c r="V58" s="9">
        <v>2.8</v>
      </c>
      <c r="Y58" s="9">
        <f t="shared" si="0"/>
        <v>4181.538666311727</v>
      </c>
      <c r="Z58" s="19" t="s">
        <v>73</v>
      </c>
      <c r="AA58" s="8" t="s">
        <v>125</v>
      </c>
      <c r="AB58" s="8" t="s">
        <v>75</v>
      </c>
      <c r="AC58" s="11" t="s">
        <v>112</v>
      </c>
      <c r="AD58" s="9" t="s">
        <v>85</v>
      </c>
      <c r="AE58" s="14">
        <v>7.2382233599999992</v>
      </c>
      <c r="AF58" s="13"/>
      <c r="AO58" s="34" t="s">
        <v>78</v>
      </c>
      <c r="AP58" s="31">
        <v>2.44</v>
      </c>
      <c r="AQ58" s="31">
        <v>2.8</v>
      </c>
      <c r="AR58" s="31">
        <v>2.8</v>
      </c>
      <c r="AS58" s="31">
        <v>1.9</v>
      </c>
      <c r="AT58" s="31">
        <v>1.9</v>
      </c>
      <c r="AU58" s="31">
        <v>2.8</v>
      </c>
    </row>
    <row r="59" spans="1:67" x14ac:dyDescent="0.2">
      <c r="A59" s="5" t="s">
        <v>67</v>
      </c>
      <c r="B59" s="25">
        <v>43390</v>
      </c>
      <c r="C59" s="26">
        <v>0.58819444444444402</v>
      </c>
      <c r="D59" s="26" t="s">
        <v>124</v>
      </c>
      <c r="E59" s="5">
        <v>3</v>
      </c>
      <c r="F59" s="32">
        <v>62.5</v>
      </c>
      <c r="G59" s="9">
        <v>2</v>
      </c>
      <c r="H59" s="6">
        <v>3.2000000000000001E-2</v>
      </c>
      <c r="I59" s="7">
        <v>6.83E-2</v>
      </c>
      <c r="J59" s="9">
        <v>314.15899999999999</v>
      </c>
      <c r="K59" s="9">
        <v>0.75129999999999997</v>
      </c>
      <c r="L59" s="9">
        <v>11</v>
      </c>
      <c r="M59" s="14">
        <v>209.07693331558633</v>
      </c>
      <c r="N59" s="9">
        <v>1140</v>
      </c>
      <c r="O59" s="12" t="s">
        <v>126</v>
      </c>
      <c r="P59" s="12" t="s">
        <v>82</v>
      </c>
      <c r="Q59" s="9" t="s">
        <v>127</v>
      </c>
      <c r="R59" s="9" t="s">
        <v>128</v>
      </c>
      <c r="S59" s="9"/>
      <c r="T59" s="18">
        <v>1</v>
      </c>
      <c r="U59" s="18">
        <v>1</v>
      </c>
      <c r="V59" s="9">
        <v>16.7</v>
      </c>
      <c r="Y59" s="9">
        <f t="shared" si="0"/>
        <v>209.07693331558633</v>
      </c>
      <c r="Z59" s="19" t="s">
        <v>73</v>
      </c>
      <c r="AA59" s="8" t="s">
        <v>125</v>
      </c>
      <c r="AB59" s="8" t="s">
        <v>75</v>
      </c>
      <c r="AC59" s="11" t="s">
        <v>112</v>
      </c>
      <c r="AD59" s="9" t="s">
        <v>129</v>
      </c>
      <c r="AE59" s="14">
        <v>7.0827146549999993</v>
      </c>
      <c r="AF59" s="13"/>
      <c r="AO59" s="34" t="s">
        <v>78</v>
      </c>
      <c r="AP59" s="31">
        <v>16.7</v>
      </c>
      <c r="AQ59" s="31">
        <v>16.7</v>
      </c>
    </row>
    <row r="60" spans="1:67" x14ac:dyDescent="0.2">
      <c r="A60" s="5"/>
      <c r="B60" s="25"/>
      <c r="C60" s="26"/>
      <c r="D60" s="26"/>
      <c r="E60" s="5"/>
      <c r="F60" s="32"/>
      <c r="G60" s="9"/>
      <c r="H60" s="6"/>
      <c r="I60" s="7"/>
      <c r="J60" s="9"/>
      <c r="N60" s="9"/>
      <c r="O60" s="12"/>
      <c r="P60" s="12"/>
      <c r="S60" s="9"/>
      <c r="T60" s="18"/>
      <c r="U60" s="18"/>
      <c r="Y60" s="9" t="e">
        <f t="shared" si="0"/>
        <v>#DIV/0!</v>
      </c>
      <c r="Z60" s="19"/>
      <c r="AC60" s="11"/>
      <c r="AD60" s="9"/>
      <c r="AE60" s="14"/>
      <c r="AF60" s="13"/>
      <c r="AO60" s="34" t="s">
        <v>79</v>
      </c>
      <c r="AP60" s="31">
        <v>0.9</v>
      </c>
      <c r="AQ60" s="31">
        <v>0.9</v>
      </c>
    </row>
    <row r="61" spans="1:67" x14ac:dyDescent="0.2">
      <c r="A61" s="5" t="s">
        <v>67</v>
      </c>
      <c r="B61" s="25">
        <v>43390</v>
      </c>
      <c r="C61" s="26">
        <v>0.58819444444444402</v>
      </c>
      <c r="D61" s="26" t="s">
        <v>124</v>
      </c>
      <c r="E61" s="5">
        <v>3</v>
      </c>
      <c r="F61" s="32">
        <v>62.5</v>
      </c>
      <c r="G61" s="9">
        <v>2</v>
      </c>
      <c r="H61" s="6">
        <v>3.2000000000000001E-2</v>
      </c>
      <c r="I61" s="7">
        <v>6.83E-2</v>
      </c>
      <c r="J61" s="9">
        <v>314.15899999999999</v>
      </c>
      <c r="K61" s="9">
        <v>0.75129999999999997</v>
      </c>
      <c r="L61" s="9">
        <v>11</v>
      </c>
      <c r="M61" s="14">
        <v>209.07693331558633</v>
      </c>
      <c r="N61" s="9">
        <v>1419</v>
      </c>
      <c r="O61" s="12" t="s">
        <v>94</v>
      </c>
      <c r="P61" s="12" t="s">
        <v>82</v>
      </c>
      <c r="Q61" s="9" t="s">
        <v>95</v>
      </c>
      <c r="R61" s="9" t="s">
        <v>96</v>
      </c>
      <c r="S61" s="9"/>
      <c r="T61" s="18">
        <v>410</v>
      </c>
      <c r="U61" s="18">
        <v>828</v>
      </c>
      <c r="V61" s="9">
        <v>0.8</v>
      </c>
      <c r="W61" s="9">
        <v>0.8</v>
      </c>
      <c r="X61" s="9">
        <v>0.8</v>
      </c>
      <c r="Y61" s="9">
        <f t="shared" si="0"/>
        <v>85721.542659390398</v>
      </c>
      <c r="Z61" s="19" t="s">
        <v>97</v>
      </c>
      <c r="AA61" s="8" t="s">
        <v>125</v>
      </c>
      <c r="AB61" s="8" t="s">
        <v>75</v>
      </c>
      <c r="AC61" s="11" t="s">
        <v>112</v>
      </c>
      <c r="AD61" s="9" t="s">
        <v>85</v>
      </c>
      <c r="AE61" s="14">
        <v>0.18</v>
      </c>
      <c r="AF61" s="14">
        <v>0.18</v>
      </c>
      <c r="AG61" s="14">
        <v>0.18</v>
      </c>
      <c r="AH61" s="14">
        <v>0.18</v>
      </c>
      <c r="AI61" s="14">
        <v>0.18</v>
      </c>
      <c r="AJ61" s="14">
        <v>0.18</v>
      </c>
      <c r="AK61" s="14">
        <v>0.18</v>
      </c>
      <c r="AL61" s="14">
        <v>0.18</v>
      </c>
      <c r="AM61" s="14">
        <v>0.18</v>
      </c>
      <c r="AN61" s="14">
        <v>0.18</v>
      </c>
      <c r="AO61" s="35" t="s">
        <v>78</v>
      </c>
      <c r="AP61" s="31">
        <v>0.75200000000000033</v>
      </c>
      <c r="AQ61" s="31">
        <v>0.7</v>
      </c>
      <c r="AR61" s="31">
        <v>0.7</v>
      </c>
      <c r="AS61" s="31">
        <v>0.7</v>
      </c>
      <c r="AT61" s="31">
        <v>0.7</v>
      </c>
      <c r="AU61" s="31">
        <v>0.7</v>
      </c>
      <c r="AV61" s="31">
        <v>0.7</v>
      </c>
      <c r="AW61" s="31">
        <v>0.7</v>
      </c>
      <c r="AX61" s="31">
        <v>0.7</v>
      </c>
      <c r="AY61" s="31">
        <v>0.7</v>
      </c>
      <c r="AZ61" s="31">
        <v>0.7</v>
      </c>
      <c r="BA61" s="31">
        <v>0.7</v>
      </c>
      <c r="BB61" s="31">
        <v>0.7</v>
      </c>
      <c r="BC61" s="31">
        <v>0.8</v>
      </c>
      <c r="BD61" s="31">
        <v>0.8</v>
      </c>
      <c r="BE61" s="31">
        <v>0.8</v>
      </c>
      <c r="BF61" s="31">
        <v>0.8</v>
      </c>
      <c r="BG61" s="31">
        <v>0.8</v>
      </c>
      <c r="BH61" s="31">
        <v>0.8</v>
      </c>
      <c r="BI61" s="31">
        <v>0.8</v>
      </c>
      <c r="BJ61" s="31">
        <v>0.8</v>
      </c>
      <c r="BK61" s="31">
        <v>0.8</v>
      </c>
      <c r="BL61" s="31">
        <v>0.8</v>
      </c>
      <c r="BM61" s="31">
        <v>0.8</v>
      </c>
      <c r="BN61" s="31">
        <v>0.8</v>
      </c>
      <c r="BO61" s="31">
        <v>0.8</v>
      </c>
    </row>
    <row r="62" spans="1:67" x14ac:dyDescent="0.2">
      <c r="A62" s="5" t="s">
        <v>67</v>
      </c>
      <c r="B62" s="25">
        <v>43390</v>
      </c>
      <c r="C62" s="26">
        <v>0.58819444444444402</v>
      </c>
      <c r="D62" s="26" t="s">
        <v>124</v>
      </c>
      <c r="E62" s="5">
        <v>3</v>
      </c>
      <c r="F62" s="32">
        <v>62.5</v>
      </c>
      <c r="G62" s="9">
        <v>2</v>
      </c>
      <c r="H62" s="6">
        <v>3.2000000000000001E-2</v>
      </c>
      <c r="I62" s="7">
        <v>6.83E-2</v>
      </c>
      <c r="J62" s="9">
        <v>314.15899999999999</v>
      </c>
      <c r="K62" s="9">
        <v>0.75129999999999997</v>
      </c>
      <c r="L62" s="9">
        <v>11</v>
      </c>
      <c r="M62" s="14">
        <v>209.07693331558633</v>
      </c>
      <c r="N62" s="9">
        <v>1420</v>
      </c>
      <c r="O62" s="12" t="s">
        <v>98</v>
      </c>
      <c r="P62" s="12" t="s">
        <v>82</v>
      </c>
      <c r="Q62" s="9" t="s">
        <v>95</v>
      </c>
      <c r="R62" s="9" t="s">
        <v>99</v>
      </c>
      <c r="S62" s="9"/>
      <c r="T62" s="18">
        <v>1</v>
      </c>
      <c r="U62" s="18">
        <v>2</v>
      </c>
      <c r="V62" s="9">
        <v>1.9</v>
      </c>
      <c r="Y62" s="9">
        <f t="shared" si="0"/>
        <v>209.07693331558633</v>
      </c>
      <c r="Z62" s="19" t="s">
        <v>97</v>
      </c>
      <c r="AA62" s="8" t="s">
        <v>125</v>
      </c>
      <c r="AB62" s="8" t="s">
        <v>75</v>
      </c>
      <c r="AC62" s="11" t="s">
        <v>112</v>
      </c>
      <c r="AD62" s="9" t="s">
        <v>85</v>
      </c>
      <c r="AE62" s="14">
        <v>3.5913609683333325</v>
      </c>
      <c r="AF62" s="13"/>
      <c r="AO62" s="35" t="s">
        <v>78</v>
      </c>
      <c r="AP62" s="31">
        <v>1.9</v>
      </c>
      <c r="AQ62" s="31">
        <v>1.9</v>
      </c>
      <c r="AR62" s="31">
        <v>1.9</v>
      </c>
    </row>
    <row r="63" spans="1:67" x14ac:dyDescent="0.2">
      <c r="A63" s="5" t="s">
        <v>67</v>
      </c>
      <c r="B63" s="25">
        <v>43390</v>
      </c>
      <c r="C63" s="26">
        <v>0.58819444444444402</v>
      </c>
      <c r="D63" s="26" t="s">
        <v>124</v>
      </c>
      <c r="E63" s="5">
        <v>3</v>
      </c>
      <c r="F63" s="32">
        <v>62.5</v>
      </c>
      <c r="G63" s="9">
        <v>2</v>
      </c>
      <c r="H63" s="6">
        <v>3.2000000000000001E-2</v>
      </c>
      <c r="I63" s="7">
        <v>6.83E-2</v>
      </c>
      <c r="J63" s="9">
        <v>314.15899999999999</v>
      </c>
      <c r="K63" s="9">
        <v>0.75129999999999997</v>
      </c>
      <c r="L63" s="9">
        <v>11</v>
      </c>
      <c r="M63" s="14">
        <v>209.07693331558633</v>
      </c>
      <c r="N63" s="9">
        <v>1421</v>
      </c>
      <c r="O63" s="12" t="s">
        <v>130</v>
      </c>
      <c r="P63" s="12" t="s">
        <v>82</v>
      </c>
      <c r="Q63" s="9" t="s">
        <v>95</v>
      </c>
      <c r="R63" s="9" t="s">
        <v>131</v>
      </c>
      <c r="S63" s="9"/>
      <c r="T63" s="18">
        <v>5</v>
      </c>
      <c r="U63" s="18">
        <v>6</v>
      </c>
      <c r="V63" s="9">
        <v>5.6</v>
      </c>
      <c r="Y63" s="9">
        <f t="shared" si="0"/>
        <v>1045.3846665779317</v>
      </c>
      <c r="Z63" s="19" t="s">
        <v>97</v>
      </c>
      <c r="AA63" s="8" t="s">
        <v>125</v>
      </c>
      <c r="AB63" s="8" t="s">
        <v>75</v>
      </c>
      <c r="AC63" s="11" t="s">
        <v>112</v>
      </c>
      <c r="AD63" s="9" t="s">
        <v>85</v>
      </c>
      <c r="AE63" s="14">
        <v>82.447887960000003</v>
      </c>
      <c r="AF63" s="13"/>
      <c r="AO63" s="34" t="s">
        <v>78</v>
      </c>
      <c r="AP63" s="31">
        <v>5.4</v>
      </c>
      <c r="AQ63" s="31">
        <v>5.6</v>
      </c>
      <c r="AR63" s="31">
        <v>5.6</v>
      </c>
      <c r="AS63" s="31">
        <v>5.6</v>
      </c>
      <c r="AT63" s="31">
        <v>5.6</v>
      </c>
      <c r="AU63" s="31">
        <v>4.5999999999999996</v>
      </c>
    </row>
    <row r="64" spans="1:67" x14ac:dyDescent="0.2">
      <c r="A64" s="5" t="s">
        <v>67</v>
      </c>
      <c r="B64" s="25">
        <v>43390</v>
      </c>
      <c r="C64" s="26">
        <v>0.58819444444444402</v>
      </c>
      <c r="D64" s="26" t="s">
        <v>124</v>
      </c>
      <c r="E64" s="5">
        <v>3</v>
      </c>
      <c r="F64" s="32">
        <v>62.5</v>
      </c>
      <c r="G64" s="9">
        <v>2</v>
      </c>
      <c r="H64" s="6">
        <v>3.2000000000000001E-2</v>
      </c>
      <c r="I64" s="7">
        <v>6.83E-2</v>
      </c>
      <c r="J64" s="9">
        <v>314.15899999999999</v>
      </c>
      <c r="K64" s="9">
        <v>0.75129999999999997</v>
      </c>
      <c r="L64" s="9">
        <v>11</v>
      </c>
      <c r="M64" s="14">
        <v>209.07693331558633</v>
      </c>
      <c r="N64" s="9">
        <v>1508</v>
      </c>
      <c r="O64" s="12" t="s">
        <v>132</v>
      </c>
      <c r="P64" s="12" t="s">
        <v>82</v>
      </c>
      <c r="Q64" s="9" t="s">
        <v>133</v>
      </c>
      <c r="R64" s="9" t="s">
        <v>84</v>
      </c>
      <c r="S64" s="9"/>
      <c r="T64" s="18">
        <v>1</v>
      </c>
      <c r="U64" s="18">
        <v>28</v>
      </c>
      <c r="V64" s="9">
        <v>6.5</v>
      </c>
      <c r="Y64" s="9">
        <f t="shared" si="0"/>
        <v>209.07693331558633</v>
      </c>
      <c r="Z64" s="19" t="s">
        <v>134</v>
      </c>
      <c r="AA64" s="8" t="s">
        <v>125</v>
      </c>
      <c r="AB64" s="8" t="s">
        <v>75</v>
      </c>
      <c r="AC64" s="11" t="s">
        <v>112</v>
      </c>
      <c r="AD64" s="9" t="s">
        <v>104</v>
      </c>
      <c r="AE64" s="14">
        <v>55.910877230000004</v>
      </c>
      <c r="AF64" s="13"/>
      <c r="AO64" s="34" t="s">
        <v>78</v>
      </c>
      <c r="AP64" s="31">
        <v>5.2</v>
      </c>
      <c r="AQ64" s="31">
        <v>6.5</v>
      </c>
      <c r="AR64" s="31">
        <v>6.5</v>
      </c>
      <c r="AS64" s="31">
        <v>3.7</v>
      </c>
      <c r="AT64" s="31">
        <v>3.7</v>
      </c>
      <c r="AU64" s="31">
        <v>5.6</v>
      </c>
    </row>
    <row r="65" spans="1:67" x14ac:dyDescent="0.2">
      <c r="A65" s="5"/>
      <c r="B65" s="25"/>
      <c r="C65" s="26"/>
      <c r="D65" s="26"/>
      <c r="E65" s="5"/>
      <c r="F65" s="32"/>
      <c r="G65" s="9"/>
      <c r="H65" s="6"/>
      <c r="I65" s="7"/>
      <c r="J65" s="9"/>
      <c r="N65" s="9"/>
      <c r="O65" s="12"/>
      <c r="P65" s="12"/>
      <c r="S65" s="9"/>
      <c r="T65" s="18"/>
      <c r="U65" s="18"/>
      <c r="Y65" s="9" t="e">
        <f t="shared" si="0"/>
        <v>#DIV/0!</v>
      </c>
      <c r="Z65" s="19"/>
      <c r="AC65" s="11"/>
      <c r="AD65" s="9"/>
      <c r="AE65" s="14"/>
      <c r="AF65" s="13"/>
      <c r="AO65" s="34" t="s">
        <v>79</v>
      </c>
      <c r="AP65" s="31">
        <v>3.7</v>
      </c>
      <c r="AQ65" s="31">
        <v>3.7</v>
      </c>
      <c r="AR65" s="31">
        <v>3.7</v>
      </c>
      <c r="AS65" s="31">
        <v>3.7</v>
      </c>
      <c r="AT65" s="31">
        <v>3.7</v>
      </c>
      <c r="AU65" s="31">
        <v>3.7</v>
      </c>
    </row>
    <row r="66" spans="1:67" x14ac:dyDescent="0.2">
      <c r="A66" s="5" t="s">
        <v>67</v>
      </c>
      <c r="B66" s="25">
        <v>43390</v>
      </c>
      <c r="C66" s="26">
        <v>0.62013888888888902</v>
      </c>
      <c r="D66" s="5" t="s">
        <v>135</v>
      </c>
      <c r="E66" s="5"/>
      <c r="F66" s="32">
        <v>64</v>
      </c>
      <c r="G66" s="9">
        <v>2</v>
      </c>
      <c r="H66" s="6">
        <v>3.125E-2</v>
      </c>
      <c r="I66" s="7">
        <v>6.83E-2</v>
      </c>
      <c r="J66" s="9">
        <v>314.15899999999999</v>
      </c>
      <c r="K66" s="9">
        <v>0.61470000000000002</v>
      </c>
      <c r="L66" s="9">
        <v>9</v>
      </c>
      <c r="M66" s="14">
        <v>255.53847405238326</v>
      </c>
      <c r="N66" s="9">
        <v>190</v>
      </c>
      <c r="O66" s="12" t="s">
        <v>102</v>
      </c>
      <c r="P66" s="8" t="s">
        <v>70</v>
      </c>
      <c r="Q66" s="9" t="s">
        <v>103</v>
      </c>
      <c r="R66" s="9" t="s">
        <v>84</v>
      </c>
      <c r="S66" s="9"/>
      <c r="T66" s="18">
        <v>2</v>
      </c>
      <c r="U66" s="18">
        <v>2</v>
      </c>
      <c r="V66" s="9">
        <v>7.4</v>
      </c>
      <c r="Y66" s="9">
        <f t="shared" si="0"/>
        <v>511.07694810476653</v>
      </c>
      <c r="Z66" s="19" t="s">
        <v>73</v>
      </c>
      <c r="AA66" s="8" t="s">
        <v>136</v>
      </c>
      <c r="AB66" s="8" t="s">
        <v>75</v>
      </c>
      <c r="AC66" s="11" t="s">
        <v>76</v>
      </c>
      <c r="AD66" s="9" t="s">
        <v>104</v>
      </c>
      <c r="AE66" s="14">
        <v>132.88925699999999</v>
      </c>
      <c r="AF66" s="13"/>
      <c r="AO66" s="34" t="s">
        <v>78</v>
      </c>
      <c r="AP66" s="31">
        <v>4.6500000000000004</v>
      </c>
      <c r="AQ66" s="31">
        <v>3.7</v>
      </c>
      <c r="AR66" s="31">
        <v>5.6</v>
      </c>
    </row>
    <row r="67" spans="1:67" x14ac:dyDescent="0.2">
      <c r="A67" s="5"/>
      <c r="B67" s="25"/>
      <c r="C67" s="26"/>
      <c r="D67" s="5"/>
      <c r="E67" s="5"/>
      <c r="F67" s="32"/>
      <c r="G67" s="9"/>
      <c r="H67" s="6"/>
      <c r="I67" s="7"/>
      <c r="J67" s="9"/>
      <c r="N67" s="9"/>
      <c r="O67" s="12"/>
      <c r="S67" s="9"/>
      <c r="T67" s="18"/>
      <c r="U67" s="18"/>
      <c r="Y67" s="9" t="e">
        <f t="shared" ref="Y67:Y130" si="1">(T67*J67)/(G67*I67*L67)</f>
        <v>#DIV/0!</v>
      </c>
      <c r="Z67" s="19"/>
      <c r="AC67" s="11"/>
      <c r="AD67" s="9"/>
      <c r="AE67" s="14"/>
      <c r="AF67" s="13"/>
      <c r="AO67" s="34" t="s">
        <v>79</v>
      </c>
      <c r="AP67" s="31">
        <v>6</v>
      </c>
      <c r="AQ67" s="31">
        <v>4.5999999999999996</v>
      </c>
      <c r="AR67" s="31">
        <v>7.4</v>
      </c>
    </row>
    <row r="68" spans="1:67" x14ac:dyDescent="0.2">
      <c r="A68" s="5" t="s">
        <v>67</v>
      </c>
      <c r="B68" s="25">
        <v>43390</v>
      </c>
      <c r="C68" s="26">
        <v>0.62013888888888902</v>
      </c>
      <c r="D68" s="5" t="s">
        <v>135</v>
      </c>
      <c r="E68" s="5"/>
      <c r="F68" s="32">
        <v>64</v>
      </c>
      <c r="G68" s="9">
        <v>2</v>
      </c>
      <c r="H68" s="6">
        <v>3.125E-2</v>
      </c>
      <c r="I68" s="7">
        <v>6.83E-2</v>
      </c>
      <c r="J68" s="9">
        <v>314.15899999999999</v>
      </c>
      <c r="K68" s="9">
        <v>0.61470000000000002</v>
      </c>
      <c r="L68" s="9">
        <v>9</v>
      </c>
      <c r="M68" s="14">
        <v>255.53847405238326</v>
      </c>
      <c r="N68" s="9">
        <v>1860</v>
      </c>
      <c r="O68" s="8" t="s">
        <v>137</v>
      </c>
      <c r="P68" s="8" t="s">
        <v>70</v>
      </c>
      <c r="Q68" s="9" t="s">
        <v>138</v>
      </c>
      <c r="R68" s="9" t="s">
        <v>139</v>
      </c>
      <c r="S68" s="9"/>
      <c r="T68" s="18">
        <v>1</v>
      </c>
      <c r="U68" s="18">
        <v>1</v>
      </c>
      <c r="V68" s="9">
        <v>9.3000000000000007</v>
      </c>
      <c r="Y68" s="9">
        <f t="shared" si="1"/>
        <v>255.53847405238326</v>
      </c>
      <c r="Z68" s="19" t="s">
        <v>73</v>
      </c>
      <c r="AA68" s="8" t="s">
        <v>136</v>
      </c>
      <c r="AB68" s="8" t="s">
        <v>75</v>
      </c>
      <c r="AC68" s="11" t="s">
        <v>76</v>
      </c>
      <c r="AD68" s="9" t="s">
        <v>140</v>
      </c>
      <c r="AE68" s="14">
        <v>57.264902519999993</v>
      </c>
      <c r="AF68" s="13"/>
      <c r="AO68" s="34" t="s">
        <v>78</v>
      </c>
      <c r="AP68" s="31">
        <v>9.3000000000000007</v>
      </c>
      <c r="AQ68" s="31">
        <v>9.3000000000000007</v>
      </c>
    </row>
    <row r="69" spans="1:67" x14ac:dyDescent="0.2">
      <c r="A69" s="5"/>
      <c r="B69" s="25"/>
      <c r="C69" s="26"/>
      <c r="D69" s="5"/>
      <c r="E69" s="5"/>
      <c r="F69" s="32"/>
      <c r="G69" s="9"/>
      <c r="H69" s="6"/>
      <c r="I69" s="7"/>
      <c r="J69" s="9"/>
      <c r="N69" s="9"/>
      <c r="S69" s="9"/>
      <c r="T69" s="18"/>
      <c r="U69" s="18"/>
      <c r="Y69" s="9" t="e">
        <f t="shared" si="1"/>
        <v>#DIV/0!</v>
      </c>
      <c r="Z69" s="19"/>
      <c r="AC69" s="11"/>
      <c r="AD69" s="9"/>
      <c r="AE69" s="14"/>
      <c r="AF69" s="13"/>
      <c r="AO69" s="34" t="s">
        <v>79</v>
      </c>
      <c r="AP69" s="31">
        <v>2.8</v>
      </c>
      <c r="AQ69" s="31">
        <v>2.8</v>
      </c>
    </row>
    <row r="70" spans="1:67" x14ac:dyDescent="0.2">
      <c r="A70" s="5" t="s">
        <v>67</v>
      </c>
      <c r="B70" s="25">
        <v>43390</v>
      </c>
      <c r="C70" s="26">
        <v>0.62013888888888902</v>
      </c>
      <c r="D70" s="5" t="s">
        <v>135</v>
      </c>
      <c r="E70" s="5"/>
      <c r="F70" s="32">
        <v>64</v>
      </c>
      <c r="G70" s="9">
        <v>2</v>
      </c>
      <c r="H70" s="6">
        <v>3.125E-2</v>
      </c>
      <c r="I70" s="7">
        <v>6.83E-2</v>
      </c>
      <c r="J70" s="9">
        <v>314.15899999999999</v>
      </c>
      <c r="K70" s="9">
        <v>0.61470000000000002</v>
      </c>
      <c r="L70" s="9">
        <v>9</v>
      </c>
      <c r="M70" s="14">
        <v>255.53847405238326</v>
      </c>
      <c r="N70" s="9">
        <v>1031</v>
      </c>
      <c r="O70" s="12" t="s">
        <v>81</v>
      </c>
      <c r="P70" s="12" t="s">
        <v>82</v>
      </c>
      <c r="Q70" s="9" t="s">
        <v>83</v>
      </c>
      <c r="R70" s="9" t="s">
        <v>84</v>
      </c>
      <c r="S70" s="9"/>
      <c r="T70" s="18">
        <v>1</v>
      </c>
      <c r="U70" s="18">
        <v>1</v>
      </c>
      <c r="V70" s="9">
        <v>4.5999999999999996</v>
      </c>
      <c r="Y70" s="9">
        <f t="shared" si="1"/>
        <v>255.53847405238326</v>
      </c>
      <c r="Z70" s="19" t="s">
        <v>73</v>
      </c>
      <c r="AA70" s="8" t="s">
        <v>136</v>
      </c>
      <c r="AB70" s="8" t="s">
        <v>75</v>
      </c>
      <c r="AC70" s="11" t="s">
        <v>76</v>
      </c>
      <c r="AD70" s="9" t="s">
        <v>85</v>
      </c>
      <c r="AE70" s="14">
        <v>40.993560713333324</v>
      </c>
      <c r="AF70" s="13"/>
      <c r="AO70" s="34" t="s">
        <v>78</v>
      </c>
      <c r="AP70" s="31">
        <v>4.5999999999999996</v>
      </c>
      <c r="AQ70" s="31">
        <v>4.5999999999999996</v>
      </c>
    </row>
    <row r="71" spans="1:67" x14ac:dyDescent="0.2">
      <c r="A71" s="5"/>
      <c r="B71" s="25"/>
      <c r="C71" s="26"/>
      <c r="D71" s="5"/>
      <c r="E71" s="5"/>
      <c r="F71" s="32"/>
      <c r="G71" s="9"/>
      <c r="H71" s="6"/>
      <c r="I71" s="7"/>
      <c r="J71" s="9"/>
      <c r="N71" s="9"/>
      <c r="O71" s="12"/>
      <c r="P71" s="12"/>
      <c r="S71" s="9"/>
      <c r="T71" s="18"/>
      <c r="U71" s="18"/>
      <c r="Y71" s="9" t="e">
        <f t="shared" si="1"/>
        <v>#DIV/0!</v>
      </c>
      <c r="Z71" s="19"/>
      <c r="AC71" s="11"/>
      <c r="AD71" s="9"/>
      <c r="AE71" s="14"/>
      <c r="AF71" s="13"/>
      <c r="AO71" s="34" t="s">
        <v>79</v>
      </c>
      <c r="AP71" s="31">
        <v>4.5999999999999996</v>
      </c>
      <c r="AQ71" s="31">
        <v>4.5999999999999996</v>
      </c>
    </row>
    <row r="72" spans="1:67" x14ac:dyDescent="0.2">
      <c r="A72" s="5"/>
      <c r="B72" s="25"/>
      <c r="C72" s="26"/>
      <c r="D72" s="5"/>
      <c r="E72" s="5"/>
      <c r="F72" s="32"/>
      <c r="G72" s="9"/>
      <c r="H72" s="6"/>
      <c r="I72" s="7"/>
      <c r="J72" s="9"/>
      <c r="N72" s="9"/>
      <c r="O72" s="12"/>
      <c r="P72" s="12"/>
      <c r="S72" s="9"/>
      <c r="T72" s="18"/>
      <c r="U72" s="18"/>
      <c r="Y72" s="9" t="e">
        <f t="shared" si="1"/>
        <v>#DIV/0!</v>
      </c>
      <c r="Z72" s="19"/>
      <c r="AC72" s="11"/>
      <c r="AD72" s="9"/>
      <c r="AE72" s="14"/>
      <c r="AF72" s="13"/>
      <c r="AO72" s="34" t="s">
        <v>80</v>
      </c>
      <c r="AP72" s="31">
        <v>3.7</v>
      </c>
      <c r="AQ72" s="31">
        <v>3.7</v>
      </c>
    </row>
    <row r="73" spans="1:67" x14ac:dyDescent="0.2">
      <c r="A73" s="5" t="s">
        <v>67</v>
      </c>
      <c r="B73" s="25">
        <v>43390</v>
      </c>
      <c r="C73" s="26">
        <v>0.62013888888888902</v>
      </c>
      <c r="D73" s="5" t="s">
        <v>135</v>
      </c>
      <c r="E73" s="5"/>
      <c r="F73" s="32">
        <v>64</v>
      </c>
      <c r="G73" s="9">
        <v>2</v>
      </c>
      <c r="H73" s="6">
        <v>3.125E-2</v>
      </c>
      <c r="I73" s="7">
        <v>6.83E-2</v>
      </c>
      <c r="J73" s="9">
        <v>314.15899999999999</v>
      </c>
      <c r="K73" s="9">
        <v>0.61470000000000002</v>
      </c>
      <c r="L73" s="9">
        <v>9</v>
      </c>
      <c r="M73" s="14">
        <v>255.53847405238326</v>
      </c>
      <c r="N73" s="9">
        <v>1037</v>
      </c>
      <c r="O73" s="12" t="s">
        <v>86</v>
      </c>
      <c r="P73" s="12" t="s">
        <v>82</v>
      </c>
      <c r="Q73" s="9" t="s">
        <v>87</v>
      </c>
      <c r="R73" s="9" t="s">
        <v>84</v>
      </c>
      <c r="S73" s="9"/>
      <c r="T73" s="18">
        <v>11</v>
      </c>
      <c r="U73" s="18">
        <v>11</v>
      </c>
      <c r="V73" s="9">
        <v>2.8</v>
      </c>
      <c r="Y73" s="9">
        <f t="shared" si="1"/>
        <v>2810.9232145762157</v>
      </c>
      <c r="Z73" s="19" t="s">
        <v>73</v>
      </c>
      <c r="AA73" s="8" t="s">
        <v>136</v>
      </c>
      <c r="AB73" s="8" t="s">
        <v>75</v>
      </c>
      <c r="AC73" s="11" t="s">
        <v>76</v>
      </c>
      <c r="AD73" s="9" t="s">
        <v>85</v>
      </c>
      <c r="AE73" s="14">
        <v>4.8490441650000005</v>
      </c>
      <c r="AF73" s="13"/>
      <c r="AO73" s="34" t="s">
        <v>78</v>
      </c>
      <c r="AP73" s="31">
        <v>2.08</v>
      </c>
      <c r="AQ73" s="31">
        <v>1.9</v>
      </c>
      <c r="AR73" s="31">
        <v>2.8</v>
      </c>
      <c r="AS73" s="31">
        <v>1.9</v>
      </c>
      <c r="AT73" s="31">
        <v>1.9</v>
      </c>
      <c r="AU73" s="31">
        <v>1.9</v>
      </c>
    </row>
    <row r="74" spans="1:67" x14ac:dyDescent="0.2">
      <c r="A74" s="5" t="s">
        <v>67</v>
      </c>
      <c r="B74" s="25">
        <v>43390</v>
      </c>
      <c r="C74" s="26">
        <v>0.62013888888888902</v>
      </c>
      <c r="D74" s="5" t="s">
        <v>135</v>
      </c>
      <c r="E74" s="5"/>
      <c r="F74" s="32">
        <v>64</v>
      </c>
      <c r="G74" s="9">
        <v>2</v>
      </c>
      <c r="H74" s="6">
        <v>3.125E-2</v>
      </c>
      <c r="I74" s="7">
        <v>6.83E-2</v>
      </c>
      <c r="J74" s="9">
        <v>314.15899999999999</v>
      </c>
      <c r="K74" s="9">
        <v>0.61470000000000002</v>
      </c>
      <c r="L74" s="9">
        <v>9</v>
      </c>
      <c r="M74" s="14">
        <v>255.53847405238326</v>
      </c>
      <c r="N74" s="9">
        <v>1364</v>
      </c>
      <c r="O74" s="12" t="s">
        <v>88</v>
      </c>
      <c r="P74" s="12" t="s">
        <v>82</v>
      </c>
      <c r="Q74" s="9" t="s">
        <v>89</v>
      </c>
      <c r="R74" s="9" t="s">
        <v>90</v>
      </c>
      <c r="S74" s="9"/>
      <c r="T74" s="18">
        <v>1</v>
      </c>
      <c r="U74" s="18">
        <v>1</v>
      </c>
      <c r="V74" s="9">
        <v>8.1999999999999993</v>
      </c>
      <c r="Y74" s="9">
        <f t="shared" si="1"/>
        <v>255.53847405238326</v>
      </c>
      <c r="Z74" s="19" t="s">
        <v>73</v>
      </c>
      <c r="AA74" s="8" t="s">
        <v>136</v>
      </c>
      <c r="AB74" s="8" t="s">
        <v>75</v>
      </c>
      <c r="AC74" s="11" t="s">
        <v>76</v>
      </c>
      <c r="AD74" s="9" t="s">
        <v>91</v>
      </c>
      <c r="AE74" s="14">
        <v>242.92658833999991</v>
      </c>
      <c r="AF74" s="13"/>
      <c r="AO74" s="34" t="s">
        <v>78</v>
      </c>
      <c r="AP74" s="31">
        <v>8.1999999999999993</v>
      </c>
      <c r="AQ74" s="31">
        <v>8.1999999999999993</v>
      </c>
    </row>
    <row r="75" spans="1:67" x14ac:dyDescent="0.2">
      <c r="A75" s="5"/>
      <c r="B75" s="25"/>
      <c r="C75" s="26"/>
      <c r="D75" s="5"/>
      <c r="E75" s="5"/>
      <c r="F75" s="32"/>
      <c r="G75" s="9"/>
      <c r="H75" s="6"/>
      <c r="I75" s="7"/>
      <c r="J75" s="9"/>
      <c r="N75" s="9"/>
      <c r="O75" s="12"/>
      <c r="P75" s="12"/>
      <c r="S75" s="9"/>
      <c r="T75" s="18"/>
      <c r="U75" s="18"/>
      <c r="Y75" s="9" t="e">
        <f t="shared" si="1"/>
        <v>#DIV/0!</v>
      </c>
      <c r="Z75" s="19"/>
      <c r="AC75" s="11"/>
      <c r="AD75" s="9"/>
      <c r="AE75" s="14"/>
      <c r="AF75" s="13"/>
      <c r="AO75" s="34" t="s">
        <v>79</v>
      </c>
      <c r="AP75" s="31">
        <v>5.6</v>
      </c>
      <c r="AQ75" s="31">
        <v>5.6</v>
      </c>
    </row>
    <row r="76" spans="1:67" x14ac:dyDescent="0.2">
      <c r="A76" s="5" t="s">
        <v>67</v>
      </c>
      <c r="B76" s="25">
        <v>43390</v>
      </c>
      <c r="C76" s="26">
        <v>0.62013888888888902</v>
      </c>
      <c r="D76" s="5" t="s">
        <v>135</v>
      </c>
      <c r="E76" s="5"/>
      <c r="F76" s="32">
        <v>64</v>
      </c>
      <c r="G76" s="9">
        <v>2</v>
      </c>
      <c r="H76" s="6">
        <v>3.125E-2</v>
      </c>
      <c r="I76" s="7">
        <v>6.83E-2</v>
      </c>
      <c r="J76" s="9">
        <v>314.15899999999999</v>
      </c>
      <c r="K76" s="9">
        <v>0.61470000000000002</v>
      </c>
      <c r="L76" s="9">
        <v>9</v>
      </c>
      <c r="M76" s="14">
        <v>255.53847405238326</v>
      </c>
      <c r="N76" s="9">
        <v>1733</v>
      </c>
      <c r="O76" s="12" t="s">
        <v>92</v>
      </c>
      <c r="P76" s="12" t="s">
        <v>82</v>
      </c>
      <c r="Q76" s="9" t="s">
        <v>89</v>
      </c>
      <c r="R76" s="9" t="s">
        <v>93</v>
      </c>
      <c r="S76" s="9"/>
      <c r="T76" s="18">
        <v>1</v>
      </c>
      <c r="U76" s="18">
        <v>1</v>
      </c>
      <c r="V76" s="9">
        <v>7.4</v>
      </c>
      <c r="Y76" s="9">
        <f t="shared" si="1"/>
        <v>255.53847405238326</v>
      </c>
      <c r="Z76" s="19" t="s">
        <v>73</v>
      </c>
      <c r="AA76" s="8" t="s">
        <v>136</v>
      </c>
      <c r="AB76" s="8" t="s">
        <v>75</v>
      </c>
      <c r="AC76" s="11" t="s">
        <v>76</v>
      </c>
      <c r="AD76" s="9" t="s">
        <v>91</v>
      </c>
      <c r="AE76" s="14">
        <v>172.0334684</v>
      </c>
      <c r="AF76" s="13"/>
      <c r="AO76" s="34" t="s">
        <v>78</v>
      </c>
      <c r="AP76" s="31">
        <v>7.4</v>
      </c>
      <c r="AQ76" s="31">
        <v>7.4</v>
      </c>
    </row>
    <row r="77" spans="1:67" x14ac:dyDescent="0.2">
      <c r="A77" s="5"/>
      <c r="B77" s="25"/>
      <c r="C77" s="26"/>
      <c r="D77" s="5"/>
      <c r="E77" s="5"/>
      <c r="F77" s="32"/>
      <c r="G77" s="9"/>
      <c r="H77" s="6"/>
      <c r="I77" s="7"/>
      <c r="J77" s="9"/>
      <c r="N77" s="9"/>
      <c r="O77" s="12"/>
      <c r="P77" s="12"/>
      <c r="S77" s="9"/>
      <c r="T77" s="18"/>
      <c r="U77" s="18"/>
      <c r="Y77" s="9" t="e">
        <f t="shared" si="1"/>
        <v>#DIV/0!</v>
      </c>
      <c r="Z77" s="19"/>
      <c r="AC77" s="11"/>
      <c r="AD77" s="9"/>
      <c r="AE77" s="14"/>
      <c r="AF77" s="13"/>
      <c r="AO77" s="34" t="s">
        <v>79</v>
      </c>
      <c r="AP77" s="31">
        <v>4.5999999999999996</v>
      </c>
      <c r="AQ77" s="31">
        <v>4.5999999999999996</v>
      </c>
    </row>
    <row r="78" spans="1:67" x14ac:dyDescent="0.2">
      <c r="A78" s="5" t="s">
        <v>67</v>
      </c>
      <c r="B78" s="25">
        <v>43390</v>
      </c>
      <c r="C78" s="26">
        <v>0.62013888888888902</v>
      </c>
      <c r="D78" s="5" t="s">
        <v>135</v>
      </c>
      <c r="E78" s="5"/>
      <c r="F78" s="32">
        <v>64</v>
      </c>
      <c r="G78" s="9">
        <v>2</v>
      </c>
      <c r="H78" s="6">
        <v>3.125E-2</v>
      </c>
      <c r="I78" s="7">
        <v>6.83E-2</v>
      </c>
      <c r="J78" s="9">
        <v>314.15899999999999</v>
      </c>
      <c r="K78" s="9">
        <v>0.61470000000000002</v>
      </c>
      <c r="L78" s="9">
        <v>9</v>
      </c>
      <c r="M78" s="14">
        <v>255.53847405238326</v>
      </c>
      <c r="N78" s="9">
        <v>1419</v>
      </c>
      <c r="O78" s="12" t="s">
        <v>94</v>
      </c>
      <c r="P78" s="12" t="s">
        <v>82</v>
      </c>
      <c r="Q78" s="9" t="s">
        <v>95</v>
      </c>
      <c r="R78" s="9" t="s">
        <v>96</v>
      </c>
      <c r="S78" s="9"/>
      <c r="T78" s="18">
        <v>366</v>
      </c>
      <c r="U78" s="18">
        <v>738</v>
      </c>
      <c r="V78" s="9">
        <v>0.8</v>
      </c>
      <c r="W78" s="9">
        <v>0.8</v>
      </c>
      <c r="X78" s="9">
        <v>0.8</v>
      </c>
      <c r="Y78" s="9">
        <f t="shared" si="1"/>
        <v>93527.081503172274</v>
      </c>
      <c r="Z78" s="19" t="s">
        <v>97</v>
      </c>
      <c r="AA78" s="8" t="s">
        <v>136</v>
      </c>
      <c r="AB78" s="8" t="s">
        <v>75</v>
      </c>
      <c r="AC78" s="11" t="s">
        <v>76</v>
      </c>
      <c r="AD78" s="9" t="s">
        <v>85</v>
      </c>
      <c r="AE78" s="14">
        <v>0.18</v>
      </c>
      <c r="AF78" s="14">
        <v>0.18</v>
      </c>
      <c r="AG78" s="14">
        <v>0.18</v>
      </c>
      <c r="AH78" s="14">
        <v>0.18</v>
      </c>
      <c r="AI78" s="14">
        <v>0.18</v>
      </c>
      <c r="AJ78" s="14">
        <v>0.18</v>
      </c>
      <c r="AK78" s="14">
        <v>0.18</v>
      </c>
      <c r="AL78" s="14">
        <v>0.18</v>
      </c>
      <c r="AM78" s="14">
        <v>0.18</v>
      </c>
      <c r="AN78" s="14">
        <v>0.18</v>
      </c>
      <c r="AO78" s="35" t="s">
        <v>78</v>
      </c>
      <c r="AP78" s="31">
        <v>0.75200000000000033</v>
      </c>
      <c r="AQ78" s="31">
        <v>0.7</v>
      </c>
      <c r="AR78" s="31">
        <v>0.7</v>
      </c>
      <c r="AS78" s="31">
        <v>0.7</v>
      </c>
      <c r="AT78" s="31">
        <v>0.7</v>
      </c>
      <c r="AU78" s="31">
        <v>0.7</v>
      </c>
      <c r="AV78" s="31">
        <v>0.7</v>
      </c>
      <c r="AW78" s="31">
        <v>0.7</v>
      </c>
      <c r="AX78" s="31">
        <v>0.7</v>
      </c>
      <c r="AY78" s="31">
        <v>0.7</v>
      </c>
      <c r="AZ78" s="31">
        <v>0.7</v>
      </c>
      <c r="BA78" s="31">
        <v>0.7</v>
      </c>
      <c r="BB78" s="31">
        <v>0.7</v>
      </c>
      <c r="BC78" s="31">
        <v>0.8</v>
      </c>
      <c r="BD78" s="31">
        <v>0.8</v>
      </c>
      <c r="BE78" s="31">
        <v>0.8</v>
      </c>
      <c r="BF78" s="31">
        <v>0.8</v>
      </c>
      <c r="BG78" s="31">
        <v>0.8</v>
      </c>
      <c r="BH78" s="31">
        <v>0.8</v>
      </c>
      <c r="BI78" s="31">
        <v>0.8</v>
      </c>
      <c r="BJ78" s="31">
        <v>0.8</v>
      </c>
      <c r="BK78" s="31">
        <v>0.8</v>
      </c>
      <c r="BL78" s="31">
        <v>0.8</v>
      </c>
      <c r="BM78" s="31">
        <v>0.8</v>
      </c>
      <c r="BN78" s="31">
        <v>0.8</v>
      </c>
      <c r="BO78" s="31">
        <v>0.8</v>
      </c>
    </row>
    <row r="79" spans="1:67" x14ac:dyDescent="0.2">
      <c r="A79" s="5" t="s">
        <v>67</v>
      </c>
      <c r="B79" s="25">
        <v>43390</v>
      </c>
      <c r="C79" s="26">
        <v>0.62013888888888902</v>
      </c>
      <c r="D79" s="5" t="s">
        <v>135</v>
      </c>
      <c r="E79" s="5"/>
      <c r="F79" s="32">
        <v>64</v>
      </c>
      <c r="G79" s="9">
        <v>2</v>
      </c>
      <c r="H79" s="6">
        <v>3.125E-2</v>
      </c>
      <c r="I79" s="7">
        <v>6.83E-2</v>
      </c>
      <c r="J79" s="9">
        <v>314.15899999999999</v>
      </c>
      <c r="K79" s="9">
        <v>0.61470000000000002</v>
      </c>
      <c r="L79" s="9">
        <v>9</v>
      </c>
      <c r="M79" s="14">
        <v>255.53847405238326</v>
      </c>
      <c r="N79" s="9">
        <v>1421</v>
      </c>
      <c r="O79" s="12" t="s">
        <v>130</v>
      </c>
      <c r="P79" s="12" t="s">
        <v>82</v>
      </c>
      <c r="Q79" s="9" t="s">
        <v>95</v>
      </c>
      <c r="R79" s="9" t="s">
        <v>131</v>
      </c>
      <c r="S79" s="9"/>
      <c r="T79" s="18">
        <v>34</v>
      </c>
      <c r="U79" s="18">
        <v>37</v>
      </c>
      <c r="V79" s="9">
        <v>5.6</v>
      </c>
      <c r="Y79" s="9">
        <f t="shared" si="1"/>
        <v>8688.3081177810309</v>
      </c>
      <c r="Z79" s="19" t="s">
        <v>97</v>
      </c>
      <c r="AA79" s="8" t="s">
        <v>136</v>
      </c>
      <c r="AB79" s="8" t="s">
        <v>75</v>
      </c>
      <c r="AC79" s="11" t="s">
        <v>76</v>
      </c>
      <c r="AD79" s="9" t="s">
        <v>85</v>
      </c>
      <c r="AE79" s="14">
        <v>82.447887960000003</v>
      </c>
      <c r="AF79" s="13"/>
      <c r="AO79" s="34" t="s">
        <v>78</v>
      </c>
      <c r="AP79" s="31">
        <v>5.4</v>
      </c>
      <c r="AQ79" s="31">
        <v>5.6</v>
      </c>
      <c r="AR79" s="31">
        <v>5.6</v>
      </c>
      <c r="AS79" s="31">
        <v>5.6</v>
      </c>
      <c r="AT79" s="31">
        <v>4.5999999999999996</v>
      </c>
      <c r="AU79" s="31">
        <v>5.6</v>
      </c>
    </row>
    <row r="80" spans="1:67" x14ac:dyDescent="0.2">
      <c r="A80" s="5" t="s">
        <v>67</v>
      </c>
      <c r="B80" s="25">
        <v>43361</v>
      </c>
      <c r="C80" s="26">
        <v>0.66874999999999996</v>
      </c>
      <c r="D80" s="5" t="s">
        <v>141</v>
      </c>
      <c r="E80" s="5"/>
      <c r="F80" s="32">
        <v>63</v>
      </c>
      <c r="G80" s="9">
        <v>2</v>
      </c>
      <c r="H80" s="6">
        <v>3.1746031746031744E-2</v>
      </c>
      <c r="I80" s="7">
        <v>6.83E-2</v>
      </c>
      <c r="J80" s="9">
        <v>314.15899999999999</v>
      </c>
      <c r="K80" s="9">
        <v>0.47809999999999997</v>
      </c>
      <c r="L80" s="9">
        <v>7</v>
      </c>
      <c r="M80" s="14">
        <v>328.54946663877848</v>
      </c>
      <c r="N80" s="9">
        <v>147</v>
      </c>
      <c r="O80" s="12" t="s">
        <v>142</v>
      </c>
      <c r="P80" s="8" t="s">
        <v>70</v>
      </c>
      <c r="Q80" s="9" t="s">
        <v>71</v>
      </c>
      <c r="R80" s="9" t="s">
        <v>84</v>
      </c>
      <c r="S80" s="9"/>
      <c r="T80" s="18">
        <v>4</v>
      </c>
      <c r="U80" s="18">
        <v>4</v>
      </c>
      <c r="V80" s="9">
        <v>22.2</v>
      </c>
      <c r="Y80" s="9">
        <f t="shared" si="1"/>
        <v>1314.1978665551139</v>
      </c>
      <c r="Z80" s="19" t="s">
        <v>73</v>
      </c>
      <c r="AA80" s="8" t="s">
        <v>143</v>
      </c>
      <c r="AB80" s="8" t="s">
        <v>75</v>
      </c>
      <c r="AC80" s="11" t="s">
        <v>76</v>
      </c>
      <c r="AD80" s="9" t="s">
        <v>77</v>
      </c>
      <c r="AE80" s="14">
        <v>636.96365567999987</v>
      </c>
      <c r="AF80" s="13"/>
      <c r="AO80" s="34" t="s">
        <v>78</v>
      </c>
      <c r="AP80" s="31">
        <v>19.2</v>
      </c>
      <c r="AQ80" s="31">
        <v>22.2</v>
      </c>
      <c r="AR80" s="31">
        <v>22.2</v>
      </c>
      <c r="AS80" s="31">
        <v>16.7</v>
      </c>
      <c r="AT80" s="31">
        <v>15.7</v>
      </c>
    </row>
    <row r="81" spans="1:67" x14ac:dyDescent="0.2">
      <c r="A81" s="5"/>
      <c r="B81" s="25"/>
      <c r="C81" s="26"/>
      <c r="D81" s="5"/>
      <c r="E81" s="5"/>
      <c r="F81" s="32"/>
      <c r="G81" s="9"/>
      <c r="H81" s="6"/>
      <c r="I81" s="7"/>
      <c r="J81" s="9"/>
      <c r="N81" s="9"/>
      <c r="O81" s="12"/>
      <c r="S81" s="9"/>
      <c r="T81" s="18"/>
      <c r="U81" s="18"/>
      <c r="Y81" s="9" t="e">
        <f t="shared" si="1"/>
        <v>#DIV/0!</v>
      </c>
      <c r="Z81" s="19"/>
      <c r="AC81" s="11"/>
      <c r="AD81" s="9"/>
      <c r="AE81" s="14"/>
      <c r="AF81" s="13"/>
      <c r="AO81" s="34" t="s">
        <v>79</v>
      </c>
      <c r="AP81" s="31">
        <v>12.75</v>
      </c>
      <c r="AQ81" s="31">
        <v>14.8</v>
      </c>
      <c r="AR81" s="31">
        <v>16.7</v>
      </c>
      <c r="AS81" s="31">
        <v>9.3000000000000007</v>
      </c>
      <c r="AT81" s="31">
        <v>10.199999999999999</v>
      </c>
    </row>
    <row r="82" spans="1:67" x14ac:dyDescent="0.2">
      <c r="A82" s="5"/>
      <c r="B82" s="25"/>
      <c r="C82" s="26"/>
      <c r="D82" s="5"/>
      <c r="E82" s="5"/>
      <c r="F82" s="32"/>
      <c r="G82" s="9"/>
      <c r="H82" s="6"/>
      <c r="I82" s="7"/>
      <c r="J82" s="9"/>
      <c r="N82" s="9"/>
      <c r="O82" s="12"/>
      <c r="S82" s="9"/>
      <c r="T82" s="18"/>
      <c r="U82" s="18"/>
      <c r="Y82" s="9" t="e">
        <f t="shared" si="1"/>
        <v>#DIV/0!</v>
      </c>
      <c r="Z82" s="19"/>
      <c r="AC82" s="11"/>
      <c r="AD82" s="9"/>
      <c r="AE82" s="14"/>
      <c r="AF82" s="13"/>
      <c r="AO82" s="34" t="s">
        <v>80</v>
      </c>
      <c r="AP82" s="31">
        <v>3.25</v>
      </c>
      <c r="AQ82" s="31">
        <v>3.7</v>
      </c>
      <c r="AR82" s="31">
        <v>3.7</v>
      </c>
      <c r="AS82" s="31">
        <v>2.8</v>
      </c>
      <c r="AT82" s="31">
        <v>2.8</v>
      </c>
    </row>
    <row r="83" spans="1:67" x14ac:dyDescent="0.2">
      <c r="A83" s="5" t="s">
        <v>67</v>
      </c>
      <c r="B83" s="25">
        <v>43361</v>
      </c>
      <c r="C83" s="26">
        <v>0.66874999999999996</v>
      </c>
      <c r="D83" s="5" t="s">
        <v>141</v>
      </c>
      <c r="E83" s="5"/>
      <c r="F83" s="32">
        <v>63</v>
      </c>
      <c r="G83" s="9">
        <v>2</v>
      </c>
      <c r="H83" s="6">
        <v>3.1746031746031744E-2</v>
      </c>
      <c r="I83" s="7">
        <v>6.83E-2</v>
      </c>
      <c r="J83" s="9">
        <v>314.15899999999999</v>
      </c>
      <c r="K83" s="9">
        <v>0.47809999999999997</v>
      </c>
      <c r="L83" s="9">
        <v>7</v>
      </c>
      <c r="M83" s="14">
        <v>328.54946663877848</v>
      </c>
      <c r="N83" s="9">
        <v>1037</v>
      </c>
      <c r="O83" s="12" t="s">
        <v>86</v>
      </c>
      <c r="P83" s="12" t="s">
        <v>82</v>
      </c>
      <c r="Q83" s="9" t="s">
        <v>87</v>
      </c>
      <c r="R83" s="9" t="s">
        <v>84</v>
      </c>
      <c r="S83" s="9"/>
      <c r="T83" s="18">
        <v>14</v>
      </c>
      <c r="U83" s="18">
        <v>14</v>
      </c>
      <c r="V83" s="9">
        <v>2.8</v>
      </c>
      <c r="Y83" s="9">
        <f t="shared" si="1"/>
        <v>4599.6925329428987</v>
      </c>
      <c r="Z83" s="19" t="s">
        <v>73</v>
      </c>
      <c r="AA83" s="8" t="s">
        <v>143</v>
      </c>
      <c r="AB83" s="8" t="s">
        <v>75</v>
      </c>
      <c r="AC83" s="11" t="s">
        <v>76</v>
      </c>
      <c r="AD83" s="9" t="s">
        <v>85</v>
      </c>
      <c r="AE83" s="14">
        <v>7.2382233599999992</v>
      </c>
      <c r="AF83" s="13"/>
      <c r="AO83" s="34" t="s">
        <v>78</v>
      </c>
      <c r="AP83" s="31">
        <v>2.44</v>
      </c>
      <c r="AQ83" s="31">
        <v>2.8</v>
      </c>
      <c r="AR83" s="31">
        <v>1.9</v>
      </c>
      <c r="AS83" s="31">
        <v>1.9</v>
      </c>
      <c r="AT83" s="31">
        <v>2.8</v>
      </c>
      <c r="AU83" s="31">
        <v>2.8</v>
      </c>
    </row>
    <row r="84" spans="1:67" x14ac:dyDescent="0.2">
      <c r="A84" s="5" t="s">
        <v>67</v>
      </c>
      <c r="B84" s="25">
        <v>43361</v>
      </c>
      <c r="C84" s="26">
        <v>0.66874999999999996</v>
      </c>
      <c r="D84" s="5" t="s">
        <v>141</v>
      </c>
      <c r="E84" s="5"/>
      <c r="F84" s="32">
        <v>63</v>
      </c>
      <c r="G84" s="9">
        <v>2</v>
      </c>
      <c r="H84" s="6">
        <v>3.1746031746031744E-2</v>
      </c>
      <c r="I84" s="7">
        <v>6.83E-2</v>
      </c>
      <c r="J84" s="9">
        <v>314.15899999999999</v>
      </c>
      <c r="K84" s="9">
        <v>0.47809999999999997</v>
      </c>
      <c r="L84" s="9">
        <v>7</v>
      </c>
      <c r="M84" s="14">
        <v>328.54946663877848</v>
      </c>
      <c r="N84" s="9">
        <v>1419</v>
      </c>
      <c r="O84" s="12" t="s">
        <v>94</v>
      </c>
      <c r="P84" s="12" t="s">
        <v>82</v>
      </c>
      <c r="Q84" s="9" t="s">
        <v>95</v>
      </c>
      <c r="R84" s="9" t="s">
        <v>96</v>
      </c>
      <c r="S84" s="9"/>
      <c r="T84" s="18">
        <v>385</v>
      </c>
      <c r="U84" s="18">
        <v>777</v>
      </c>
      <c r="V84" s="9">
        <v>0.8</v>
      </c>
      <c r="W84" s="9">
        <v>0.8</v>
      </c>
      <c r="X84" s="9">
        <v>0.8</v>
      </c>
      <c r="Y84" s="9">
        <f t="shared" si="1"/>
        <v>126491.54465592973</v>
      </c>
      <c r="Z84" s="19" t="s">
        <v>97</v>
      </c>
      <c r="AA84" s="8" t="s">
        <v>143</v>
      </c>
      <c r="AB84" s="8" t="s">
        <v>75</v>
      </c>
      <c r="AC84" s="11" t="s">
        <v>76</v>
      </c>
      <c r="AD84" s="9" t="s">
        <v>85</v>
      </c>
      <c r="AE84" s="14">
        <v>0.18</v>
      </c>
      <c r="AF84" s="14">
        <v>0.18</v>
      </c>
      <c r="AG84" s="14">
        <v>0.18</v>
      </c>
      <c r="AH84" s="14">
        <v>0.18</v>
      </c>
      <c r="AI84" s="14">
        <v>0.18</v>
      </c>
      <c r="AJ84" s="14">
        <v>0.18</v>
      </c>
      <c r="AK84" s="14">
        <v>0.18</v>
      </c>
      <c r="AL84" s="14">
        <v>0.18</v>
      </c>
      <c r="AM84" s="14">
        <v>0.18</v>
      </c>
      <c r="AN84" s="14">
        <v>0.18</v>
      </c>
      <c r="AO84" s="35" t="s">
        <v>78</v>
      </c>
      <c r="AP84" s="31">
        <v>0.75200000000000033</v>
      </c>
      <c r="AQ84" s="31">
        <v>0.7</v>
      </c>
      <c r="AR84" s="31">
        <v>0.7</v>
      </c>
      <c r="AS84" s="31">
        <v>0.7</v>
      </c>
      <c r="AT84" s="31">
        <v>0.7</v>
      </c>
      <c r="AU84" s="31">
        <v>0.7</v>
      </c>
      <c r="AV84" s="31">
        <v>0.7</v>
      </c>
      <c r="AW84" s="31">
        <v>0.7</v>
      </c>
      <c r="AX84" s="31">
        <v>0.7</v>
      </c>
      <c r="AY84" s="31">
        <v>0.7</v>
      </c>
      <c r="AZ84" s="31">
        <v>0.7</v>
      </c>
      <c r="BA84" s="31">
        <v>0.7</v>
      </c>
      <c r="BB84" s="31">
        <v>0.7</v>
      </c>
      <c r="BC84" s="31">
        <v>0.8</v>
      </c>
      <c r="BD84" s="31">
        <v>0.8</v>
      </c>
      <c r="BE84" s="31">
        <v>0.8</v>
      </c>
      <c r="BF84" s="31">
        <v>0.8</v>
      </c>
      <c r="BG84" s="31">
        <v>0.8</v>
      </c>
      <c r="BH84" s="31">
        <v>0.8</v>
      </c>
      <c r="BI84" s="31">
        <v>0.8</v>
      </c>
      <c r="BJ84" s="31">
        <v>0.8</v>
      </c>
      <c r="BK84" s="31">
        <v>0.8</v>
      </c>
      <c r="BL84" s="31">
        <v>0.8</v>
      </c>
      <c r="BM84" s="31">
        <v>0.8</v>
      </c>
      <c r="BN84" s="31">
        <v>0.8</v>
      </c>
      <c r="BO84" s="31">
        <v>0.8</v>
      </c>
    </row>
    <row r="85" spans="1:67" x14ac:dyDescent="0.2">
      <c r="A85" s="5" t="s">
        <v>67</v>
      </c>
      <c r="B85" s="25">
        <v>43361</v>
      </c>
      <c r="C85" s="26">
        <v>0.66874999999999996</v>
      </c>
      <c r="D85" s="5" t="s">
        <v>141</v>
      </c>
      <c r="E85" s="5"/>
      <c r="F85" s="32">
        <v>63</v>
      </c>
      <c r="G85" s="9">
        <v>2</v>
      </c>
      <c r="H85" s="6">
        <v>3.1746031746031744E-2</v>
      </c>
      <c r="I85" s="7">
        <v>6.83E-2</v>
      </c>
      <c r="J85" s="9">
        <v>314.15899999999999</v>
      </c>
      <c r="K85" s="9">
        <v>0.47809999999999997</v>
      </c>
      <c r="L85" s="9">
        <v>7</v>
      </c>
      <c r="M85" s="14">
        <v>328.54946663877848</v>
      </c>
      <c r="N85" s="9">
        <v>1508</v>
      </c>
      <c r="O85" s="12" t="s">
        <v>132</v>
      </c>
      <c r="P85" s="12" t="s">
        <v>82</v>
      </c>
      <c r="Q85" s="9" t="s">
        <v>133</v>
      </c>
      <c r="R85" s="9" t="s">
        <v>84</v>
      </c>
      <c r="S85" s="9"/>
      <c r="T85" s="18">
        <v>1</v>
      </c>
      <c r="U85" s="18">
        <v>6</v>
      </c>
      <c r="V85" s="9">
        <v>1.9</v>
      </c>
      <c r="Y85" s="9">
        <f t="shared" si="1"/>
        <v>328.54946663877848</v>
      </c>
      <c r="Z85" s="19" t="s">
        <v>134</v>
      </c>
      <c r="AA85" s="8" t="s">
        <v>143</v>
      </c>
      <c r="AB85" s="8" t="s">
        <v>75</v>
      </c>
      <c r="AC85" s="11" t="s">
        <v>76</v>
      </c>
      <c r="AD85" s="9" t="s">
        <v>104</v>
      </c>
      <c r="AE85" s="14">
        <v>5.3870414524999992</v>
      </c>
      <c r="AF85" s="13"/>
      <c r="AO85" s="34" t="s">
        <v>78</v>
      </c>
      <c r="AP85" s="31">
        <v>1.9</v>
      </c>
      <c r="AQ85" s="31">
        <v>1.9</v>
      </c>
      <c r="AR85" s="31">
        <v>1.9</v>
      </c>
      <c r="AS85" s="31">
        <v>1.9</v>
      </c>
      <c r="AT85" s="31">
        <v>1.9</v>
      </c>
      <c r="AU85" s="31">
        <v>1.9</v>
      </c>
    </row>
    <row r="86" spans="1:67" x14ac:dyDescent="0.2">
      <c r="A86" s="5"/>
      <c r="B86" s="25"/>
      <c r="C86" s="26"/>
      <c r="D86" s="5"/>
      <c r="E86" s="5"/>
      <c r="F86" s="32"/>
      <c r="G86" s="9"/>
      <c r="H86" s="6"/>
      <c r="I86" s="7"/>
      <c r="J86" s="9"/>
      <c r="N86" s="9"/>
      <c r="O86" s="12"/>
      <c r="P86" s="12"/>
      <c r="S86" s="9"/>
      <c r="T86" s="18"/>
      <c r="U86" s="18"/>
      <c r="Y86" s="9" t="e">
        <f t="shared" si="1"/>
        <v>#DIV/0!</v>
      </c>
      <c r="Z86" s="19"/>
      <c r="AC86" s="11"/>
      <c r="AD86" s="9"/>
      <c r="AE86" s="14"/>
      <c r="AF86" s="13"/>
      <c r="AO86" s="34" t="s">
        <v>79</v>
      </c>
      <c r="AP86" s="31">
        <v>1.9</v>
      </c>
      <c r="AQ86" s="31">
        <v>1.9</v>
      </c>
      <c r="AR86" s="31">
        <v>1.9</v>
      </c>
      <c r="AS86" s="31">
        <v>1.9</v>
      </c>
      <c r="AT86" s="31">
        <v>1.9</v>
      </c>
      <c r="AU86" s="31">
        <v>1.9</v>
      </c>
    </row>
    <row r="87" spans="1:67" x14ac:dyDescent="0.2">
      <c r="A87" s="5" t="s">
        <v>67</v>
      </c>
      <c r="B87" s="25">
        <v>43389</v>
      </c>
      <c r="C87" s="26">
        <v>0.60416666666666696</v>
      </c>
      <c r="D87" s="5" t="s">
        <v>144</v>
      </c>
      <c r="E87" s="5"/>
      <c r="F87" s="32">
        <v>63</v>
      </c>
      <c r="G87" s="9">
        <v>2</v>
      </c>
      <c r="H87" s="6">
        <v>3.1746031746031744E-2</v>
      </c>
      <c r="I87" s="7">
        <v>6.83E-2</v>
      </c>
      <c r="J87" s="9">
        <v>314.15899999999999</v>
      </c>
      <c r="K87" s="9">
        <v>0.95619999999999994</v>
      </c>
      <c r="L87" s="9">
        <v>14</v>
      </c>
      <c r="M87" s="14">
        <v>164.27473331938924</v>
      </c>
      <c r="N87" s="9">
        <v>145</v>
      </c>
      <c r="O87" s="12" t="s">
        <v>69</v>
      </c>
      <c r="P87" s="8" t="s">
        <v>70</v>
      </c>
      <c r="Q87" s="9" t="s">
        <v>71</v>
      </c>
      <c r="R87" s="9" t="s">
        <v>72</v>
      </c>
      <c r="S87" s="9"/>
      <c r="T87" s="18">
        <v>2</v>
      </c>
      <c r="U87" s="18">
        <v>2</v>
      </c>
      <c r="V87" s="9">
        <v>22.2</v>
      </c>
      <c r="Y87" s="9">
        <f t="shared" si="1"/>
        <v>328.54946663877848</v>
      </c>
      <c r="Z87" s="19" t="s">
        <v>73</v>
      </c>
      <c r="AA87" s="8" t="s">
        <v>145</v>
      </c>
      <c r="AB87" s="8" t="s">
        <v>75</v>
      </c>
      <c r="AC87" s="11" t="s">
        <v>112</v>
      </c>
      <c r="AD87" s="9" t="s">
        <v>77</v>
      </c>
      <c r="AE87" s="14">
        <v>539.30418893999979</v>
      </c>
      <c r="AF87" s="13"/>
      <c r="AO87" s="34" t="s">
        <v>78</v>
      </c>
      <c r="AP87" s="31">
        <v>20.350000000000001</v>
      </c>
      <c r="AQ87" s="31">
        <v>18.5</v>
      </c>
      <c r="AR87" s="31">
        <v>22.2</v>
      </c>
    </row>
    <row r="88" spans="1:67" x14ac:dyDescent="0.2">
      <c r="A88" s="5"/>
      <c r="B88" s="25"/>
      <c r="C88" s="26"/>
      <c r="D88" s="5"/>
      <c r="E88" s="5"/>
      <c r="F88" s="32"/>
      <c r="G88" s="9"/>
      <c r="H88" s="6"/>
      <c r="I88" s="7"/>
      <c r="J88" s="9"/>
      <c r="N88" s="9"/>
      <c r="O88" s="12"/>
      <c r="S88" s="9"/>
      <c r="T88" s="18"/>
      <c r="U88" s="18"/>
      <c r="Y88" s="9" t="e">
        <f t="shared" si="1"/>
        <v>#DIV/0!</v>
      </c>
      <c r="Z88" s="19"/>
      <c r="AC88" s="11"/>
      <c r="AD88" s="9"/>
      <c r="AE88" s="14"/>
      <c r="AF88" s="13"/>
      <c r="AO88" s="34" t="s">
        <v>79</v>
      </c>
      <c r="AP88" s="31">
        <v>10.199999999999999</v>
      </c>
      <c r="AQ88" s="31">
        <v>9.3000000000000007</v>
      </c>
      <c r="AR88" s="31">
        <v>11.1</v>
      </c>
    </row>
    <row r="89" spans="1:67" x14ac:dyDescent="0.2">
      <c r="A89" s="5"/>
      <c r="B89" s="25"/>
      <c r="C89" s="26"/>
      <c r="D89" s="5"/>
      <c r="E89" s="5"/>
      <c r="F89" s="32"/>
      <c r="G89" s="9"/>
      <c r="H89" s="6"/>
      <c r="I89" s="7"/>
      <c r="J89" s="9"/>
      <c r="N89" s="9"/>
      <c r="O89" s="12"/>
      <c r="S89" s="9"/>
      <c r="T89" s="18"/>
      <c r="U89" s="18"/>
      <c r="Y89" s="9" t="e">
        <f t="shared" si="1"/>
        <v>#DIV/0!</v>
      </c>
      <c r="Z89" s="19"/>
      <c r="AC89" s="11"/>
      <c r="AD89" s="9"/>
      <c r="AE89" s="14"/>
      <c r="AF89" s="13"/>
      <c r="AO89" s="34" t="s">
        <v>80</v>
      </c>
      <c r="AP89" s="31">
        <v>3.25</v>
      </c>
      <c r="AQ89" s="31">
        <v>2.8</v>
      </c>
      <c r="AR89" s="31">
        <v>3.7</v>
      </c>
    </row>
    <row r="90" spans="1:67" ht="12.6" customHeight="1" x14ac:dyDescent="0.2">
      <c r="A90" s="5" t="s">
        <v>67</v>
      </c>
      <c r="B90" s="25">
        <v>43389</v>
      </c>
      <c r="C90" s="26">
        <v>0.60416666666666696</v>
      </c>
      <c r="D90" s="5" t="s">
        <v>144</v>
      </c>
      <c r="E90" s="5"/>
      <c r="F90" s="32">
        <v>63</v>
      </c>
      <c r="G90" s="9">
        <v>2</v>
      </c>
      <c r="H90" s="6">
        <v>3.1746031746031744E-2</v>
      </c>
      <c r="I90" s="7">
        <v>6.83E-2</v>
      </c>
      <c r="J90" s="9">
        <v>314.15899999999999</v>
      </c>
      <c r="K90" s="9">
        <v>0.95619999999999994</v>
      </c>
      <c r="L90" s="9">
        <v>14</v>
      </c>
      <c r="M90" s="14">
        <v>164.27473331938924</v>
      </c>
      <c r="N90" s="9">
        <v>631</v>
      </c>
      <c r="O90" s="12" t="s">
        <v>146</v>
      </c>
      <c r="P90" s="8" t="s">
        <v>70</v>
      </c>
      <c r="Q90" s="9" t="s">
        <v>147</v>
      </c>
      <c r="R90" s="9" t="s">
        <v>84</v>
      </c>
      <c r="S90" s="9"/>
      <c r="T90" s="18">
        <v>1</v>
      </c>
      <c r="U90" s="18">
        <v>1</v>
      </c>
      <c r="V90" s="9">
        <v>18.5</v>
      </c>
      <c r="Y90" s="9">
        <f t="shared" si="1"/>
        <v>164.27473331938924</v>
      </c>
      <c r="Z90" s="19" t="s">
        <v>73</v>
      </c>
      <c r="AA90" s="8" t="s">
        <v>145</v>
      </c>
      <c r="AB90" s="8" t="s">
        <v>75</v>
      </c>
      <c r="AC90" s="11" t="s">
        <v>112</v>
      </c>
      <c r="AD90" s="9" t="s">
        <v>77</v>
      </c>
      <c r="AE90" s="14">
        <v>301.05856969999996</v>
      </c>
      <c r="AF90" s="13"/>
      <c r="AO90" s="34" t="s">
        <v>78</v>
      </c>
      <c r="AP90" s="31">
        <v>18.5</v>
      </c>
      <c r="AQ90" s="31">
        <v>18.5</v>
      </c>
    </row>
    <row r="91" spans="1:67" ht="12.6" customHeight="1" x14ac:dyDescent="0.2">
      <c r="A91" s="5"/>
      <c r="B91" s="25"/>
      <c r="C91" s="26"/>
      <c r="D91" s="5"/>
      <c r="E91" s="5"/>
      <c r="F91" s="32"/>
      <c r="G91" s="9"/>
      <c r="H91" s="6"/>
      <c r="I91" s="7"/>
      <c r="J91" s="9"/>
      <c r="N91" s="9"/>
      <c r="O91" s="12"/>
      <c r="S91" s="9"/>
      <c r="T91" s="18"/>
      <c r="U91" s="18"/>
      <c r="Y91" s="9" t="e">
        <f t="shared" si="1"/>
        <v>#DIV/0!</v>
      </c>
      <c r="Z91" s="19"/>
      <c r="AC91" s="11"/>
      <c r="AD91" s="9"/>
      <c r="AE91" s="14"/>
      <c r="AF91" s="13"/>
      <c r="AO91" s="34" t="s">
        <v>79</v>
      </c>
      <c r="AP91" s="31">
        <v>5.6</v>
      </c>
      <c r="AQ91" s="31">
        <v>5.6</v>
      </c>
    </row>
    <row r="92" spans="1:67" ht="12.6" customHeight="1" x14ac:dyDescent="0.2">
      <c r="A92" s="5"/>
      <c r="B92" s="25"/>
      <c r="C92" s="26"/>
      <c r="D92" s="5"/>
      <c r="E92" s="5"/>
      <c r="F92" s="32"/>
      <c r="G92" s="9"/>
      <c r="H92" s="6"/>
      <c r="I92" s="7"/>
      <c r="J92" s="9"/>
      <c r="N92" s="9"/>
      <c r="O92" s="12"/>
      <c r="S92" s="9"/>
      <c r="T92" s="18"/>
      <c r="U92" s="18"/>
      <c r="Y92" s="9" t="e">
        <f t="shared" si="1"/>
        <v>#DIV/0!</v>
      </c>
      <c r="Z92" s="19"/>
      <c r="AC92" s="11"/>
      <c r="AD92" s="9"/>
      <c r="AE92" s="14"/>
      <c r="AF92" s="13"/>
      <c r="AO92" s="34" t="s">
        <v>80</v>
      </c>
      <c r="AP92" s="31">
        <v>3.7</v>
      </c>
      <c r="AQ92" s="31">
        <v>3.7</v>
      </c>
    </row>
    <row r="93" spans="1:67" x14ac:dyDescent="0.2">
      <c r="A93" s="5" t="s">
        <v>67</v>
      </c>
      <c r="B93" s="25">
        <v>43389</v>
      </c>
      <c r="C93" s="26">
        <v>0.60416666666666696</v>
      </c>
      <c r="D93" s="5" t="s">
        <v>144</v>
      </c>
      <c r="E93" s="5"/>
      <c r="F93" s="32">
        <v>63</v>
      </c>
      <c r="G93" s="9">
        <v>2</v>
      </c>
      <c r="H93" s="6">
        <v>3.1746031746031744E-2</v>
      </c>
      <c r="I93" s="7">
        <v>6.83E-2</v>
      </c>
      <c r="J93" s="9">
        <v>314.15899999999999</v>
      </c>
      <c r="K93" s="9">
        <v>0.95619999999999994</v>
      </c>
      <c r="L93" s="9">
        <v>14</v>
      </c>
      <c r="M93" s="14">
        <v>164.27473331938924</v>
      </c>
      <c r="N93" s="9">
        <v>1037</v>
      </c>
      <c r="O93" s="12" t="s">
        <v>86</v>
      </c>
      <c r="P93" s="12" t="s">
        <v>82</v>
      </c>
      <c r="Q93" s="9" t="s">
        <v>87</v>
      </c>
      <c r="R93" s="9" t="s">
        <v>84</v>
      </c>
      <c r="S93" s="9"/>
      <c r="T93" s="18">
        <v>12</v>
      </c>
      <c r="U93" s="18">
        <v>12</v>
      </c>
      <c r="V93" s="9">
        <v>2.8</v>
      </c>
      <c r="Y93" s="9">
        <f t="shared" si="1"/>
        <v>1971.296799832671</v>
      </c>
      <c r="Z93" s="19" t="s">
        <v>73</v>
      </c>
      <c r="AA93" s="8" t="s">
        <v>145</v>
      </c>
      <c r="AB93" s="8" t="s">
        <v>75</v>
      </c>
      <c r="AC93" s="11" t="s">
        <v>112</v>
      </c>
      <c r="AD93" s="9" t="s">
        <v>85</v>
      </c>
      <c r="AE93" s="14">
        <v>4.8490441650000005</v>
      </c>
      <c r="AF93" s="13"/>
      <c r="AO93" s="34" t="s">
        <v>78</v>
      </c>
      <c r="AP93" s="31">
        <v>2.08</v>
      </c>
      <c r="AQ93" s="31">
        <v>2.8</v>
      </c>
      <c r="AR93" s="31">
        <v>1.9</v>
      </c>
      <c r="AS93" s="31">
        <v>1.9</v>
      </c>
      <c r="AT93" s="31">
        <v>1.9</v>
      </c>
      <c r="AU93" s="31">
        <v>1.9</v>
      </c>
    </row>
    <row r="94" spans="1:67" x14ac:dyDescent="0.2">
      <c r="A94" s="5" t="s">
        <v>67</v>
      </c>
      <c r="B94" s="25">
        <v>43389</v>
      </c>
      <c r="C94" s="26">
        <v>0.60416666666666696</v>
      </c>
      <c r="D94" s="5" t="s">
        <v>144</v>
      </c>
      <c r="E94" s="5"/>
      <c r="F94" s="32">
        <v>63</v>
      </c>
      <c r="G94" s="9">
        <v>2</v>
      </c>
      <c r="H94" s="6">
        <v>3.1746031746031744E-2</v>
      </c>
      <c r="I94" s="7">
        <v>6.83E-2</v>
      </c>
      <c r="J94" s="9">
        <v>314.15899999999999</v>
      </c>
      <c r="K94" s="9">
        <v>0.95619999999999994</v>
      </c>
      <c r="L94" s="9">
        <v>14</v>
      </c>
      <c r="M94" s="14">
        <v>164.27473331938924</v>
      </c>
      <c r="N94" s="9">
        <v>1365</v>
      </c>
      <c r="O94" s="8" t="s">
        <v>121</v>
      </c>
      <c r="P94" s="12" t="s">
        <v>82</v>
      </c>
      <c r="Q94" s="9" t="s">
        <v>122</v>
      </c>
      <c r="R94" s="9" t="s">
        <v>123</v>
      </c>
      <c r="S94" s="9"/>
      <c r="T94" s="18">
        <v>1</v>
      </c>
      <c r="U94" s="18">
        <v>1</v>
      </c>
      <c r="V94" s="9">
        <v>11.1</v>
      </c>
      <c r="Y94" s="9">
        <f t="shared" si="1"/>
        <v>164.27473331938924</v>
      </c>
      <c r="Z94" s="19" t="s">
        <v>73</v>
      </c>
      <c r="AA94" s="8" t="s">
        <v>145</v>
      </c>
      <c r="AB94" s="8" t="s">
        <v>75</v>
      </c>
      <c r="AC94" s="11" t="s">
        <v>112</v>
      </c>
      <c r="AD94" s="9" t="s">
        <v>91</v>
      </c>
      <c r="AE94" s="14">
        <v>596.74109351249979</v>
      </c>
      <c r="AF94" s="13"/>
      <c r="AO94" s="34" t="s">
        <v>78</v>
      </c>
      <c r="AP94" s="31">
        <v>11.1</v>
      </c>
      <c r="AQ94" s="31">
        <v>11.1</v>
      </c>
    </row>
    <row r="95" spans="1:67" s="41" customFormat="1" x14ac:dyDescent="0.2">
      <c r="A95" s="5"/>
      <c r="B95" s="25"/>
      <c r="C95" s="26"/>
      <c r="D95" s="5"/>
      <c r="E95" s="5"/>
      <c r="F95" s="32"/>
      <c r="G95" s="9"/>
      <c r="H95" s="6"/>
      <c r="I95" s="7"/>
      <c r="J95" s="9"/>
      <c r="K95" s="9"/>
      <c r="L95" s="9"/>
      <c r="M95" s="39"/>
      <c r="N95" s="38"/>
      <c r="P95" s="40"/>
      <c r="Q95" s="38"/>
      <c r="R95" s="38"/>
      <c r="S95" s="38"/>
      <c r="T95" s="42"/>
      <c r="U95" s="42"/>
      <c r="V95" s="38"/>
      <c r="W95" s="38"/>
      <c r="X95" s="38"/>
      <c r="Y95" s="9" t="e">
        <f t="shared" si="1"/>
        <v>#DIV/0!</v>
      </c>
      <c r="Z95" s="43"/>
      <c r="AC95" s="44"/>
      <c r="AD95" s="38"/>
      <c r="AE95" s="39"/>
      <c r="AF95" s="45"/>
      <c r="AG95" s="46"/>
      <c r="AH95" s="44"/>
      <c r="AO95" s="47" t="s">
        <v>79</v>
      </c>
      <c r="AP95" s="48">
        <v>7.4</v>
      </c>
      <c r="AQ95" s="48">
        <v>7.4</v>
      </c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</row>
    <row r="96" spans="1:67" x14ac:dyDescent="0.2">
      <c r="A96" s="5" t="s">
        <v>67</v>
      </c>
      <c r="B96" s="25">
        <v>43389</v>
      </c>
      <c r="C96" s="26">
        <v>0.60416666666666696</v>
      </c>
      <c r="D96" s="5" t="s">
        <v>144</v>
      </c>
      <c r="E96" s="5"/>
      <c r="F96" s="32">
        <v>63</v>
      </c>
      <c r="G96" s="9">
        <v>2</v>
      </c>
      <c r="H96" s="6">
        <v>3.1746031746031744E-2</v>
      </c>
      <c r="I96" s="7">
        <v>6.83E-2</v>
      </c>
      <c r="J96" s="9">
        <v>314.15899999999999</v>
      </c>
      <c r="K96" s="9">
        <v>0.95619999999999994</v>
      </c>
      <c r="L96" s="9">
        <v>14</v>
      </c>
      <c r="M96" s="14">
        <v>164.27473331938924</v>
      </c>
      <c r="N96" s="9">
        <v>1419</v>
      </c>
      <c r="O96" s="12" t="s">
        <v>94</v>
      </c>
      <c r="P96" s="12" t="s">
        <v>82</v>
      </c>
      <c r="Q96" s="9" t="s">
        <v>95</v>
      </c>
      <c r="R96" s="9" t="s">
        <v>96</v>
      </c>
      <c r="S96" s="9"/>
      <c r="T96" s="18">
        <v>379</v>
      </c>
      <c r="U96" s="18">
        <v>762</v>
      </c>
      <c r="V96" s="9">
        <v>0.8</v>
      </c>
      <c r="W96" s="9">
        <v>0.8</v>
      </c>
      <c r="X96" s="9">
        <v>0.8</v>
      </c>
      <c r="Y96" s="9">
        <f t="shared" si="1"/>
        <v>62260.123928048532</v>
      </c>
      <c r="Z96" s="19" t="s">
        <v>97</v>
      </c>
      <c r="AA96" s="8" t="s">
        <v>145</v>
      </c>
      <c r="AB96" s="8" t="s">
        <v>75</v>
      </c>
      <c r="AC96" s="11" t="s">
        <v>112</v>
      </c>
      <c r="AD96" s="9" t="s">
        <v>85</v>
      </c>
      <c r="AE96" s="14">
        <v>0.18</v>
      </c>
      <c r="AF96" s="14">
        <v>0.18</v>
      </c>
      <c r="AG96" s="14">
        <v>0.18</v>
      </c>
      <c r="AH96" s="14">
        <v>0.18</v>
      </c>
      <c r="AI96" s="14">
        <v>0.18</v>
      </c>
      <c r="AJ96" s="14">
        <v>0.18</v>
      </c>
      <c r="AK96" s="14">
        <v>0.18</v>
      </c>
      <c r="AL96" s="14">
        <v>0.18</v>
      </c>
      <c r="AM96" s="14">
        <v>0.18</v>
      </c>
      <c r="AN96" s="14">
        <v>0.18</v>
      </c>
      <c r="AO96" s="35" t="s">
        <v>78</v>
      </c>
      <c r="AP96" s="31">
        <v>0.75200000000000033</v>
      </c>
      <c r="AQ96" s="31">
        <v>0.7</v>
      </c>
      <c r="AR96" s="31">
        <v>0.7</v>
      </c>
      <c r="AS96" s="31">
        <v>0.7</v>
      </c>
      <c r="AT96" s="31">
        <v>0.7</v>
      </c>
      <c r="AU96" s="31">
        <v>0.7</v>
      </c>
      <c r="AV96" s="31">
        <v>0.7</v>
      </c>
      <c r="AW96" s="31">
        <v>0.7</v>
      </c>
      <c r="AX96" s="31">
        <v>0.7</v>
      </c>
      <c r="AY96" s="31">
        <v>0.7</v>
      </c>
      <c r="AZ96" s="31">
        <v>0.7</v>
      </c>
      <c r="BA96" s="31">
        <v>0.7</v>
      </c>
      <c r="BB96" s="31">
        <v>0.7</v>
      </c>
      <c r="BC96" s="31">
        <v>0.8</v>
      </c>
      <c r="BD96" s="31">
        <v>0.8</v>
      </c>
      <c r="BE96" s="31">
        <v>0.8</v>
      </c>
      <c r="BF96" s="31">
        <v>0.8</v>
      </c>
      <c r="BG96" s="31">
        <v>0.8</v>
      </c>
      <c r="BH96" s="31">
        <v>0.8</v>
      </c>
      <c r="BI96" s="31">
        <v>0.8</v>
      </c>
      <c r="BJ96" s="31">
        <v>0.8</v>
      </c>
      <c r="BK96" s="31">
        <v>0.8</v>
      </c>
      <c r="BL96" s="31">
        <v>0.8</v>
      </c>
      <c r="BM96" s="31">
        <v>0.8</v>
      </c>
      <c r="BN96" s="31">
        <v>0.8</v>
      </c>
      <c r="BO96" s="31">
        <v>0.8</v>
      </c>
    </row>
    <row r="97" spans="1:67" x14ac:dyDescent="0.2">
      <c r="A97" s="5" t="s">
        <v>67</v>
      </c>
      <c r="B97" s="25">
        <v>43389</v>
      </c>
      <c r="C97" s="26">
        <v>0.60416666666666696</v>
      </c>
      <c r="D97" s="5" t="s">
        <v>144</v>
      </c>
      <c r="E97" s="5"/>
      <c r="F97" s="32">
        <v>63</v>
      </c>
      <c r="G97" s="9">
        <v>2</v>
      </c>
      <c r="H97" s="6">
        <v>3.1746031746031744E-2</v>
      </c>
      <c r="I97" s="7">
        <v>6.83E-2</v>
      </c>
      <c r="J97" s="9">
        <v>314.15899999999999</v>
      </c>
      <c r="K97" s="9">
        <v>0.95619999999999994</v>
      </c>
      <c r="L97" s="9">
        <v>14</v>
      </c>
      <c r="M97" s="14">
        <v>164.27473331938924</v>
      </c>
      <c r="N97" s="9">
        <v>1629</v>
      </c>
      <c r="O97" s="12" t="s">
        <v>148</v>
      </c>
      <c r="P97" s="12" t="s">
        <v>82</v>
      </c>
      <c r="Q97" s="9" t="s">
        <v>149</v>
      </c>
      <c r="R97" s="9" t="s">
        <v>84</v>
      </c>
      <c r="S97" s="9"/>
      <c r="T97" s="18">
        <v>1</v>
      </c>
      <c r="U97" s="18">
        <v>1</v>
      </c>
      <c r="V97" s="9">
        <v>22.2</v>
      </c>
      <c r="Y97" s="9">
        <f t="shared" si="1"/>
        <v>164.27473331938924</v>
      </c>
      <c r="Z97" s="19" t="s">
        <v>73</v>
      </c>
      <c r="AA97" s="8" t="s">
        <v>145</v>
      </c>
      <c r="AB97" s="8" t="s">
        <v>75</v>
      </c>
      <c r="AC97" s="11" t="s">
        <v>112</v>
      </c>
      <c r="AD97" s="9" t="s">
        <v>150</v>
      </c>
      <c r="AE97" s="14">
        <v>4386.8534441999991</v>
      </c>
      <c r="AF97" s="13"/>
      <c r="AO97" s="34" t="s">
        <v>78</v>
      </c>
      <c r="AP97" s="31">
        <v>22.2</v>
      </c>
      <c r="AQ97" s="31">
        <v>22.2</v>
      </c>
    </row>
    <row r="98" spans="1:67" x14ac:dyDescent="0.2">
      <c r="A98" s="5"/>
      <c r="B98" s="25"/>
      <c r="C98" s="26"/>
      <c r="D98" s="5"/>
      <c r="E98" s="5"/>
      <c r="F98" s="32"/>
      <c r="G98" s="9"/>
      <c r="H98" s="6"/>
      <c r="I98" s="7"/>
      <c r="J98" s="9"/>
      <c r="N98" s="9"/>
      <c r="O98" s="12"/>
      <c r="P98" s="12"/>
      <c r="S98" s="9"/>
      <c r="T98" s="18"/>
      <c r="U98" s="18"/>
      <c r="Y98" s="9" t="e">
        <f t="shared" si="1"/>
        <v>#DIV/0!</v>
      </c>
      <c r="Z98" s="19"/>
      <c r="AC98" s="11"/>
      <c r="AD98" s="9"/>
      <c r="AE98" s="14"/>
      <c r="AF98" s="13"/>
      <c r="AO98" s="34" t="s">
        <v>79</v>
      </c>
      <c r="AP98" s="31">
        <v>20.399999999999999</v>
      </c>
      <c r="AQ98" s="31">
        <v>20.399999999999999</v>
      </c>
    </row>
    <row r="99" spans="1:67" x14ac:dyDescent="0.2">
      <c r="A99" s="5"/>
      <c r="B99" s="25"/>
      <c r="C99" s="26"/>
      <c r="D99" s="5"/>
      <c r="E99" s="5"/>
      <c r="F99" s="32"/>
      <c r="G99" s="9"/>
      <c r="H99" s="6"/>
      <c r="I99" s="7"/>
      <c r="J99" s="9"/>
      <c r="N99" s="9"/>
      <c r="O99" s="12"/>
      <c r="P99" s="12"/>
      <c r="S99" s="9"/>
      <c r="T99" s="18"/>
      <c r="U99" s="18"/>
      <c r="Y99" s="9" t="e">
        <f t="shared" si="1"/>
        <v>#DIV/0!</v>
      </c>
      <c r="Z99" s="19"/>
      <c r="AC99" s="11"/>
      <c r="AD99" s="9"/>
      <c r="AE99" s="14"/>
      <c r="AF99" s="13"/>
      <c r="AO99" s="34" t="s">
        <v>80</v>
      </c>
      <c r="AP99" s="31">
        <v>18.5</v>
      </c>
      <c r="AQ99" s="31">
        <v>18.5</v>
      </c>
    </row>
    <row r="100" spans="1:67" x14ac:dyDescent="0.2">
      <c r="A100" s="5" t="s">
        <v>67</v>
      </c>
      <c r="B100" s="25">
        <v>43389</v>
      </c>
      <c r="C100" s="26">
        <v>0.60416666666666696</v>
      </c>
      <c r="D100" s="5" t="s">
        <v>144</v>
      </c>
      <c r="E100" s="5"/>
      <c r="F100" s="32">
        <v>63</v>
      </c>
      <c r="G100" s="9">
        <v>2</v>
      </c>
      <c r="H100" s="6">
        <v>3.1746031746031744E-2</v>
      </c>
      <c r="I100" s="7">
        <v>6.83E-2</v>
      </c>
      <c r="J100" s="9">
        <v>314.15899999999999</v>
      </c>
      <c r="K100" s="9">
        <v>0.95619999999999994</v>
      </c>
      <c r="L100" s="9">
        <v>14</v>
      </c>
      <c r="M100" s="14">
        <v>164.27473331938924</v>
      </c>
      <c r="N100" s="9">
        <v>1824</v>
      </c>
      <c r="O100" s="12" t="s">
        <v>151</v>
      </c>
      <c r="P100" s="12" t="s">
        <v>152</v>
      </c>
      <c r="Q100" s="9" t="s">
        <v>153</v>
      </c>
      <c r="R100" s="9" t="s">
        <v>84</v>
      </c>
      <c r="S100" s="9"/>
      <c r="T100" s="18">
        <v>1</v>
      </c>
      <c r="U100" s="18">
        <v>1</v>
      </c>
      <c r="V100" s="9">
        <v>18.5</v>
      </c>
      <c r="Y100" s="9">
        <f t="shared" si="1"/>
        <v>164.27473331938924</v>
      </c>
      <c r="Z100" s="19" t="s">
        <v>73</v>
      </c>
      <c r="AA100" s="8" t="s">
        <v>145</v>
      </c>
      <c r="AB100" s="8" t="s">
        <v>75</v>
      </c>
      <c r="AC100" s="11" t="s">
        <v>112</v>
      </c>
      <c r="AD100" s="9" t="s">
        <v>120</v>
      </c>
      <c r="AE100" s="14">
        <v>3315.228297291666</v>
      </c>
      <c r="AF100" s="13"/>
      <c r="AO100" s="34" t="s">
        <v>78</v>
      </c>
      <c r="AP100" s="31">
        <v>18.5</v>
      </c>
      <c r="AQ100" s="31">
        <v>18.5</v>
      </c>
    </row>
    <row r="101" spans="1:67" x14ac:dyDescent="0.2">
      <c r="S101" s="9"/>
      <c r="T101" s="9"/>
      <c r="Y101" s="9" t="e">
        <f t="shared" si="1"/>
        <v>#DIV/0!</v>
      </c>
      <c r="Z101" s="9"/>
      <c r="AO101" s="34" t="s">
        <v>79</v>
      </c>
      <c r="AP101" s="31">
        <v>16.7</v>
      </c>
      <c r="AQ101" s="31">
        <v>16.7</v>
      </c>
    </row>
    <row r="102" spans="1:67" x14ac:dyDescent="0.2">
      <c r="A102" s="5" t="s">
        <v>67</v>
      </c>
      <c r="B102" s="25">
        <v>43361</v>
      </c>
      <c r="C102" s="26">
        <v>0.63055555555555598</v>
      </c>
      <c r="D102" s="5" t="s">
        <v>154</v>
      </c>
      <c r="E102" s="5">
        <v>3</v>
      </c>
      <c r="F102" s="32">
        <v>62</v>
      </c>
      <c r="G102" s="9">
        <v>2</v>
      </c>
      <c r="H102" s="6">
        <v>3.2258064516129031E-2</v>
      </c>
      <c r="I102" s="7">
        <v>6.83E-2</v>
      </c>
      <c r="J102" s="9">
        <v>314.15899999999999</v>
      </c>
      <c r="K102" s="9">
        <v>0.75129999999999997</v>
      </c>
      <c r="L102" s="9">
        <v>11</v>
      </c>
      <c r="M102" s="14">
        <v>209.07693331558633</v>
      </c>
      <c r="N102" s="9">
        <v>1037</v>
      </c>
      <c r="O102" s="12" t="s">
        <v>86</v>
      </c>
      <c r="P102" s="12" t="s">
        <v>82</v>
      </c>
      <c r="Q102" s="9" t="s">
        <v>87</v>
      </c>
      <c r="R102" s="9" t="s">
        <v>84</v>
      </c>
      <c r="S102" s="9"/>
      <c r="T102" s="18">
        <v>20</v>
      </c>
      <c r="U102" s="18">
        <v>20</v>
      </c>
      <c r="V102" s="9">
        <v>2.8</v>
      </c>
      <c r="Y102" s="9">
        <f t="shared" si="1"/>
        <v>4181.538666311727</v>
      </c>
      <c r="Z102" s="19" t="s">
        <v>73</v>
      </c>
      <c r="AA102" s="8" t="s">
        <v>155</v>
      </c>
      <c r="AB102" s="8" t="s">
        <v>75</v>
      </c>
      <c r="AC102" s="11" t="s">
        <v>112</v>
      </c>
      <c r="AD102" s="9" t="s">
        <v>85</v>
      </c>
      <c r="AE102" s="14">
        <v>9.2027643066666673</v>
      </c>
      <c r="AF102" s="13"/>
      <c r="AO102" s="34" t="s">
        <v>78</v>
      </c>
      <c r="AP102" s="31">
        <v>2.62</v>
      </c>
      <c r="AQ102" s="31">
        <v>2.8</v>
      </c>
      <c r="AR102" s="31">
        <v>2.8</v>
      </c>
      <c r="AS102" s="31">
        <v>1.9</v>
      </c>
      <c r="AT102" s="31">
        <v>2.8</v>
      </c>
      <c r="AU102" s="31">
        <v>2.8</v>
      </c>
    </row>
    <row r="103" spans="1:67" x14ac:dyDescent="0.2">
      <c r="A103" s="5" t="s">
        <v>67</v>
      </c>
      <c r="B103" s="25">
        <v>43361</v>
      </c>
      <c r="C103" s="26">
        <v>0.63055555555555598</v>
      </c>
      <c r="D103" s="5" t="s">
        <v>154</v>
      </c>
      <c r="E103" s="5">
        <v>3</v>
      </c>
      <c r="F103" s="32">
        <v>62</v>
      </c>
      <c r="G103" s="9">
        <v>2</v>
      </c>
      <c r="H103" s="6">
        <v>3.2258064516129031E-2</v>
      </c>
      <c r="I103" s="7">
        <v>6.83E-2</v>
      </c>
      <c r="J103" s="9">
        <v>314.15899999999999</v>
      </c>
      <c r="K103" s="9">
        <v>0.75129999999999997</v>
      </c>
      <c r="L103" s="9">
        <v>11</v>
      </c>
      <c r="M103" s="14">
        <v>209.07693331558633</v>
      </c>
      <c r="N103" s="9">
        <v>1364</v>
      </c>
      <c r="O103" s="12" t="s">
        <v>88</v>
      </c>
      <c r="P103" s="12" t="s">
        <v>82</v>
      </c>
      <c r="Q103" s="9" t="s">
        <v>89</v>
      </c>
      <c r="R103" s="9" t="s">
        <v>90</v>
      </c>
      <c r="S103" s="9"/>
      <c r="T103" s="18">
        <v>3</v>
      </c>
      <c r="U103" s="18">
        <v>3</v>
      </c>
      <c r="V103" s="9">
        <v>11.1</v>
      </c>
      <c r="Y103" s="9">
        <f t="shared" si="1"/>
        <v>627.23079994675891</v>
      </c>
      <c r="Z103" s="19" t="s">
        <v>73</v>
      </c>
      <c r="AA103" s="8" t="s">
        <v>155</v>
      </c>
      <c r="AB103" s="8" t="s">
        <v>75</v>
      </c>
      <c r="AC103" s="11" t="s">
        <v>112</v>
      </c>
      <c r="AD103" s="9" t="s">
        <v>91</v>
      </c>
      <c r="AE103" s="14">
        <v>430.35384773999982</v>
      </c>
      <c r="AF103" s="13"/>
      <c r="AO103" s="34" t="s">
        <v>78</v>
      </c>
      <c r="AP103" s="31">
        <v>10.199999999999999</v>
      </c>
      <c r="AQ103" s="31">
        <v>11.1</v>
      </c>
      <c r="AR103" s="31">
        <v>10.199999999999999</v>
      </c>
      <c r="AS103" s="31">
        <v>9.3000000000000007</v>
      </c>
    </row>
    <row r="104" spans="1:67" x14ac:dyDescent="0.2">
      <c r="A104" s="5"/>
      <c r="B104" s="25"/>
      <c r="C104" s="26"/>
      <c r="D104" s="5"/>
      <c r="E104" s="5"/>
      <c r="F104" s="32"/>
      <c r="G104" s="9"/>
      <c r="H104" s="6"/>
      <c r="I104" s="7"/>
      <c r="J104" s="9"/>
      <c r="N104" s="9"/>
      <c r="O104" s="12"/>
      <c r="P104" s="12"/>
      <c r="S104" s="9"/>
      <c r="T104" s="18"/>
      <c r="U104" s="18"/>
      <c r="Y104" s="9" t="e">
        <f t="shared" si="1"/>
        <v>#DIV/0!</v>
      </c>
      <c r="Z104" s="19"/>
      <c r="AC104" s="11"/>
      <c r="AD104" s="9"/>
      <c r="AE104" s="14"/>
      <c r="AF104" s="13"/>
      <c r="AO104" s="34" t="s">
        <v>79</v>
      </c>
      <c r="AP104" s="31">
        <v>5.5999999999999988</v>
      </c>
      <c r="AQ104" s="31">
        <v>5.6</v>
      </c>
      <c r="AR104" s="31">
        <v>5.6</v>
      </c>
      <c r="AS104" s="31">
        <v>5.6</v>
      </c>
    </row>
    <row r="105" spans="1:67" x14ac:dyDescent="0.2">
      <c r="A105" s="5" t="s">
        <v>67</v>
      </c>
      <c r="B105" s="25">
        <v>43361</v>
      </c>
      <c r="C105" s="26">
        <v>0.63055555555555598</v>
      </c>
      <c r="D105" s="5" t="s">
        <v>154</v>
      </c>
      <c r="E105" s="5">
        <v>3</v>
      </c>
      <c r="F105" s="32">
        <v>62</v>
      </c>
      <c r="G105" s="9">
        <v>2</v>
      </c>
      <c r="H105" s="6">
        <v>3.2258064516129031E-2</v>
      </c>
      <c r="I105" s="7">
        <v>6.83E-2</v>
      </c>
      <c r="J105" s="9">
        <v>314.15899999999999</v>
      </c>
      <c r="K105" s="9">
        <v>0.75129999999999997</v>
      </c>
      <c r="L105" s="9">
        <v>11</v>
      </c>
      <c r="M105" s="14">
        <v>209.07693331558633</v>
      </c>
      <c r="N105" s="9">
        <v>1733</v>
      </c>
      <c r="O105" s="12" t="s">
        <v>92</v>
      </c>
      <c r="P105" s="12" t="s">
        <v>82</v>
      </c>
      <c r="Q105" s="9" t="s">
        <v>89</v>
      </c>
      <c r="R105" s="9" t="s">
        <v>93</v>
      </c>
      <c r="S105" s="9"/>
      <c r="T105" s="18">
        <v>4</v>
      </c>
      <c r="U105" s="18">
        <v>4</v>
      </c>
      <c r="V105" s="9">
        <v>7.4</v>
      </c>
      <c r="Y105" s="9">
        <f t="shared" si="1"/>
        <v>836.30773326234532</v>
      </c>
      <c r="Z105" s="19" t="s">
        <v>73</v>
      </c>
      <c r="AA105" s="8" t="s">
        <v>155</v>
      </c>
      <c r="AB105" s="8" t="s">
        <v>75</v>
      </c>
      <c r="AC105" s="11" t="s">
        <v>112</v>
      </c>
      <c r="AD105" s="9" t="s">
        <v>91</v>
      </c>
      <c r="AE105" s="14">
        <v>137.2613030833333</v>
      </c>
      <c r="AF105" s="13"/>
      <c r="AO105" s="34" t="s">
        <v>78</v>
      </c>
      <c r="AP105" s="31">
        <v>6.9499999999999993</v>
      </c>
      <c r="AQ105" s="31">
        <v>7.4</v>
      </c>
      <c r="AR105" s="31">
        <v>7.4</v>
      </c>
      <c r="AS105" s="31">
        <v>5.6</v>
      </c>
      <c r="AT105" s="31">
        <v>7.4</v>
      </c>
    </row>
    <row r="106" spans="1:67" x14ac:dyDescent="0.2">
      <c r="A106" s="5"/>
      <c r="B106" s="25"/>
      <c r="C106" s="26"/>
      <c r="D106" s="5"/>
      <c r="E106" s="5"/>
      <c r="F106" s="32"/>
      <c r="G106" s="9"/>
      <c r="H106" s="6"/>
      <c r="I106" s="7"/>
      <c r="J106" s="9"/>
      <c r="N106" s="9"/>
      <c r="O106" s="12"/>
      <c r="P106" s="12"/>
      <c r="S106" s="9"/>
      <c r="T106" s="18"/>
      <c r="U106" s="18"/>
      <c r="Y106" s="9" t="e">
        <f t="shared" si="1"/>
        <v>#DIV/0!</v>
      </c>
      <c r="Z106" s="19"/>
      <c r="AC106" s="11"/>
      <c r="AD106" s="9"/>
      <c r="AE106" s="14"/>
      <c r="AF106" s="13"/>
      <c r="AO106" s="34" t="s">
        <v>79</v>
      </c>
      <c r="AP106" s="31">
        <v>3.7</v>
      </c>
      <c r="AQ106" s="31">
        <v>3.7</v>
      </c>
      <c r="AR106" s="31">
        <v>3.7</v>
      </c>
      <c r="AS106" s="31">
        <v>3.7</v>
      </c>
      <c r="AT106" s="31">
        <v>3.7</v>
      </c>
    </row>
    <row r="107" spans="1:67" x14ac:dyDescent="0.2">
      <c r="A107" s="5" t="s">
        <v>67</v>
      </c>
      <c r="B107" s="25">
        <v>43361</v>
      </c>
      <c r="C107" s="26">
        <v>0.63055555555555598</v>
      </c>
      <c r="D107" s="5" t="s">
        <v>154</v>
      </c>
      <c r="E107" s="5">
        <v>3</v>
      </c>
      <c r="F107" s="32">
        <v>62</v>
      </c>
      <c r="G107" s="9">
        <v>2</v>
      </c>
      <c r="H107" s="6">
        <v>3.2258064516129031E-2</v>
      </c>
      <c r="I107" s="7">
        <v>6.83E-2</v>
      </c>
      <c r="J107" s="9">
        <v>314.15899999999999</v>
      </c>
      <c r="K107" s="9">
        <v>0.75129999999999997</v>
      </c>
      <c r="L107" s="9">
        <v>11</v>
      </c>
      <c r="M107" s="14">
        <v>209.07693331558633</v>
      </c>
      <c r="N107" s="9">
        <v>1419</v>
      </c>
      <c r="O107" s="12" t="s">
        <v>94</v>
      </c>
      <c r="P107" s="12" t="s">
        <v>82</v>
      </c>
      <c r="Q107" s="9" t="s">
        <v>95</v>
      </c>
      <c r="R107" s="9" t="s">
        <v>96</v>
      </c>
      <c r="S107" s="9"/>
      <c r="T107" s="18">
        <v>405</v>
      </c>
      <c r="U107" s="18">
        <v>815</v>
      </c>
      <c r="V107" s="9">
        <v>0.8</v>
      </c>
      <c r="W107" s="9">
        <v>0.8</v>
      </c>
      <c r="X107" s="9">
        <v>0.8</v>
      </c>
      <c r="Y107" s="9">
        <f t="shared" si="1"/>
        <v>84676.157992812456</v>
      </c>
      <c r="Z107" s="19" t="s">
        <v>97</v>
      </c>
      <c r="AA107" s="8" t="s">
        <v>155</v>
      </c>
      <c r="AB107" s="8" t="s">
        <v>75</v>
      </c>
      <c r="AC107" s="11" t="s">
        <v>112</v>
      </c>
      <c r="AD107" s="9" t="s">
        <v>85</v>
      </c>
      <c r="AE107" s="14">
        <v>0.18</v>
      </c>
      <c r="AF107" s="14">
        <v>0.18</v>
      </c>
      <c r="AG107" s="14">
        <v>0.18</v>
      </c>
      <c r="AH107" s="14">
        <v>0.18</v>
      </c>
      <c r="AI107" s="14">
        <v>0.18</v>
      </c>
      <c r="AJ107" s="14">
        <v>0.18</v>
      </c>
      <c r="AK107" s="14">
        <v>0.18</v>
      </c>
      <c r="AL107" s="14">
        <v>0.18</v>
      </c>
      <c r="AM107" s="14">
        <v>0.18</v>
      </c>
      <c r="AN107" s="14">
        <v>0.18</v>
      </c>
      <c r="AO107" s="35" t="s">
        <v>78</v>
      </c>
      <c r="AP107" s="31">
        <v>0.75200000000000033</v>
      </c>
      <c r="AQ107" s="31">
        <v>0.7</v>
      </c>
      <c r="AR107" s="31">
        <v>0.7</v>
      </c>
      <c r="AS107" s="31">
        <v>0.7</v>
      </c>
      <c r="AT107" s="31">
        <v>0.7</v>
      </c>
      <c r="AU107" s="31">
        <v>0.7</v>
      </c>
      <c r="AV107" s="31">
        <v>0.7</v>
      </c>
      <c r="AW107" s="31">
        <v>0.7</v>
      </c>
      <c r="AX107" s="31">
        <v>0.7</v>
      </c>
      <c r="AY107" s="31">
        <v>0.7</v>
      </c>
      <c r="AZ107" s="31">
        <v>0.7</v>
      </c>
      <c r="BA107" s="31">
        <v>0.7</v>
      </c>
      <c r="BB107" s="31">
        <v>0.7</v>
      </c>
      <c r="BC107" s="31">
        <v>0.8</v>
      </c>
      <c r="BD107" s="31">
        <v>0.8</v>
      </c>
      <c r="BE107" s="31">
        <v>0.8</v>
      </c>
      <c r="BF107" s="31">
        <v>0.8</v>
      </c>
      <c r="BG107" s="31">
        <v>0.8</v>
      </c>
      <c r="BH107" s="31">
        <v>0.8</v>
      </c>
      <c r="BI107" s="31">
        <v>0.8</v>
      </c>
      <c r="BJ107" s="31">
        <v>0.8</v>
      </c>
      <c r="BK107" s="31">
        <v>0.8</v>
      </c>
      <c r="BL107" s="31">
        <v>0.8</v>
      </c>
      <c r="BM107" s="31">
        <v>0.8</v>
      </c>
      <c r="BN107" s="31">
        <v>0.8</v>
      </c>
      <c r="BO107" s="31">
        <v>0.8</v>
      </c>
    </row>
    <row r="108" spans="1:67" x14ac:dyDescent="0.2">
      <c r="A108" s="5" t="s">
        <v>67</v>
      </c>
      <c r="B108" s="25">
        <v>43361</v>
      </c>
      <c r="C108" s="26">
        <v>0.63055555555555598</v>
      </c>
      <c r="D108" s="5" t="s">
        <v>154</v>
      </c>
      <c r="E108" s="5">
        <v>3</v>
      </c>
      <c r="F108" s="32">
        <v>62</v>
      </c>
      <c r="G108" s="9">
        <v>2</v>
      </c>
      <c r="H108" s="6">
        <v>3.2258064516129031E-2</v>
      </c>
      <c r="I108" s="7">
        <v>6.83E-2</v>
      </c>
      <c r="J108" s="9">
        <v>314.15899999999999</v>
      </c>
      <c r="K108" s="9">
        <v>0.75129999999999997</v>
      </c>
      <c r="L108" s="9">
        <v>11</v>
      </c>
      <c r="M108" s="14">
        <v>209.07693331558633</v>
      </c>
      <c r="N108" s="9">
        <v>1508</v>
      </c>
      <c r="O108" s="12" t="s">
        <v>132</v>
      </c>
      <c r="P108" s="12" t="s">
        <v>82</v>
      </c>
      <c r="Q108" s="9" t="s">
        <v>133</v>
      </c>
      <c r="R108" s="9" t="s">
        <v>84</v>
      </c>
      <c r="S108" s="9"/>
      <c r="T108" s="18">
        <v>1</v>
      </c>
      <c r="U108" s="18">
        <v>4</v>
      </c>
      <c r="V108" s="9">
        <v>1.9</v>
      </c>
      <c r="Y108" s="9">
        <f t="shared" si="1"/>
        <v>209.07693331558633</v>
      </c>
      <c r="Z108" s="19" t="s">
        <v>134</v>
      </c>
      <c r="AA108" s="8" t="s">
        <v>155</v>
      </c>
      <c r="AB108" s="8" t="s">
        <v>75</v>
      </c>
      <c r="AC108" s="11" t="s">
        <v>112</v>
      </c>
      <c r="AD108" s="9" t="s">
        <v>104</v>
      </c>
      <c r="AE108" s="14">
        <v>5.3870414524999992</v>
      </c>
      <c r="AF108" s="13"/>
      <c r="AO108" s="34" t="s">
        <v>78</v>
      </c>
      <c r="AP108" s="31">
        <v>1.9</v>
      </c>
      <c r="AQ108" s="31">
        <v>1.9</v>
      </c>
      <c r="AR108" s="31">
        <v>1.9</v>
      </c>
      <c r="AS108" s="31">
        <v>1.9</v>
      </c>
      <c r="AT108" s="31">
        <v>1.9</v>
      </c>
      <c r="AU108" s="31">
        <v>1.9</v>
      </c>
    </row>
    <row r="109" spans="1:67" x14ac:dyDescent="0.2">
      <c r="A109" s="5"/>
      <c r="B109" s="25"/>
      <c r="C109" s="26"/>
      <c r="D109" s="5"/>
      <c r="E109" s="5"/>
      <c r="F109" s="32"/>
      <c r="G109" s="9"/>
      <c r="H109" s="6"/>
      <c r="I109" s="7"/>
      <c r="J109" s="9"/>
      <c r="N109" s="9"/>
      <c r="O109" s="12"/>
      <c r="P109" s="12"/>
      <c r="S109" s="9"/>
      <c r="T109" s="18"/>
      <c r="U109" s="18"/>
      <c r="Y109" s="9" t="e">
        <f t="shared" si="1"/>
        <v>#DIV/0!</v>
      </c>
      <c r="Z109" s="19"/>
      <c r="AC109" s="11"/>
      <c r="AD109" s="9"/>
      <c r="AE109" s="14"/>
      <c r="AF109" s="13"/>
      <c r="AO109" s="34" t="s">
        <v>79</v>
      </c>
      <c r="AP109" s="31">
        <v>1.9</v>
      </c>
      <c r="AQ109" s="31">
        <v>1.9</v>
      </c>
      <c r="AR109" s="31">
        <v>1.9</v>
      </c>
      <c r="AS109" s="31">
        <v>1.9</v>
      </c>
      <c r="AT109" s="31">
        <v>1.9</v>
      </c>
      <c r="AU109" s="31">
        <v>1.9</v>
      </c>
    </row>
    <row r="110" spans="1:67" x14ac:dyDescent="0.2">
      <c r="A110" s="5" t="s">
        <v>67</v>
      </c>
      <c r="B110" s="25">
        <v>43361</v>
      </c>
      <c r="C110" s="26">
        <v>0.63055555555555598</v>
      </c>
      <c r="D110" s="5" t="s">
        <v>154</v>
      </c>
      <c r="E110" s="5">
        <v>3</v>
      </c>
      <c r="F110" s="32">
        <v>62</v>
      </c>
      <c r="G110" s="9">
        <v>2</v>
      </c>
      <c r="H110" s="6">
        <v>3.2258064516129031E-2</v>
      </c>
      <c r="I110" s="7">
        <v>6.83E-2</v>
      </c>
      <c r="J110" s="9">
        <v>314.15899999999999</v>
      </c>
      <c r="K110" s="9">
        <v>0.75129999999999997</v>
      </c>
      <c r="L110" s="9">
        <v>11</v>
      </c>
      <c r="M110" s="14">
        <v>209.07693331558633</v>
      </c>
      <c r="N110" s="9">
        <v>1526</v>
      </c>
      <c r="O110" s="8" t="s">
        <v>156</v>
      </c>
      <c r="P110" s="12" t="s">
        <v>82</v>
      </c>
      <c r="Q110" s="9" t="s">
        <v>157</v>
      </c>
      <c r="R110" s="9" t="s">
        <v>84</v>
      </c>
      <c r="S110" s="9"/>
      <c r="T110" s="18">
        <v>3</v>
      </c>
      <c r="U110" s="18">
        <v>3</v>
      </c>
      <c r="V110" s="9">
        <v>7.4</v>
      </c>
      <c r="Y110" s="9">
        <f t="shared" si="1"/>
        <v>627.23079994675891</v>
      </c>
      <c r="Z110" s="19" t="s">
        <v>73</v>
      </c>
      <c r="AA110" s="8" t="s">
        <v>155</v>
      </c>
      <c r="AB110" s="8" t="s">
        <v>75</v>
      </c>
      <c r="AC110" s="11" t="s">
        <v>112</v>
      </c>
      <c r="AD110" s="9" t="s">
        <v>85</v>
      </c>
      <c r="AE110" s="14">
        <v>61.600820318333341</v>
      </c>
      <c r="AF110" s="13"/>
      <c r="AO110" s="34" t="s">
        <v>78</v>
      </c>
      <c r="AP110" s="31">
        <v>4.9333333333333336</v>
      </c>
      <c r="AQ110" s="31">
        <v>3.7</v>
      </c>
      <c r="AR110" s="31">
        <v>3.7</v>
      </c>
      <c r="AS110" s="31">
        <v>7.4</v>
      </c>
    </row>
    <row r="111" spans="1:67" x14ac:dyDescent="0.2">
      <c r="A111" s="5" t="s">
        <v>67</v>
      </c>
      <c r="B111" s="25">
        <v>43319</v>
      </c>
      <c r="C111" s="26">
        <v>0.74305555555555503</v>
      </c>
      <c r="D111" s="5" t="s">
        <v>158</v>
      </c>
      <c r="E111" s="5"/>
      <c r="F111" s="32">
        <v>63.5</v>
      </c>
      <c r="G111" s="9">
        <v>2</v>
      </c>
      <c r="H111" s="6">
        <v>3.1496062992125984E-2</v>
      </c>
      <c r="I111" s="7">
        <v>6.83E-2</v>
      </c>
      <c r="J111" s="9">
        <v>314.15899999999999</v>
      </c>
      <c r="K111" s="9">
        <v>0.47809999999999997</v>
      </c>
      <c r="L111" s="9">
        <v>7</v>
      </c>
      <c r="M111" s="14">
        <v>328.54946663877848</v>
      </c>
      <c r="N111" s="9">
        <v>1031</v>
      </c>
      <c r="O111" s="12" t="s">
        <v>81</v>
      </c>
      <c r="P111" s="12" t="s">
        <v>82</v>
      </c>
      <c r="Q111" s="9" t="s">
        <v>83</v>
      </c>
      <c r="R111" s="9" t="s">
        <v>84</v>
      </c>
      <c r="S111" s="9"/>
      <c r="T111" s="18">
        <v>1</v>
      </c>
      <c r="U111" s="18">
        <v>1</v>
      </c>
      <c r="V111" s="9">
        <v>4.5999999999999996</v>
      </c>
      <c r="Y111" s="9">
        <f t="shared" si="1"/>
        <v>328.54946663877848</v>
      </c>
      <c r="Z111" s="19" t="s">
        <v>73</v>
      </c>
      <c r="AA111" s="8" t="s">
        <v>159</v>
      </c>
      <c r="AB111" s="8" t="s">
        <v>75</v>
      </c>
      <c r="AC111" s="11" t="s">
        <v>160</v>
      </c>
      <c r="AD111" s="9" t="s">
        <v>85</v>
      </c>
      <c r="AE111" s="14">
        <v>32.973081443333328</v>
      </c>
      <c r="AF111" s="13"/>
      <c r="AO111" s="34" t="s">
        <v>78</v>
      </c>
      <c r="AP111" s="31">
        <v>4.5999999999999996</v>
      </c>
      <c r="AQ111" s="31">
        <v>4.5999999999999996</v>
      </c>
    </row>
    <row r="112" spans="1:67" x14ac:dyDescent="0.2">
      <c r="A112" s="5"/>
      <c r="B112" s="25"/>
      <c r="C112" s="26"/>
      <c r="D112" s="5"/>
      <c r="E112" s="5"/>
      <c r="F112" s="32"/>
      <c r="G112" s="9"/>
      <c r="H112" s="6"/>
      <c r="I112" s="7"/>
      <c r="J112" s="9"/>
      <c r="N112" s="9"/>
      <c r="O112" s="12"/>
      <c r="P112" s="12"/>
      <c r="S112" s="9"/>
      <c r="T112" s="18"/>
      <c r="U112" s="18"/>
      <c r="Y112" s="9" t="e">
        <f t="shared" si="1"/>
        <v>#DIV/0!</v>
      </c>
      <c r="Z112" s="19"/>
      <c r="AC112" s="11"/>
      <c r="AD112" s="9"/>
      <c r="AE112" s="14"/>
      <c r="AF112" s="13"/>
      <c r="AO112" s="34" t="s">
        <v>79</v>
      </c>
      <c r="AP112" s="31">
        <v>3.7</v>
      </c>
      <c r="AQ112" s="31">
        <v>3.7</v>
      </c>
    </row>
    <row r="113" spans="1:67" x14ac:dyDescent="0.2">
      <c r="A113" s="5"/>
      <c r="B113" s="25"/>
      <c r="C113" s="26"/>
      <c r="D113" s="5"/>
      <c r="E113" s="5"/>
      <c r="F113" s="32"/>
      <c r="G113" s="9"/>
      <c r="H113" s="6"/>
      <c r="I113" s="7"/>
      <c r="J113" s="9"/>
      <c r="N113" s="9"/>
      <c r="O113" s="12"/>
      <c r="P113" s="12"/>
      <c r="S113" s="9"/>
      <c r="T113" s="18"/>
      <c r="U113" s="18"/>
      <c r="Y113" s="9" t="e">
        <f t="shared" si="1"/>
        <v>#DIV/0!</v>
      </c>
      <c r="Z113" s="19"/>
      <c r="AC113" s="11"/>
      <c r="AD113" s="9"/>
      <c r="AE113" s="14"/>
      <c r="AF113" s="13"/>
      <c r="AO113" s="34" t="s">
        <v>80</v>
      </c>
      <c r="AP113" s="31">
        <v>3.7</v>
      </c>
      <c r="AQ113" s="31">
        <v>3.7</v>
      </c>
    </row>
    <row r="114" spans="1:67" x14ac:dyDescent="0.2">
      <c r="A114" s="5" t="s">
        <v>67</v>
      </c>
      <c r="B114" s="25">
        <v>43319</v>
      </c>
      <c r="C114" s="26">
        <v>0.74305555555555503</v>
      </c>
      <c r="D114" s="5" t="s">
        <v>158</v>
      </c>
      <c r="E114" s="5"/>
      <c r="F114" s="32">
        <v>63.5</v>
      </c>
      <c r="G114" s="9">
        <v>2</v>
      </c>
      <c r="H114" s="6">
        <v>3.1496062992125984E-2</v>
      </c>
      <c r="I114" s="7">
        <v>6.83E-2</v>
      </c>
      <c r="J114" s="9">
        <v>314.15899999999999</v>
      </c>
      <c r="K114" s="9">
        <v>0.47809999999999997</v>
      </c>
      <c r="L114" s="9">
        <v>7</v>
      </c>
      <c r="M114" s="14">
        <v>328.54946663877848</v>
      </c>
      <c r="N114" s="9">
        <v>1037</v>
      </c>
      <c r="O114" s="12" t="s">
        <v>86</v>
      </c>
      <c r="P114" s="12" t="s">
        <v>82</v>
      </c>
      <c r="Q114" s="9" t="s">
        <v>87</v>
      </c>
      <c r="R114" s="9" t="s">
        <v>84</v>
      </c>
      <c r="S114" s="9"/>
      <c r="T114" s="18">
        <v>15</v>
      </c>
      <c r="U114" s="18">
        <v>15</v>
      </c>
      <c r="V114" s="9">
        <v>2.8</v>
      </c>
      <c r="Y114" s="9">
        <f t="shared" si="1"/>
        <v>4928.2419995816781</v>
      </c>
      <c r="Z114" s="19" t="s">
        <v>73</v>
      </c>
      <c r="AA114" s="8" t="s">
        <v>159</v>
      </c>
      <c r="AB114" s="8" t="s">
        <v>75</v>
      </c>
      <c r="AC114" s="11" t="s">
        <v>160</v>
      </c>
      <c r="AD114" s="9" t="s">
        <v>85</v>
      </c>
      <c r="AE114" s="14">
        <v>7.2382233599999992</v>
      </c>
      <c r="AF114" s="13"/>
      <c r="AO114" s="34" t="s">
        <v>78</v>
      </c>
      <c r="AP114" s="31">
        <v>2.4400000000000004</v>
      </c>
      <c r="AQ114" s="31">
        <v>2.8</v>
      </c>
      <c r="AR114" s="31">
        <v>2.8</v>
      </c>
      <c r="AS114" s="31">
        <v>1.9</v>
      </c>
      <c r="AT114" s="31">
        <v>2.8</v>
      </c>
      <c r="AU114" s="31">
        <v>1.9</v>
      </c>
    </row>
    <row r="115" spans="1:67" x14ac:dyDescent="0.2">
      <c r="A115" s="5" t="s">
        <v>67</v>
      </c>
      <c r="B115" s="25">
        <v>43319</v>
      </c>
      <c r="C115" s="26">
        <v>0.74305555555555503</v>
      </c>
      <c r="D115" s="5" t="s">
        <v>158</v>
      </c>
      <c r="E115" s="5"/>
      <c r="F115" s="32">
        <v>63.5</v>
      </c>
      <c r="G115" s="9">
        <v>2</v>
      </c>
      <c r="H115" s="6">
        <v>3.1496062992125984E-2</v>
      </c>
      <c r="I115" s="7">
        <v>6.83E-2</v>
      </c>
      <c r="J115" s="9">
        <v>314.15899999999999</v>
      </c>
      <c r="K115" s="9">
        <v>0.47809999999999997</v>
      </c>
      <c r="L115" s="9">
        <v>7</v>
      </c>
      <c r="M115" s="14">
        <v>328.54946663877848</v>
      </c>
      <c r="N115" s="9">
        <v>1301</v>
      </c>
      <c r="O115" s="36" t="s">
        <v>161</v>
      </c>
      <c r="P115" s="12" t="s">
        <v>82</v>
      </c>
      <c r="Q115" s="9" t="s">
        <v>162</v>
      </c>
      <c r="R115" s="9" t="s">
        <v>84</v>
      </c>
      <c r="S115" s="9"/>
      <c r="T115" s="18">
        <v>1</v>
      </c>
      <c r="U115" s="18">
        <v>18</v>
      </c>
      <c r="V115" s="9">
        <v>3.7</v>
      </c>
      <c r="Y115" s="9">
        <f t="shared" si="1"/>
        <v>328.54946663877848</v>
      </c>
      <c r="Z115" s="19" t="s">
        <v>97</v>
      </c>
      <c r="AA115" s="8" t="s">
        <v>159</v>
      </c>
      <c r="AB115" s="8" t="s">
        <v>75</v>
      </c>
      <c r="AC115" s="11" t="s">
        <v>160</v>
      </c>
      <c r="AD115" s="9" t="s">
        <v>85</v>
      </c>
      <c r="AE115" s="14">
        <v>26.521826378333333</v>
      </c>
      <c r="AF115" s="13"/>
      <c r="AO115" s="34" t="s">
        <v>78</v>
      </c>
      <c r="AP115" s="31">
        <v>3.7</v>
      </c>
      <c r="AQ115" s="31">
        <v>3.7</v>
      </c>
      <c r="AR115" s="31">
        <v>3.7</v>
      </c>
      <c r="AS115" s="31">
        <v>3.7</v>
      </c>
      <c r="AT115" s="31">
        <v>3.7</v>
      </c>
      <c r="AU115" s="31">
        <v>3.7</v>
      </c>
    </row>
    <row r="116" spans="1:67" x14ac:dyDescent="0.2">
      <c r="A116" s="5" t="s">
        <v>67</v>
      </c>
      <c r="B116" s="25">
        <v>43319</v>
      </c>
      <c r="C116" s="26">
        <v>0.74305555555555503</v>
      </c>
      <c r="D116" s="5" t="s">
        <v>158</v>
      </c>
      <c r="E116" s="5"/>
      <c r="F116" s="32">
        <v>63.5</v>
      </c>
      <c r="G116" s="9">
        <v>2</v>
      </c>
      <c r="H116" s="6">
        <v>3.1496062992125984E-2</v>
      </c>
      <c r="I116" s="7">
        <v>6.83E-2</v>
      </c>
      <c r="J116" s="9">
        <v>314.15899999999999</v>
      </c>
      <c r="K116" s="9">
        <v>0.47809999999999997</v>
      </c>
      <c r="L116" s="9">
        <v>7</v>
      </c>
      <c r="M116" s="14">
        <v>328.54946663877848</v>
      </c>
      <c r="N116" s="9">
        <v>1364</v>
      </c>
      <c r="O116" s="12" t="s">
        <v>88</v>
      </c>
      <c r="P116" s="12" t="s">
        <v>82</v>
      </c>
      <c r="Q116" s="9" t="s">
        <v>89</v>
      </c>
      <c r="R116" s="9" t="s">
        <v>90</v>
      </c>
      <c r="S116" s="9"/>
      <c r="T116" s="18">
        <v>1</v>
      </c>
      <c r="U116" s="18">
        <v>1</v>
      </c>
      <c r="V116" s="9">
        <v>11.1</v>
      </c>
      <c r="Y116" s="9">
        <f t="shared" si="1"/>
        <v>328.54946663877848</v>
      </c>
      <c r="Z116" s="19" t="s">
        <v>73</v>
      </c>
      <c r="AA116" s="8" t="s">
        <v>159</v>
      </c>
      <c r="AB116" s="8" t="s">
        <v>75</v>
      </c>
      <c r="AC116" s="11" t="s">
        <v>160</v>
      </c>
      <c r="AD116" s="9" t="s">
        <v>91</v>
      </c>
      <c r="AE116" s="14">
        <v>538.67979792749986</v>
      </c>
      <c r="AF116" s="13"/>
      <c r="AO116" s="34" t="s">
        <v>78</v>
      </c>
      <c r="AP116" s="31">
        <v>11.1</v>
      </c>
      <c r="AQ116" s="31">
        <v>11.1</v>
      </c>
    </row>
    <row r="117" spans="1:67" x14ac:dyDescent="0.2">
      <c r="A117" s="5"/>
      <c r="B117" s="25"/>
      <c r="C117" s="26"/>
      <c r="D117" s="5"/>
      <c r="E117" s="5"/>
      <c r="F117" s="32"/>
      <c r="G117" s="9"/>
      <c r="H117" s="6"/>
      <c r="I117" s="7"/>
      <c r="J117" s="9"/>
      <c r="N117" s="9"/>
      <c r="O117" s="12"/>
      <c r="P117" s="12"/>
      <c r="S117" s="9"/>
      <c r="T117" s="18"/>
      <c r="U117" s="18"/>
      <c r="Y117" s="9" t="e">
        <f t="shared" si="1"/>
        <v>#DIV/0!</v>
      </c>
      <c r="Z117" s="19"/>
      <c r="AC117" s="11"/>
      <c r="AD117" s="9"/>
      <c r="AE117" s="14"/>
      <c r="AF117" s="13"/>
      <c r="AO117" s="34" t="s">
        <v>79</v>
      </c>
      <c r="AP117" s="31">
        <v>5.6</v>
      </c>
      <c r="AQ117" s="31">
        <v>5.6</v>
      </c>
    </row>
    <row r="118" spans="1:67" x14ac:dyDescent="0.2">
      <c r="A118" s="5" t="s">
        <v>67</v>
      </c>
      <c r="B118" s="25">
        <v>43319</v>
      </c>
      <c r="C118" s="26">
        <v>0.74305555555555503</v>
      </c>
      <c r="D118" s="5" t="s">
        <v>158</v>
      </c>
      <c r="E118" s="5"/>
      <c r="F118" s="32">
        <v>63.5</v>
      </c>
      <c r="G118" s="9">
        <v>2</v>
      </c>
      <c r="H118" s="6">
        <v>3.1496062992125984E-2</v>
      </c>
      <c r="I118" s="7">
        <v>6.83E-2</v>
      </c>
      <c r="J118" s="9">
        <v>314.15899999999999</v>
      </c>
      <c r="K118" s="9">
        <v>0.47809999999999997</v>
      </c>
      <c r="L118" s="9">
        <v>7</v>
      </c>
      <c r="M118" s="14">
        <v>328.54946663877848</v>
      </c>
      <c r="N118" s="9">
        <v>1733</v>
      </c>
      <c r="O118" s="12" t="s">
        <v>92</v>
      </c>
      <c r="P118" s="12" t="s">
        <v>82</v>
      </c>
      <c r="Q118" s="9" t="s">
        <v>89</v>
      </c>
      <c r="R118" s="9" t="s">
        <v>93</v>
      </c>
      <c r="S118" s="9"/>
      <c r="T118" s="18">
        <v>1</v>
      </c>
      <c r="U118" s="18">
        <v>1</v>
      </c>
      <c r="V118" s="9">
        <v>5.6</v>
      </c>
      <c r="Y118" s="9">
        <f t="shared" si="1"/>
        <v>328.54946663877848</v>
      </c>
      <c r="Z118" s="19" t="s">
        <v>73</v>
      </c>
      <c r="AA118" s="8" t="s">
        <v>159</v>
      </c>
      <c r="AB118" s="8" t="s">
        <v>75</v>
      </c>
      <c r="AC118" s="11" t="s">
        <v>160</v>
      </c>
      <c r="AD118" s="9" t="s">
        <v>91</v>
      </c>
      <c r="AE118" s="14">
        <v>83.742223039999971</v>
      </c>
      <c r="AF118" s="13"/>
      <c r="AO118" s="34" t="s">
        <v>78</v>
      </c>
      <c r="AP118" s="31">
        <v>5.6</v>
      </c>
      <c r="AQ118" s="31">
        <v>5.6</v>
      </c>
    </row>
    <row r="119" spans="1:67" x14ac:dyDescent="0.2">
      <c r="A119" s="5"/>
      <c r="B119" s="25"/>
      <c r="C119" s="26"/>
      <c r="D119" s="5"/>
      <c r="E119" s="5"/>
      <c r="F119" s="32"/>
      <c r="G119" s="9"/>
      <c r="H119" s="6"/>
      <c r="I119" s="7"/>
      <c r="J119" s="9"/>
      <c r="N119" s="9"/>
      <c r="O119" s="12"/>
      <c r="P119" s="12"/>
      <c r="S119" s="9"/>
      <c r="T119" s="18"/>
      <c r="U119" s="18"/>
      <c r="Y119" s="9" t="e">
        <f t="shared" si="1"/>
        <v>#DIV/0!</v>
      </c>
      <c r="Z119" s="19"/>
      <c r="AC119" s="11"/>
      <c r="AD119" s="9"/>
      <c r="AE119" s="14"/>
      <c r="AF119" s="13"/>
      <c r="AO119" s="34" t="s">
        <v>79</v>
      </c>
      <c r="AP119" s="31">
        <v>4.5999999999999996</v>
      </c>
      <c r="AQ119" s="31">
        <v>4.5999999999999996</v>
      </c>
    </row>
    <row r="120" spans="1:67" x14ac:dyDescent="0.2">
      <c r="A120" s="5" t="s">
        <v>67</v>
      </c>
      <c r="B120" s="25">
        <v>43319</v>
      </c>
      <c r="C120" s="26">
        <v>0.74305555555555503</v>
      </c>
      <c r="D120" s="5" t="s">
        <v>158</v>
      </c>
      <c r="E120" s="5"/>
      <c r="F120" s="32">
        <v>63.5</v>
      </c>
      <c r="G120" s="9">
        <v>2</v>
      </c>
      <c r="H120" s="6">
        <v>3.1496062992125984E-2</v>
      </c>
      <c r="I120" s="7">
        <v>6.83E-2</v>
      </c>
      <c r="J120" s="9">
        <v>314.15899999999999</v>
      </c>
      <c r="K120" s="9">
        <v>0.47809999999999997</v>
      </c>
      <c r="L120" s="9">
        <v>7</v>
      </c>
      <c r="M120" s="14">
        <v>328.54946663877848</v>
      </c>
      <c r="N120" s="9">
        <v>1419</v>
      </c>
      <c r="O120" s="12" t="s">
        <v>94</v>
      </c>
      <c r="P120" s="12" t="s">
        <v>82</v>
      </c>
      <c r="Q120" s="9" t="s">
        <v>95</v>
      </c>
      <c r="R120" s="9" t="s">
        <v>96</v>
      </c>
      <c r="S120" s="9"/>
      <c r="T120" s="18">
        <v>394</v>
      </c>
      <c r="U120" s="18">
        <v>795</v>
      </c>
      <c r="V120" s="9">
        <v>0.8</v>
      </c>
      <c r="W120" s="9">
        <v>0.8</v>
      </c>
      <c r="X120" s="9">
        <v>0.8</v>
      </c>
      <c r="Y120" s="9">
        <f t="shared" si="1"/>
        <v>129448.48985567872</v>
      </c>
      <c r="Z120" s="19" t="s">
        <v>97</v>
      </c>
      <c r="AA120" s="8" t="s">
        <v>159</v>
      </c>
      <c r="AB120" s="8" t="s">
        <v>75</v>
      </c>
      <c r="AC120" s="11" t="s">
        <v>160</v>
      </c>
      <c r="AD120" s="9" t="s">
        <v>85</v>
      </c>
      <c r="AE120" s="14">
        <v>0.18</v>
      </c>
      <c r="AF120" s="14">
        <v>0.18</v>
      </c>
      <c r="AG120" s="14">
        <v>0.18</v>
      </c>
      <c r="AH120" s="14">
        <v>0.18</v>
      </c>
      <c r="AI120" s="14">
        <v>0.18</v>
      </c>
      <c r="AJ120" s="14">
        <v>0.18</v>
      </c>
      <c r="AK120" s="14">
        <v>0.18</v>
      </c>
      <c r="AL120" s="14">
        <v>0.18</v>
      </c>
      <c r="AM120" s="14">
        <v>0.18</v>
      </c>
      <c r="AN120" s="14">
        <v>0.18</v>
      </c>
      <c r="AO120" s="35" t="s">
        <v>78</v>
      </c>
      <c r="AP120" s="31">
        <v>0.75200000000000033</v>
      </c>
      <c r="AQ120" s="31">
        <v>0.7</v>
      </c>
      <c r="AR120" s="31">
        <v>0.7</v>
      </c>
      <c r="AS120" s="31">
        <v>0.7</v>
      </c>
      <c r="AT120" s="31">
        <v>0.7</v>
      </c>
      <c r="AU120" s="31">
        <v>0.7</v>
      </c>
      <c r="AV120" s="31">
        <v>0.7</v>
      </c>
      <c r="AW120" s="31">
        <v>0.7</v>
      </c>
      <c r="AX120" s="31">
        <v>0.7</v>
      </c>
      <c r="AY120" s="31">
        <v>0.7</v>
      </c>
      <c r="AZ120" s="31">
        <v>0.7</v>
      </c>
      <c r="BA120" s="31">
        <v>0.7</v>
      </c>
      <c r="BB120" s="31">
        <v>0.7</v>
      </c>
      <c r="BC120" s="31">
        <v>0.8</v>
      </c>
      <c r="BD120" s="31">
        <v>0.8</v>
      </c>
      <c r="BE120" s="31">
        <v>0.8</v>
      </c>
      <c r="BF120" s="31">
        <v>0.8</v>
      </c>
      <c r="BG120" s="31">
        <v>0.8</v>
      </c>
      <c r="BH120" s="31">
        <v>0.8</v>
      </c>
      <c r="BI120" s="31">
        <v>0.8</v>
      </c>
      <c r="BJ120" s="31">
        <v>0.8</v>
      </c>
      <c r="BK120" s="31">
        <v>0.8</v>
      </c>
      <c r="BL120" s="31">
        <v>0.8</v>
      </c>
      <c r="BM120" s="31">
        <v>0.8</v>
      </c>
      <c r="BN120" s="31">
        <v>0.8</v>
      </c>
      <c r="BO120" s="31">
        <v>0.8</v>
      </c>
    </row>
    <row r="121" spans="1:67" x14ac:dyDescent="0.2">
      <c r="A121" s="5" t="s">
        <v>67</v>
      </c>
      <c r="B121" s="25">
        <v>43319</v>
      </c>
      <c r="C121" s="26">
        <v>0.74305555555555503</v>
      </c>
      <c r="D121" s="5" t="s">
        <v>158</v>
      </c>
      <c r="E121" s="5"/>
      <c r="F121" s="32">
        <v>63.5</v>
      </c>
      <c r="G121" s="9">
        <v>2</v>
      </c>
      <c r="H121" s="6">
        <v>3.1496062992125984E-2</v>
      </c>
      <c r="I121" s="7">
        <v>6.83E-2</v>
      </c>
      <c r="J121" s="9">
        <v>314.15899999999999</v>
      </c>
      <c r="K121" s="9">
        <v>0.47809999999999997</v>
      </c>
      <c r="L121" s="9">
        <v>7</v>
      </c>
      <c r="M121" s="14">
        <v>328.54946663877848</v>
      </c>
      <c r="N121" s="9">
        <v>1423</v>
      </c>
      <c r="O121" s="12" t="s">
        <v>163</v>
      </c>
      <c r="P121" s="12" t="s">
        <v>82</v>
      </c>
      <c r="Q121" s="9" t="s">
        <v>95</v>
      </c>
      <c r="R121" s="9" t="s">
        <v>84</v>
      </c>
      <c r="S121" s="9"/>
      <c r="T121" s="18">
        <v>3</v>
      </c>
      <c r="U121" s="18">
        <v>10</v>
      </c>
      <c r="V121" s="9">
        <v>2.8</v>
      </c>
      <c r="Y121" s="9">
        <f t="shared" si="1"/>
        <v>985.64839991633551</v>
      </c>
      <c r="Z121" s="19" t="s">
        <v>97</v>
      </c>
      <c r="AA121" s="8" t="s">
        <v>159</v>
      </c>
      <c r="AB121" s="8" t="s">
        <v>75</v>
      </c>
      <c r="AC121" s="11" t="s">
        <v>160</v>
      </c>
      <c r="AD121" s="9" t="s">
        <v>85</v>
      </c>
      <c r="AE121" s="14">
        <v>11.494030613333329</v>
      </c>
      <c r="AF121" s="13"/>
      <c r="AO121" s="34" t="s">
        <v>78</v>
      </c>
      <c r="AP121" s="31">
        <v>2.8</v>
      </c>
      <c r="AQ121" s="31">
        <v>2.8</v>
      </c>
      <c r="AR121" s="31">
        <v>2.8</v>
      </c>
      <c r="AS121" s="31">
        <v>2.8</v>
      </c>
      <c r="AT121" s="31">
        <v>2.8</v>
      </c>
      <c r="AU121" s="31">
        <v>2.8</v>
      </c>
    </row>
    <row r="122" spans="1:67" x14ac:dyDescent="0.2">
      <c r="A122" s="5" t="s">
        <v>67</v>
      </c>
      <c r="B122" s="25">
        <v>43361</v>
      </c>
      <c r="C122" s="26">
        <v>0.73055555555555596</v>
      </c>
      <c r="D122" s="26" t="s">
        <v>116</v>
      </c>
      <c r="E122" s="5"/>
      <c r="F122" s="32">
        <v>62.5</v>
      </c>
      <c r="G122" s="9">
        <v>1</v>
      </c>
      <c r="H122" s="6">
        <v>1.6E-2</v>
      </c>
      <c r="I122" s="7">
        <v>6.83E-2</v>
      </c>
      <c r="J122" s="9">
        <v>314.15899999999999</v>
      </c>
      <c r="K122" s="9">
        <v>0.34150000000000003</v>
      </c>
      <c r="L122" s="9">
        <v>5</v>
      </c>
      <c r="M122" s="14">
        <v>919.93850658857968</v>
      </c>
      <c r="N122" s="9">
        <v>1037</v>
      </c>
      <c r="O122" s="12" t="s">
        <v>86</v>
      </c>
      <c r="P122" s="12" t="s">
        <v>82</v>
      </c>
      <c r="Q122" s="9" t="s">
        <v>87</v>
      </c>
      <c r="R122" s="9" t="s">
        <v>84</v>
      </c>
      <c r="S122" s="9"/>
      <c r="T122" s="18">
        <v>12</v>
      </c>
      <c r="U122" s="18">
        <v>12</v>
      </c>
      <c r="V122" s="9">
        <v>2.8</v>
      </c>
      <c r="Y122" s="9">
        <f t="shared" si="1"/>
        <v>11039.262079062957</v>
      </c>
      <c r="Z122" s="19" t="s">
        <v>73</v>
      </c>
      <c r="AA122" s="8" t="s">
        <v>164</v>
      </c>
      <c r="AB122" s="8" t="s">
        <v>75</v>
      </c>
      <c r="AC122" s="11" t="s">
        <v>160</v>
      </c>
      <c r="AD122" s="9" t="s">
        <v>85</v>
      </c>
      <c r="AE122" s="14">
        <v>6.3706209216666645</v>
      </c>
      <c r="AF122" s="13"/>
      <c r="AO122" s="35" t="s">
        <v>78</v>
      </c>
      <c r="AP122" s="31">
        <v>2.2599999999999998</v>
      </c>
      <c r="AQ122" s="31">
        <v>1.9</v>
      </c>
      <c r="AR122" s="31">
        <v>1.9</v>
      </c>
      <c r="AS122" s="31">
        <v>2.8</v>
      </c>
      <c r="AT122" s="31">
        <v>2.8</v>
      </c>
      <c r="AU122" s="31">
        <v>1.9</v>
      </c>
    </row>
    <row r="123" spans="1:67" x14ac:dyDescent="0.2">
      <c r="A123" s="5" t="s">
        <v>67</v>
      </c>
      <c r="B123" s="25">
        <v>43361</v>
      </c>
      <c r="C123" s="26">
        <v>0.73055555555555596</v>
      </c>
      <c r="D123" s="26" t="s">
        <v>116</v>
      </c>
      <c r="E123" s="5"/>
      <c r="F123" s="32">
        <v>62.5</v>
      </c>
      <c r="G123" s="9">
        <v>1</v>
      </c>
      <c r="H123" s="6">
        <v>1.6E-2</v>
      </c>
      <c r="I123" s="7">
        <v>6.83E-2</v>
      </c>
      <c r="J123" s="9">
        <v>314.15899999999999</v>
      </c>
      <c r="K123" s="9">
        <v>0.34150000000000003</v>
      </c>
      <c r="L123" s="9">
        <v>5</v>
      </c>
      <c r="M123" s="14">
        <v>919.93850658857968</v>
      </c>
      <c r="N123" s="9">
        <v>1364</v>
      </c>
      <c r="O123" s="12" t="s">
        <v>88</v>
      </c>
      <c r="P123" s="12" t="s">
        <v>82</v>
      </c>
      <c r="Q123" s="9" t="s">
        <v>89</v>
      </c>
      <c r="R123" s="9" t="s">
        <v>90</v>
      </c>
      <c r="S123" s="9"/>
      <c r="T123" s="18">
        <v>4</v>
      </c>
      <c r="U123" s="18">
        <v>4</v>
      </c>
      <c r="V123" s="9">
        <v>11.1</v>
      </c>
      <c r="Y123" s="9">
        <f t="shared" si="1"/>
        <v>3679.7540263543187</v>
      </c>
      <c r="Z123" s="19" t="s">
        <v>73</v>
      </c>
      <c r="AA123" s="8" t="s">
        <v>164</v>
      </c>
      <c r="AB123" s="8" t="s">
        <v>75</v>
      </c>
      <c r="AC123" s="11" t="s">
        <v>160</v>
      </c>
      <c r="AD123" s="9" t="s">
        <v>91</v>
      </c>
      <c r="AE123" s="14">
        <v>453.05916586666666</v>
      </c>
      <c r="AF123" s="13"/>
      <c r="AO123" s="35" t="s">
        <v>78</v>
      </c>
      <c r="AP123" s="31">
        <v>10.424999999999999</v>
      </c>
      <c r="AQ123" s="31">
        <v>11.1</v>
      </c>
      <c r="AR123" s="31">
        <v>9.3000000000000007</v>
      </c>
      <c r="AS123" s="31">
        <v>10.199999999999999</v>
      </c>
      <c r="AT123" s="31">
        <v>11.1</v>
      </c>
    </row>
    <row r="124" spans="1:67" x14ac:dyDescent="0.2">
      <c r="A124" s="5"/>
      <c r="B124" s="25"/>
      <c r="C124" s="26"/>
      <c r="D124" s="26"/>
      <c r="E124" s="5"/>
      <c r="F124" s="32"/>
      <c r="G124" s="9"/>
      <c r="H124" s="6"/>
      <c r="I124" s="7"/>
      <c r="J124" s="9"/>
      <c r="N124" s="9"/>
      <c r="O124" s="12"/>
      <c r="P124" s="12"/>
      <c r="S124" s="9"/>
      <c r="T124" s="18"/>
      <c r="U124" s="18"/>
      <c r="Y124" s="9" t="e">
        <f t="shared" si="1"/>
        <v>#DIV/0!</v>
      </c>
      <c r="Z124" s="19"/>
      <c r="AC124" s="11"/>
      <c r="AD124" s="9"/>
      <c r="AE124" s="14"/>
      <c r="AF124" s="13"/>
      <c r="AO124" s="34" t="s">
        <v>79</v>
      </c>
      <c r="AP124" s="31">
        <v>5.6</v>
      </c>
      <c r="AQ124" s="31">
        <v>5.6</v>
      </c>
      <c r="AR124" s="31">
        <v>5.6</v>
      </c>
      <c r="AS124" s="31">
        <v>5.6</v>
      </c>
      <c r="AT124" s="31">
        <v>5.6</v>
      </c>
    </row>
    <row r="125" spans="1:67" x14ac:dyDescent="0.2">
      <c r="A125" s="5" t="s">
        <v>67</v>
      </c>
      <c r="B125" s="25">
        <v>43361</v>
      </c>
      <c r="C125" s="26">
        <v>0.73055555555555596</v>
      </c>
      <c r="D125" s="26" t="s">
        <v>116</v>
      </c>
      <c r="E125" s="5"/>
      <c r="F125" s="32">
        <v>62.5</v>
      </c>
      <c r="G125" s="9">
        <v>1</v>
      </c>
      <c r="H125" s="6">
        <v>1.6E-2</v>
      </c>
      <c r="I125" s="7">
        <v>6.83E-2</v>
      </c>
      <c r="J125" s="9">
        <v>314.15899999999999</v>
      </c>
      <c r="K125" s="9">
        <v>0.34150000000000003</v>
      </c>
      <c r="L125" s="9">
        <v>5</v>
      </c>
      <c r="M125" s="14">
        <v>919.93850658857968</v>
      </c>
      <c r="N125" s="9">
        <v>1733</v>
      </c>
      <c r="O125" s="12" t="s">
        <v>92</v>
      </c>
      <c r="P125" s="12" t="s">
        <v>82</v>
      </c>
      <c r="Q125" s="9" t="s">
        <v>89</v>
      </c>
      <c r="R125" s="9" t="s">
        <v>93</v>
      </c>
      <c r="S125" s="9"/>
      <c r="T125" s="18">
        <v>1</v>
      </c>
      <c r="U125" s="18">
        <v>1</v>
      </c>
      <c r="V125" s="9">
        <v>7.4</v>
      </c>
      <c r="Y125" s="9">
        <f t="shared" si="1"/>
        <v>919.93850658857968</v>
      </c>
      <c r="Z125" s="19" t="s">
        <v>73</v>
      </c>
      <c r="AA125" s="8" t="s">
        <v>164</v>
      </c>
      <c r="AB125" s="8" t="s">
        <v>75</v>
      </c>
      <c r="AC125" s="11" t="s">
        <v>160</v>
      </c>
      <c r="AD125" s="9" t="s">
        <v>91</v>
      </c>
      <c r="AE125" s="14">
        <v>159.13095827000001</v>
      </c>
      <c r="AF125" s="13"/>
      <c r="AO125" s="35" t="s">
        <v>78</v>
      </c>
      <c r="AP125" s="31">
        <v>7.4</v>
      </c>
      <c r="AQ125" s="31">
        <v>7.4</v>
      </c>
    </row>
    <row r="126" spans="1:67" x14ac:dyDescent="0.2">
      <c r="A126" s="5"/>
      <c r="B126" s="25"/>
      <c r="C126" s="26"/>
      <c r="D126" s="26"/>
      <c r="E126" s="5"/>
      <c r="F126" s="32"/>
      <c r="G126" s="9"/>
      <c r="H126" s="6"/>
      <c r="I126" s="7"/>
      <c r="J126" s="9"/>
      <c r="N126" s="9"/>
      <c r="O126" s="12"/>
      <c r="P126" s="12"/>
      <c r="S126" s="9"/>
      <c r="T126" s="18"/>
      <c r="U126" s="18"/>
      <c r="Y126" s="9" t="e">
        <f t="shared" si="1"/>
        <v>#DIV/0!</v>
      </c>
      <c r="Z126" s="19"/>
      <c r="AC126" s="11"/>
      <c r="AD126" s="9"/>
      <c r="AE126" s="14"/>
      <c r="AF126" s="13"/>
      <c r="AO126" s="34" t="s">
        <v>79</v>
      </c>
      <c r="AP126" s="31">
        <v>3.7</v>
      </c>
      <c r="AQ126" s="31">
        <v>3.7</v>
      </c>
    </row>
    <row r="127" spans="1:67" x14ac:dyDescent="0.2">
      <c r="A127" s="5" t="s">
        <v>67</v>
      </c>
      <c r="B127" s="25">
        <v>43361</v>
      </c>
      <c r="C127" s="26">
        <v>0.73055555555555596</v>
      </c>
      <c r="D127" s="26" t="s">
        <v>116</v>
      </c>
      <c r="E127" s="5"/>
      <c r="F127" s="32">
        <v>62.5</v>
      </c>
      <c r="G127" s="9">
        <v>1</v>
      </c>
      <c r="H127" s="6">
        <v>1.6E-2</v>
      </c>
      <c r="I127" s="7">
        <v>6.83E-2</v>
      </c>
      <c r="J127" s="9">
        <v>314.15899999999999</v>
      </c>
      <c r="K127" s="9">
        <v>0.34150000000000003</v>
      </c>
      <c r="L127" s="9">
        <v>5</v>
      </c>
      <c r="M127" s="14">
        <v>919.93850658857968</v>
      </c>
      <c r="N127" s="9">
        <v>1419</v>
      </c>
      <c r="O127" s="12" t="s">
        <v>94</v>
      </c>
      <c r="P127" s="12" t="s">
        <v>82</v>
      </c>
      <c r="Q127" s="9" t="s">
        <v>95</v>
      </c>
      <c r="R127" s="9" t="s">
        <v>96</v>
      </c>
      <c r="S127" s="9"/>
      <c r="T127" s="18">
        <v>398</v>
      </c>
      <c r="U127" s="18">
        <v>798</v>
      </c>
      <c r="V127" s="9">
        <v>0.8</v>
      </c>
      <c r="W127" s="9">
        <v>0.8</v>
      </c>
      <c r="X127" s="9">
        <v>0.8</v>
      </c>
      <c r="Y127" s="9">
        <f t="shared" si="1"/>
        <v>366135.5256222547</v>
      </c>
      <c r="Z127" s="19" t="s">
        <v>97</v>
      </c>
      <c r="AA127" s="8" t="s">
        <v>164</v>
      </c>
      <c r="AB127" s="8" t="s">
        <v>75</v>
      </c>
      <c r="AC127" s="11" t="s">
        <v>160</v>
      </c>
      <c r="AD127" s="9" t="s">
        <v>85</v>
      </c>
      <c r="AE127" s="14">
        <v>0.18</v>
      </c>
      <c r="AF127" s="14">
        <v>0.18</v>
      </c>
      <c r="AG127" s="14">
        <v>0.18</v>
      </c>
      <c r="AH127" s="14">
        <v>0.18</v>
      </c>
      <c r="AI127" s="14">
        <v>0.18</v>
      </c>
      <c r="AJ127" s="14">
        <v>0.18</v>
      </c>
      <c r="AK127" s="14">
        <v>0.18</v>
      </c>
      <c r="AL127" s="14">
        <v>0.18</v>
      </c>
      <c r="AM127" s="14">
        <v>0.18</v>
      </c>
      <c r="AN127" s="14">
        <v>0.18</v>
      </c>
      <c r="AO127" s="35" t="s">
        <v>78</v>
      </c>
      <c r="AP127" s="31">
        <v>0.75200000000000033</v>
      </c>
      <c r="AQ127" s="31">
        <v>0.7</v>
      </c>
      <c r="AR127" s="31">
        <v>0.7</v>
      </c>
      <c r="AS127" s="31">
        <v>0.7</v>
      </c>
      <c r="AT127" s="31">
        <v>0.7</v>
      </c>
      <c r="AU127" s="31">
        <v>0.7</v>
      </c>
      <c r="AV127" s="31">
        <v>0.7</v>
      </c>
      <c r="AW127" s="31">
        <v>0.7</v>
      </c>
      <c r="AX127" s="31">
        <v>0.7</v>
      </c>
      <c r="AY127" s="31">
        <v>0.7</v>
      </c>
      <c r="AZ127" s="31">
        <v>0.7</v>
      </c>
      <c r="BA127" s="31">
        <v>0.7</v>
      </c>
      <c r="BB127" s="31">
        <v>0.7</v>
      </c>
      <c r="BC127" s="31">
        <v>0.8</v>
      </c>
      <c r="BD127" s="31">
        <v>0.8</v>
      </c>
      <c r="BE127" s="31">
        <v>0.8</v>
      </c>
      <c r="BF127" s="31">
        <v>0.8</v>
      </c>
      <c r="BG127" s="31">
        <v>0.8</v>
      </c>
      <c r="BH127" s="31">
        <v>0.8</v>
      </c>
      <c r="BI127" s="31">
        <v>0.8</v>
      </c>
      <c r="BJ127" s="31">
        <v>0.8</v>
      </c>
      <c r="BK127" s="31">
        <v>0.8</v>
      </c>
      <c r="BL127" s="31">
        <v>0.8</v>
      </c>
      <c r="BM127" s="31">
        <v>0.8</v>
      </c>
      <c r="BN127" s="31">
        <v>0.8</v>
      </c>
      <c r="BO127" s="31">
        <v>0.8</v>
      </c>
    </row>
    <row r="128" spans="1:67" x14ac:dyDescent="0.2">
      <c r="A128" s="5" t="s">
        <v>67</v>
      </c>
      <c r="B128" s="25">
        <v>43361</v>
      </c>
      <c r="C128" s="26">
        <v>0.73055555555555596</v>
      </c>
      <c r="D128" s="26" t="s">
        <v>116</v>
      </c>
      <c r="E128" s="5"/>
      <c r="F128" s="32">
        <v>62.5</v>
      </c>
      <c r="G128" s="9">
        <v>1</v>
      </c>
      <c r="H128" s="6">
        <v>1.6E-2</v>
      </c>
      <c r="I128" s="7">
        <v>6.83E-2</v>
      </c>
      <c r="J128" s="9">
        <v>314.15899999999999</v>
      </c>
      <c r="K128" s="9">
        <v>0.34150000000000003</v>
      </c>
      <c r="L128" s="9">
        <v>5</v>
      </c>
      <c r="M128" s="14">
        <v>919.93850658857968</v>
      </c>
      <c r="N128" s="9">
        <v>1420</v>
      </c>
      <c r="O128" s="12" t="s">
        <v>98</v>
      </c>
      <c r="P128" s="12" t="s">
        <v>82</v>
      </c>
      <c r="Q128" s="9" t="s">
        <v>95</v>
      </c>
      <c r="R128" s="9" t="s">
        <v>99</v>
      </c>
      <c r="S128" s="9"/>
      <c r="T128" s="18">
        <v>1</v>
      </c>
      <c r="U128" s="18">
        <v>2</v>
      </c>
      <c r="V128" s="9">
        <v>1.9</v>
      </c>
      <c r="Y128" s="9">
        <f t="shared" si="1"/>
        <v>919.93850658857968</v>
      </c>
      <c r="Z128" s="19" t="s">
        <v>97</v>
      </c>
      <c r="AA128" s="8" t="s">
        <v>164</v>
      </c>
      <c r="AB128" s="8" t="s">
        <v>75</v>
      </c>
      <c r="AC128" s="11" t="s">
        <v>160</v>
      </c>
      <c r="AD128" s="9" t="s">
        <v>85</v>
      </c>
      <c r="AE128" s="14">
        <v>3.5913609683333325</v>
      </c>
      <c r="AF128" s="13"/>
      <c r="AO128" s="35" t="s">
        <v>78</v>
      </c>
      <c r="AP128" s="31">
        <v>1.9</v>
      </c>
      <c r="AQ128" s="31">
        <v>1.9</v>
      </c>
      <c r="AR128" s="31">
        <v>1.9</v>
      </c>
    </row>
    <row r="129" spans="1:67" x14ac:dyDescent="0.2">
      <c r="A129" s="5" t="s">
        <v>67</v>
      </c>
      <c r="B129" s="25">
        <v>43319</v>
      </c>
      <c r="C129" s="26">
        <v>0.66319444444444398</v>
      </c>
      <c r="D129" s="5" t="s">
        <v>165</v>
      </c>
      <c r="E129" s="5">
        <v>3</v>
      </c>
      <c r="F129" s="32">
        <v>62</v>
      </c>
      <c r="G129" s="9">
        <v>2</v>
      </c>
      <c r="H129" s="6">
        <v>3.2258064516129031E-2</v>
      </c>
      <c r="I129" s="7">
        <v>6.83E-2</v>
      </c>
      <c r="J129" s="9">
        <v>314.15899999999999</v>
      </c>
      <c r="K129" s="9">
        <v>0.47809999999999997</v>
      </c>
      <c r="L129" s="9">
        <v>7</v>
      </c>
      <c r="M129" s="14">
        <v>328.54946663877848</v>
      </c>
      <c r="N129" s="9">
        <v>46</v>
      </c>
      <c r="O129" s="12" t="s">
        <v>109</v>
      </c>
      <c r="P129" s="8" t="s">
        <v>70</v>
      </c>
      <c r="Q129" s="9" t="s">
        <v>110</v>
      </c>
      <c r="R129" s="9" t="s">
        <v>84</v>
      </c>
      <c r="S129" s="9"/>
      <c r="T129" s="18">
        <v>1</v>
      </c>
      <c r="U129" s="18">
        <v>1</v>
      </c>
      <c r="V129" s="9">
        <v>11.1</v>
      </c>
      <c r="Y129" s="9">
        <f t="shared" si="1"/>
        <v>328.54946663877848</v>
      </c>
      <c r="Z129" s="19" t="s">
        <v>73</v>
      </c>
      <c r="AA129" s="8" t="s">
        <v>166</v>
      </c>
      <c r="AB129" s="8" t="s">
        <v>75</v>
      </c>
      <c r="AC129" s="11" t="s">
        <v>76</v>
      </c>
      <c r="AD129" s="9" t="s">
        <v>77</v>
      </c>
      <c r="AE129" s="14">
        <v>119.34821870249999</v>
      </c>
      <c r="AF129" s="13"/>
      <c r="AO129" s="34" t="s">
        <v>78</v>
      </c>
      <c r="AP129" s="31">
        <v>11.1</v>
      </c>
      <c r="AQ129" s="31">
        <v>11.1</v>
      </c>
    </row>
    <row r="130" spans="1:67" x14ac:dyDescent="0.2">
      <c r="A130" s="5"/>
      <c r="B130" s="25"/>
      <c r="C130" s="26"/>
      <c r="D130" s="5"/>
      <c r="E130" s="5"/>
      <c r="F130" s="32"/>
      <c r="G130" s="9"/>
      <c r="H130" s="6"/>
      <c r="I130" s="7"/>
      <c r="J130" s="9"/>
      <c r="N130" s="9"/>
      <c r="O130" s="12"/>
      <c r="S130" s="9"/>
      <c r="T130" s="18"/>
      <c r="U130" s="18"/>
      <c r="Y130" s="9" t="e">
        <f t="shared" si="1"/>
        <v>#DIV/0!</v>
      </c>
      <c r="Z130" s="19"/>
      <c r="AC130" s="11"/>
      <c r="AD130" s="9"/>
      <c r="AE130" s="14"/>
      <c r="AF130" s="13"/>
      <c r="AO130" s="34" t="s">
        <v>79</v>
      </c>
      <c r="AP130" s="31">
        <v>3.7</v>
      </c>
      <c r="AQ130" s="31">
        <v>3.7</v>
      </c>
    </row>
    <row r="131" spans="1:67" x14ac:dyDescent="0.2">
      <c r="A131" s="5"/>
      <c r="B131" s="25"/>
      <c r="C131" s="26"/>
      <c r="D131" s="5"/>
      <c r="E131" s="5"/>
      <c r="F131" s="32"/>
      <c r="G131" s="9"/>
      <c r="H131" s="6"/>
      <c r="I131" s="7"/>
      <c r="J131" s="9"/>
      <c r="N131" s="9"/>
      <c r="O131" s="12"/>
      <c r="S131" s="9"/>
      <c r="T131" s="18"/>
      <c r="U131" s="18"/>
      <c r="Y131" s="9" t="e">
        <f t="shared" ref="Y131:Y194" si="2">(T131*J131)/(G131*I131*L131)</f>
        <v>#DIV/0!</v>
      </c>
      <c r="Z131" s="19"/>
      <c r="AC131" s="11"/>
      <c r="AD131" s="9"/>
      <c r="AE131" s="14"/>
      <c r="AF131" s="13"/>
      <c r="AO131" s="34" t="s">
        <v>80</v>
      </c>
      <c r="AP131" s="31">
        <v>3.7</v>
      </c>
      <c r="AQ131" s="31">
        <v>3.7</v>
      </c>
    </row>
    <row r="132" spans="1:67" x14ac:dyDescent="0.2">
      <c r="A132" s="5" t="s">
        <v>67</v>
      </c>
      <c r="B132" s="25">
        <v>43319</v>
      </c>
      <c r="C132" s="26">
        <v>0.66319444444444398</v>
      </c>
      <c r="D132" s="5" t="s">
        <v>165</v>
      </c>
      <c r="E132" s="5">
        <v>3</v>
      </c>
      <c r="F132" s="32">
        <v>62</v>
      </c>
      <c r="G132" s="9">
        <v>2</v>
      </c>
      <c r="H132" s="6">
        <v>3.2258064516129031E-2</v>
      </c>
      <c r="I132" s="7">
        <v>6.83E-2</v>
      </c>
      <c r="J132" s="9">
        <v>314.15899999999999</v>
      </c>
      <c r="K132" s="9">
        <v>0.47809999999999997</v>
      </c>
      <c r="L132" s="9">
        <v>7</v>
      </c>
      <c r="M132" s="14">
        <v>328.54946663877848</v>
      </c>
      <c r="N132" s="9">
        <v>145</v>
      </c>
      <c r="O132" s="12" t="s">
        <v>69</v>
      </c>
      <c r="P132" s="8" t="s">
        <v>70</v>
      </c>
      <c r="Q132" s="9" t="s">
        <v>71</v>
      </c>
      <c r="R132" s="9" t="s">
        <v>72</v>
      </c>
      <c r="S132" s="9"/>
      <c r="T132" s="18">
        <v>1</v>
      </c>
      <c r="U132" s="18">
        <v>1</v>
      </c>
      <c r="V132" s="9">
        <v>16.7</v>
      </c>
      <c r="Y132" s="9">
        <f t="shared" si="2"/>
        <v>328.54946663877848</v>
      </c>
      <c r="Z132" s="19" t="s">
        <v>73</v>
      </c>
      <c r="AA132" s="8" t="s">
        <v>166</v>
      </c>
      <c r="AB132" s="8" t="s">
        <v>75</v>
      </c>
      <c r="AC132" s="11" t="s">
        <v>76</v>
      </c>
      <c r="AD132" s="9" t="s">
        <v>77</v>
      </c>
      <c r="AE132" s="14">
        <v>407.64957680999993</v>
      </c>
      <c r="AF132" s="13"/>
      <c r="AO132" s="34" t="s">
        <v>78</v>
      </c>
      <c r="AP132" s="31">
        <v>16.7</v>
      </c>
      <c r="AQ132" s="31">
        <v>16.7</v>
      </c>
    </row>
    <row r="133" spans="1:67" x14ac:dyDescent="0.2">
      <c r="A133" s="5"/>
      <c r="B133" s="25"/>
      <c r="C133" s="26"/>
      <c r="D133" s="5"/>
      <c r="E133" s="5"/>
      <c r="F133" s="32"/>
      <c r="G133" s="9"/>
      <c r="H133" s="6"/>
      <c r="I133" s="7"/>
      <c r="J133" s="9"/>
      <c r="N133" s="9"/>
      <c r="O133" s="12"/>
      <c r="S133" s="9"/>
      <c r="T133" s="18"/>
      <c r="U133" s="18"/>
      <c r="Y133" s="9" t="e">
        <f t="shared" si="2"/>
        <v>#DIV/0!</v>
      </c>
      <c r="Z133" s="19"/>
      <c r="AC133" s="11"/>
      <c r="AD133" s="9"/>
      <c r="AE133" s="14"/>
      <c r="AF133" s="13"/>
      <c r="AO133" s="34" t="s">
        <v>79</v>
      </c>
      <c r="AP133" s="31">
        <v>11.1</v>
      </c>
      <c r="AQ133" s="31">
        <v>11.1</v>
      </c>
    </row>
    <row r="134" spans="1:67" x14ac:dyDescent="0.2">
      <c r="A134" s="5"/>
      <c r="B134" s="25"/>
      <c r="C134" s="26"/>
      <c r="D134" s="5"/>
      <c r="E134" s="5"/>
      <c r="F134" s="32"/>
      <c r="G134" s="9"/>
      <c r="H134" s="6"/>
      <c r="I134" s="7"/>
      <c r="J134" s="9"/>
      <c r="N134" s="9"/>
      <c r="O134" s="12"/>
      <c r="S134" s="9"/>
      <c r="T134" s="18"/>
      <c r="U134" s="18"/>
      <c r="Y134" s="9" t="e">
        <f t="shared" si="2"/>
        <v>#DIV/0!</v>
      </c>
      <c r="Z134" s="19"/>
      <c r="AC134" s="11"/>
      <c r="AD134" s="9"/>
      <c r="AE134" s="14"/>
      <c r="AF134" s="13"/>
      <c r="AO134" s="34" t="s">
        <v>80</v>
      </c>
      <c r="AP134" s="31">
        <v>2.8</v>
      </c>
      <c r="AQ134" s="31">
        <v>2.8</v>
      </c>
    </row>
    <row r="135" spans="1:67" x14ac:dyDescent="0.2">
      <c r="A135" s="5" t="s">
        <v>67</v>
      </c>
      <c r="B135" s="25">
        <v>43319</v>
      </c>
      <c r="C135" s="26">
        <v>0.66319444444444398</v>
      </c>
      <c r="D135" s="5" t="s">
        <v>165</v>
      </c>
      <c r="E135" s="5">
        <v>3</v>
      </c>
      <c r="F135" s="32">
        <v>62</v>
      </c>
      <c r="G135" s="9">
        <v>2</v>
      </c>
      <c r="H135" s="6">
        <v>3.2258064516129031E-2</v>
      </c>
      <c r="I135" s="7">
        <v>6.83E-2</v>
      </c>
      <c r="J135" s="9">
        <v>314.15899999999999</v>
      </c>
      <c r="K135" s="9">
        <v>0.47809999999999997</v>
      </c>
      <c r="L135" s="9">
        <v>7</v>
      </c>
      <c r="M135" s="14">
        <v>328.54946663877848</v>
      </c>
      <c r="N135" s="9">
        <v>1005</v>
      </c>
      <c r="O135" s="12" t="s">
        <v>167</v>
      </c>
      <c r="P135" s="8" t="s">
        <v>70</v>
      </c>
      <c r="Q135" s="9" t="s">
        <v>168</v>
      </c>
      <c r="R135" s="9" t="s">
        <v>84</v>
      </c>
      <c r="S135" s="9"/>
      <c r="T135" s="18">
        <v>1</v>
      </c>
      <c r="U135" s="18">
        <v>1</v>
      </c>
      <c r="V135" s="9">
        <v>64.8</v>
      </c>
      <c r="Y135" s="9">
        <f t="shared" si="2"/>
        <v>328.54946663877848</v>
      </c>
      <c r="Z135" s="19" t="s">
        <v>73</v>
      </c>
      <c r="AA135" s="8" t="s">
        <v>166</v>
      </c>
      <c r="AB135" s="8" t="s">
        <v>75</v>
      </c>
      <c r="AC135" s="11" t="s">
        <v>169</v>
      </c>
      <c r="AD135" s="9" t="s">
        <v>77</v>
      </c>
      <c r="AE135" s="14">
        <v>1393.47109404</v>
      </c>
      <c r="AF135" s="13"/>
      <c r="AO135" s="34" t="s">
        <v>78</v>
      </c>
      <c r="AP135" s="31">
        <v>64.8</v>
      </c>
      <c r="AQ135" s="31">
        <v>64.8</v>
      </c>
    </row>
    <row r="136" spans="1:67" x14ac:dyDescent="0.2">
      <c r="A136" s="5"/>
      <c r="B136" s="25"/>
      <c r="C136" s="26"/>
      <c r="D136" s="5"/>
      <c r="E136" s="5"/>
      <c r="F136" s="32"/>
      <c r="G136" s="9"/>
      <c r="H136" s="6"/>
      <c r="I136" s="7"/>
      <c r="J136" s="9"/>
      <c r="N136" s="9"/>
      <c r="O136" s="12"/>
      <c r="S136" s="9"/>
      <c r="T136" s="18"/>
      <c r="U136" s="18"/>
      <c r="Y136" s="9" t="e">
        <f t="shared" si="2"/>
        <v>#DIV/0!</v>
      </c>
      <c r="Z136" s="19"/>
      <c r="AC136" s="11"/>
      <c r="AD136" s="9"/>
      <c r="AE136" s="14"/>
      <c r="AF136" s="13"/>
      <c r="AO136" s="34" t="s">
        <v>79</v>
      </c>
      <c r="AP136" s="31">
        <v>7.4</v>
      </c>
      <c r="AQ136" s="31">
        <v>7.4</v>
      </c>
    </row>
    <row r="137" spans="1:67" x14ac:dyDescent="0.2">
      <c r="A137" s="5"/>
      <c r="B137" s="25"/>
      <c r="C137" s="26"/>
      <c r="D137" s="5"/>
      <c r="E137" s="5"/>
      <c r="F137" s="32"/>
      <c r="G137" s="9"/>
      <c r="H137" s="6"/>
      <c r="I137" s="7"/>
      <c r="J137" s="9"/>
      <c r="N137" s="9"/>
      <c r="O137" s="12"/>
      <c r="S137" s="9"/>
      <c r="T137" s="18"/>
      <c r="U137" s="18"/>
      <c r="Y137" s="9" t="e">
        <f t="shared" si="2"/>
        <v>#DIV/0!</v>
      </c>
      <c r="Z137" s="19"/>
      <c r="AC137" s="11"/>
      <c r="AD137" s="9"/>
      <c r="AE137" s="14"/>
      <c r="AF137" s="13"/>
      <c r="AO137" s="34" t="s">
        <v>80</v>
      </c>
      <c r="AP137" s="31">
        <v>3.7</v>
      </c>
      <c r="AQ137" s="31">
        <v>3.7</v>
      </c>
    </row>
    <row r="138" spans="1:67" x14ac:dyDescent="0.2">
      <c r="A138" s="5" t="s">
        <v>67</v>
      </c>
      <c r="B138" s="25">
        <v>43319</v>
      </c>
      <c r="C138" s="26">
        <v>0.66319444444444398</v>
      </c>
      <c r="D138" s="5" t="s">
        <v>165</v>
      </c>
      <c r="E138" s="5">
        <v>3</v>
      </c>
      <c r="F138" s="32">
        <v>62</v>
      </c>
      <c r="G138" s="9">
        <v>2</v>
      </c>
      <c r="H138" s="6">
        <v>3.2258064516129031E-2</v>
      </c>
      <c r="I138" s="7">
        <v>6.83E-2</v>
      </c>
      <c r="J138" s="9">
        <v>314.15899999999999</v>
      </c>
      <c r="K138" s="9">
        <v>0.47809999999999997</v>
      </c>
      <c r="L138" s="9">
        <v>7</v>
      </c>
      <c r="M138" s="14">
        <v>328.54946663877848</v>
      </c>
      <c r="N138" s="9">
        <v>1031</v>
      </c>
      <c r="O138" s="12" t="s">
        <v>81</v>
      </c>
      <c r="P138" s="12" t="s">
        <v>82</v>
      </c>
      <c r="Q138" s="9" t="s">
        <v>83</v>
      </c>
      <c r="R138" s="9" t="s">
        <v>84</v>
      </c>
      <c r="S138" s="9"/>
      <c r="T138" s="18">
        <v>1</v>
      </c>
      <c r="U138" s="18">
        <v>1</v>
      </c>
      <c r="V138" s="9">
        <v>3.7</v>
      </c>
      <c r="Y138" s="9">
        <f t="shared" si="2"/>
        <v>328.54946663877848</v>
      </c>
      <c r="Z138" s="19" t="s">
        <v>73</v>
      </c>
      <c r="AA138" s="8" t="s">
        <v>166</v>
      </c>
      <c r="AB138" s="8" t="s">
        <v>75</v>
      </c>
      <c r="AC138" s="11" t="s">
        <v>76</v>
      </c>
      <c r="AD138" s="9" t="s">
        <v>85</v>
      </c>
      <c r="AE138" s="14">
        <v>20.070571313333332</v>
      </c>
      <c r="AF138" s="13"/>
      <c r="AO138" s="34" t="s">
        <v>78</v>
      </c>
      <c r="AP138" s="31">
        <v>3.7</v>
      </c>
      <c r="AQ138" s="31">
        <v>3.7</v>
      </c>
    </row>
    <row r="139" spans="1:67" x14ac:dyDescent="0.2">
      <c r="A139" s="5"/>
      <c r="B139" s="25"/>
      <c r="C139" s="26"/>
      <c r="D139" s="5"/>
      <c r="E139" s="5"/>
      <c r="F139" s="32"/>
      <c r="G139" s="9"/>
      <c r="H139" s="6"/>
      <c r="I139" s="7"/>
      <c r="J139" s="9"/>
      <c r="N139" s="9"/>
      <c r="O139" s="12"/>
      <c r="P139" s="12"/>
      <c r="S139" s="9"/>
      <c r="T139" s="18"/>
      <c r="U139" s="18"/>
      <c r="Y139" s="9" t="e">
        <f t="shared" si="2"/>
        <v>#DIV/0!</v>
      </c>
      <c r="Z139" s="19"/>
      <c r="AC139" s="11"/>
      <c r="AD139" s="9"/>
      <c r="AE139" s="14"/>
      <c r="AF139" s="13"/>
      <c r="AO139" s="34" t="s">
        <v>79</v>
      </c>
      <c r="AP139" s="31">
        <v>3.7</v>
      </c>
      <c r="AQ139" s="31">
        <v>3.7</v>
      </c>
    </row>
    <row r="140" spans="1:67" x14ac:dyDescent="0.2">
      <c r="A140" s="5"/>
      <c r="B140" s="25"/>
      <c r="C140" s="26"/>
      <c r="D140" s="5"/>
      <c r="E140" s="5"/>
      <c r="F140" s="32"/>
      <c r="G140" s="9"/>
      <c r="H140" s="6"/>
      <c r="I140" s="7"/>
      <c r="J140" s="9"/>
      <c r="N140" s="9"/>
      <c r="O140" s="12"/>
      <c r="P140" s="12"/>
      <c r="S140" s="9"/>
      <c r="T140" s="18"/>
      <c r="U140" s="18"/>
      <c r="Y140" s="9" t="e">
        <f t="shared" si="2"/>
        <v>#DIV/0!</v>
      </c>
      <c r="Z140" s="19"/>
      <c r="AC140" s="11"/>
      <c r="AD140" s="9"/>
      <c r="AE140" s="14"/>
      <c r="AF140" s="13"/>
      <c r="AO140" s="34" t="s">
        <v>80</v>
      </c>
      <c r="AP140" s="31">
        <v>2.8</v>
      </c>
      <c r="AQ140" s="31">
        <v>2.8</v>
      </c>
    </row>
    <row r="141" spans="1:67" x14ac:dyDescent="0.2">
      <c r="A141" s="5" t="s">
        <v>67</v>
      </c>
      <c r="B141" s="25">
        <v>43319</v>
      </c>
      <c r="C141" s="26">
        <v>0.66319444444444398</v>
      </c>
      <c r="D141" s="5" t="s">
        <v>165</v>
      </c>
      <c r="E141" s="5">
        <v>3</v>
      </c>
      <c r="F141" s="32">
        <v>62</v>
      </c>
      <c r="G141" s="9">
        <v>2</v>
      </c>
      <c r="H141" s="6">
        <v>3.2258064516129031E-2</v>
      </c>
      <c r="I141" s="7">
        <v>6.83E-2</v>
      </c>
      <c r="J141" s="9">
        <v>314.15899999999999</v>
      </c>
      <c r="K141" s="9">
        <v>0.47809999999999997</v>
      </c>
      <c r="L141" s="9">
        <v>7</v>
      </c>
      <c r="M141" s="14">
        <v>328.54946663877848</v>
      </c>
      <c r="N141" s="9">
        <v>1037</v>
      </c>
      <c r="O141" s="12" t="s">
        <v>86</v>
      </c>
      <c r="P141" s="12" t="s">
        <v>82</v>
      </c>
      <c r="Q141" s="9" t="s">
        <v>87</v>
      </c>
      <c r="R141" s="9" t="s">
        <v>84</v>
      </c>
      <c r="S141" s="9"/>
      <c r="T141" s="18">
        <v>15</v>
      </c>
      <c r="U141" s="18">
        <v>15</v>
      </c>
      <c r="V141" s="9">
        <v>2.8</v>
      </c>
      <c r="Y141" s="9">
        <f t="shared" si="2"/>
        <v>4928.2419995816781</v>
      </c>
      <c r="Z141" s="19" t="s">
        <v>73</v>
      </c>
      <c r="AA141" s="8" t="s">
        <v>166</v>
      </c>
      <c r="AB141" s="8" t="s">
        <v>75</v>
      </c>
      <c r="AC141" s="11" t="s">
        <v>76</v>
      </c>
      <c r="AD141" s="9" t="s">
        <v>85</v>
      </c>
      <c r="AE141" s="14">
        <v>7.2382233599999992</v>
      </c>
      <c r="AF141" s="13"/>
      <c r="AO141" s="34" t="s">
        <v>78</v>
      </c>
      <c r="AP141" s="31">
        <v>2.44</v>
      </c>
      <c r="AQ141" s="31">
        <v>2.8</v>
      </c>
      <c r="AR141" s="31">
        <v>2.8</v>
      </c>
      <c r="AS141" s="31">
        <v>1.9</v>
      </c>
      <c r="AT141" s="31">
        <v>1.9</v>
      </c>
      <c r="AU141" s="31">
        <v>2.8</v>
      </c>
    </row>
    <row r="142" spans="1:67" x14ac:dyDescent="0.2">
      <c r="A142" s="5" t="s">
        <v>67</v>
      </c>
      <c r="B142" s="25">
        <v>43319</v>
      </c>
      <c r="C142" s="26">
        <v>0.66319444444444398</v>
      </c>
      <c r="D142" s="5" t="s">
        <v>165</v>
      </c>
      <c r="E142" s="5">
        <v>3</v>
      </c>
      <c r="F142" s="32">
        <v>62</v>
      </c>
      <c r="G142" s="9">
        <v>2</v>
      </c>
      <c r="H142" s="6">
        <v>3.2258064516129031E-2</v>
      </c>
      <c r="I142" s="7">
        <v>6.83E-2</v>
      </c>
      <c r="J142" s="9">
        <v>314.15899999999999</v>
      </c>
      <c r="K142" s="9">
        <v>0.47809999999999997</v>
      </c>
      <c r="L142" s="9">
        <v>7</v>
      </c>
      <c r="M142" s="14">
        <v>328.54946663877848</v>
      </c>
      <c r="N142" s="9">
        <v>1733</v>
      </c>
      <c r="O142" s="12" t="s">
        <v>92</v>
      </c>
      <c r="P142" s="12" t="s">
        <v>82</v>
      </c>
      <c r="Q142" s="9" t="s">
        <v>89</v>
      </c>
      <c r="R142" s="9" t="s">
        <v>93</v>
      </c>
      <c r="S142" s="9"/>
      <c r="T142" s="18">
        <v>2</v>
      </c>
      <c r="U142" s="18">
        <v>2</v>
      </c>
      <c r="V142" s="9">
        <v>7.4</v>
      </c>
      <c r="Y142" s="9">
        <f t="shared" si="2"/>
        <v>657.09893327755697</v>
      </c>
      <c r="Z142" s="19" t="s">
        <v>73</v>
      </c>
      <c r="AA142" s="8" t="s">
        <v>166</v>
      </c>
      <c r="AB142" s="8" t="s">
        <v>75</v>
      </c>
      <c r="AC142" s="11" t="s">
        <v>76</v>
      </c>
      <c r="AD142" s="9" t="s">
        <v>91</v>
      </c>
      <c r="AE142" s="14">
        <v>159.13095827000001</v>
      </c>
      <c r="AF142" s="13"/>
      <c r="AO142" s="34" t="s">
        <v>78</v>
      </c>
      <c r="AP142" s="31">
        <v>7.4</v>
      </c>
      <c r="AQ142" s="31">
        <v>7.4</v>
      </c>
      <c r="AR142" s="31">
        <v>7.4</v>
      </c>
    </row>
    <row r="143" spans="1:67" x14ac:dyDescent="0.2">
      <c r="A143" s="5"/>
      <c r="B143" s="25"/>
      <c r="C143" s="26"/>
      <c r="D143" s="5"/>
      <c r="E143" s="5"/>
      <c r="F143" s="32"/>
      <c r="G143" s="9"/>
      <c r="H143" s="6"/>
      <c r="I143" s="7"/>
      <c r="J143" s="9"/>
      <c r="N143" s="9"/>
      <c r="O143" s="12"/>
      <c r="P143" s="12"/>
      <c r="S143" s="9"/>
      <c r="T143" s="18"/>
      <c r="U143" s="18"/>
      <c r="Y143" s="9" t="e">
        <f t="shared" si="2"/>
        <v>#DIV/0!</v>
      </c>
      <c r="Z143" s="19"/>
      <c r="AC143" s="11"/>
      <c r="AD143" s="9"/>
      <c r="AE143" s="14"/>
      <c r="AF143" s="13"/>
      <c r="AO143" s="34" t="s">
        <v>79</v>
      </c>
      <c r="AP143" s="31">
        <v>3.7</v>
      </c>
      <c r="AQ143" s="31">
        <v>3.7</v>
      </c>
      <c r="AR143" s="31">
        <v>3.7</v>
      </c>
    </row>
    <row r="144" spans="1:67" x14ac:dyDescent="0.2">
      <c r="A144" s="5" t="s">
        <v>67</v>
      </c>
      <c r="B144" s="25">
        <v>43319</v>
      </c>
      <c r="C144" s="26">
        <v>0.66319444444444398</v>
      </c>
      <c r="D144" s="5" t="s">
        <v>165</v>
      </c>
      <c r="E144" s="5">
        <v>3</v>
      </c>
      <c r="F144" s="32">
        <v>62</v>
      </c>
      <c r="G144" s="9">
        <v>2</v>
      </c>
      <c r="H144" s="6">
        <v>3.2258064516129031E-2</v>
      </c>
      <c r="I144" s="7">
        <v>6.83E-2</v>
      </c>
      <c r="J144" s="9">
        <v>314.15899999999999</v>
      </c>
      <c r="K144" s="9">
        <v>0.47809999999999997</v>
      </c>
      <c r="L144" s="9">
        <v>7</v>
      </c>
      <c r="M144" s="14">
        <v>328.54946663877848</v>
      </c>
      <c r="N144" s="9">
        <v>1419</v>
      </c>
      <c r="O144" s="12" t="s">
        <v>94</v>
      </c>
      <c r="P144" s="12" t="s">
        <v>82</v>
      </c>
      <c r="Q144" s="9" t="s">
        <v>95</v>
      </c>
      <c r="R144" s="9" t="s">
        <v>96</v>
      </c>
      <c r="S144" s="9"/>
      <c r="T144" s="18">
        <v>393</v>
      </c>
      <c r="U144" s="18">
        <v>786</v>
      </c>
      <c r="V144" s="9">
        <v>0.8</v>
      </c>
      <c r="W144" s="9">
        <v>0.8</v>
      </c>
      <c r="X144" s="9">
        <v>0.8</v>
      </c>
      <c r="Y144" s="9">
        <f t="shared" si="2"/>
        <v>129119.94038903996</v>
      </c>
      <c r="Z144" s="19" t="s">
        <v>97</v>
      </c>
      <c r="AA144" s="8" t="s">
        <v>166</v>
      </c>
      <c r="AB144" s="8" t="s">
        <v>75</v>
      </c>
      <c r="AC144" s="11" t="s">
        <v>76</v>
      </c>
      <c r="AD144" s="9" t="s">
        <v>85</v>
      </c>
      <c r="AE144" s="14">
        <v>0.18</v>
      </c>
      <c r="AF144" s="14">
        <v>0.18</v>
      </c>
      <c r="AG144" s="14">
        <v>0.18</v>
      </c>
      <c r="AH144" s="14">
        <v>0.18</v>
      </c>
      <c r="AI144" s="14">
        <v>0.18</v>
      </c>
      <c r="AJ144" s="14">
        <v>0.18</v>
      </c>
      <c r="AK144" s="14">
        <v>0.18</v>
      </c>
      <c r="AL144" s="14">
        <v>0.18</v>
      </c>
      <c r="AM144" s="14">
        <v>0.18</v>
      </c>
      <c r="AN144" s="14">
        <v>0.18</v>
      </c>
      <c r="AO144" s="35" t="s">
        <v>78</v>
      </c>
      <c r="AP144" s="31">
        <v>0.75200000000000033</v>
      </c>
      <c r="AQ144" s="31">
        <v>0.7</v>
      </c>
      <c r="AR144" s="31">
        <v>0.7</v>
      </c>
      <c r="AS144" s="31">
        <v>0.7</v>
      </c>
      <c r="AT144" s="31">
        <v>0.7</v>
      </c>
      <c r="AU144" s="31">
        <v>0.7</v>
      </c>
      <c r="AV144" s="31">
        <v>0.7</v>
      </c>
      <c r="AW144" s="31">
        <v>0.7</v>
      </c>
      <c r="AX144" s="31">
        <v>0.7</v>
      </c>
      <c r="AY144" s="31">
        <v>0.7</v>
      </c>
      <c r="AZ144" s="31">
        <v>0.7</v>
      </c>
      <c r="BA144" s="31">
        <v>0.7</v>
      </c>
      <c r="BB144" s="31">
        <v>0.7</v>
      </c>
      <c r="BC144" s="31">
        <v>0.8</v>
      </c>
      <c r="BD144" s="31">
        <v>0.8</v>
      </c>
      <c r="BE144" s="31">
        <v>0.8</v>
      </c>
      <c r="BF144" s="31">
        <v>0.8</v>
      </c>
      <c r="BG144" s="31">
        <v>0.8</v>
      </c>
      <c r="BH144" s="31">
        <v>0.8</v>
      </c>
      <c r="BI144" s="31">
        <v>0.8</v>
      </c>
      <c r="BJ144" s="31">
        <v>0.8</v>
      </c>
      <c r="BK144" s="31">
        <v>0.8</v>
      </c>
      <c r="BL144" s="31">
        <v>0.8</v>
      </c>
      <c r="BM144" s="31">
        <v>0.8</v>
      </c>
      <c r="BN144" s="31">
        <v>0.8</v>
      </c>
      <c r="BO144" s="31">
        <v>0.8</v>
      </c>
    </row>
    <row r="145" spans="1:67" x14ac:dyDescent="0.2">
      <c r="A145" s="5" t="s">
        <v>67</v>
      </c>
      <c r="B145" s="25">
        <v>43319</v>
      </c>
      <c r="C145" s="26">
        <v>0.66319444444444398</v>
      </c>
      <c r="D145" s="5" t="s">
        <v>165</v>
      </c>
      <c r="E145" s="5">
        <v>3</v>
      </c>
      <c r="F145" s="32">
        <v>62</v>
      </c>
      <c r="G145" s="9">
        <v>2</v>
      </c>
      <c r="H145" s="6">
        <v>3.2258064516129031E-2</v>
      </c>
      <c r="I145" s="7">
        <v>6.83E-2</v>
      </c>
      <c r="J145" s="9">
        <v>314.15899999999999</v>
      </c>
      <c r="K145" s="9">
        <v>0.47809999999999997</v>
      </c>
      <c r="L145" s="9">
        <v>7</v>
      </c>
      <c r="M145" s="14">
        <v>328.54946663877848</v>
      </c>
      <c r="N145" s="9">
        <v>1423</v>
      </c>
      <c r="O145" s="12" t="s">
        <v>163</v>
      </c>
      <c r="P145" s="12" t="s">
        <v>82</v>
      </c>
      <c r="Q145" s="9" t="s">
        <v>95</v>
      </c>
      <c r="R145" s="9" t="s">
        <v>84</v>
      </c>
      <c r="S145" s="9"/>
      <c r="T145" s="18">
        <v>1</v>
      </c>
      <c r="U145" s="18">
        <v>4</v>
      </c>
      <c r="V145" s="9">
        <v>2.8</v>
      </c>
      <c r="Y145" s="9">
        <f t="shared" si="2"/>
        <v>328.54946663877848</v>
      </c>
      <c r="Z145" s="19" t="s">
        <v>97</v>
      </c>
      <c r="AA145" s="8" t="s">
        <v>166</v>
      </c>
      <c r="AB145" s="8" t="s">
        <v>75</v>
      </c>
      <c r="AC145" s="11" t="s">
        <v>76</v>
      </c>
      <c r="AD145" s="9" t="s">
        <v>85</v>
      </c>
      <c r="AE145" s="14">
        <v>11.494030613333329</v>
      </c>
      <c r="AF145" s="13"/>
      <c r="AO145" s="34" t="s">
        <v>78</v>
      </c>
      <c r="AP145" s="31">
        <v>2.8</v>
      </c>
      <c r="AQ145" s="31">
        <v>2.8</v>
      </c>
      <c r="AR145" s="31">
        <v>2.8</v>
      </c>
      <c r="AS145" s="31">
        <v>2.8</v>
      </c>
      <c r="AT145" s="31">
        <v>2.8</v>
      </c>
    </row>
    <row r="146" spans="1:67" x14ac:dyDescent="0.2">
      <c r="A146" s="5" t="s">
        <v>67</v>
      </c>
      <c r="B146" s="25">
        <v>43319</v>
      </c>
      <c r="C146" s="26">
        <v>0.72222222222222199</v>
      </c>
      <c r="D146" s="5" t="s">
        <v>170</v>
      </c>
      <c r="E146" s="5">
        <v>3</v>
      </c>
      <c r="F146" s="32">
        <v>57</v>
      </c>
      <c r="G146" s="9">
        <v>2</v>
      </c>
      <c r="H146" s="6">
        <v>3.5087719298245612E-2</v>
      </c>
      <c r="I146" s="7">
        <v>6.83E-2</v>
      </c>
      <c r="J146" s="9">
        <v>314.15899999999999</v>
      </c>
      <c r="K146" s="9">
        <v>0.5464</v>
      </c>
      <c r="L146" s="9">
        <v>8</v>
      </c>
      <c r="M146" s="14">
        <v>287.48078330893117</v>
      </c>
      <c r="N146" s="9">
        <v>190</v>
      </c>
      <c r="O146" s="12" t="s">
        <v>102</v>
      </c>
      <c r="P146" s="8" t="s">
        <v>70</v>
      </c>
      <c r="Q146" s="9" t="s">
        <v>103</v>
      </c>
      <c r="R146" s="9" t="s">
        <v>84</v>
      </c>
      <c r="S146" s="9"/>
      <c r="T146" s="18">
        <v>1</v>
      </c>
      <c r="U146" s="18">
        <v>1</v>
      </c>
      <c r="V146" s="9">
        <v>5.6</v>
      </c>
      <c r="Y146" s="9">
        <f t="shared" si="2"/>
        <v>287.48078330893117</v>
      </c>
      <c r="Z146" s="19" t="s">
        <v>73</v>
      </c>
      <c r="AA146" s="8" t="s">
        <v>171</v>
      </c>
      <c r="AB146" s="8" t="s">
        <v>75</v>
      </c>
      <c r="AC146" s="11" t="s">
        <v>160</v>
      </c>
      <c r="AD146" s="9" t="s">
        <v>104</v>
      </c>
      <c r="AE146" s="14">
        <v>91.131242719999989</v>
      </c>
      <c r="AF146" s="13"/>
      <c r="AO146" s="34" t="s">
        <v>78</v>
      </c>
      <c r="AP146" s="31">
        <v>3.7</v>
      </c>
      <c r="AQ146" s="31">
        <v>3.7</v>
      </c>
    </row>
    <row r="147" spans="1:67" x14ac:dyDescent="0.2">
      <c r="A147" s="5"/>
      <c r="B147" s="25"/>
      <c r="C147" s="26"/>
      <c r="D147" s="5"/>
      <c r="E147" s="5"/>
      <c r="F147" s="32"/>
      <c r="G147" s="9"/>
      <c r="H147" s="6"/>
      <c r="I147" s="7"/>
      <c r="J147" s="9"/>
      <c r="N147" s="9"/>
      <c r="O147" s="12"/>
      <c r="S147" s="9"/>
      <c r="T147" s="18"/>
      <c r="U147" s="18"/>
      <c r="Y147" s="9" t="e">
        <f t="shared" si="2"/>
        <v>#DIV/0!</v>
      </c>
      <c r="Z147" s="19"/>
      <c r="AC147" s="11"/>
      <c r="AD147" s="9"/>
      <c r="AE147" s="14"/>
      <c r="AF147" s="13"/>
      <c r="AO147" s="34" t="s">
        <v>79</v>
      </c>
      <c r="AP147" s="31">
        <v>5.6</v>
      </c>
      <c r="AQ147" s="31">
        <v>5.6</v>
      </c>
    </row>
    <row r="148" spans="1:67" x14ac:dyDescent="0.2">
      <c r="A148" s="5" t="s">
        <v>67</v>
      </c>
      <c r="B148" s="25">
        <v>43319</v>
      </c>
      <c r="C148" s="26">
        <v>0.72222222222222199</v>
      </c>
      <c r="D148" s="5" t="s">
        <v>170</v>
      </c>
      <c r="E148" s="5">
        <v>3</v>
      </c>
      <c r="F148" s="32">
        <v>57</v>
      </c>
      <c r="G148" s="9">
        <v>2</v>
      </c>
      <c r="H148" s="6">
        <v>3.5087719298245612E-2</v>
      </c>
      <c r="I148" s="7">
        <v>6.83E-2</v>
      </c>
      <c r="J148" s="9">
        <v>314.15899999999999</v>
      </c>
      <c r="K148" s="9">
        <v>0.5464</v>
      </c>
      <c r="L148" s="9">
        <v>8</v>
      </c>
      <c r="M148" s="14">
        <v>287.48078330893117</v>
      </c>
      <c r="N148" s="9">
        <v>1031</v>
      </c>
      <c r="O148" s="12" t="s">
        <v>172</v>
      </c>
      <c r="P148" s="12" t="s">
        <v>82</v>
      </c>
      <c r="Q148" s="9" t="s">
        <v>83</v>
      </c>
      <c r="R148" s="9" t="s">
        <v>84</v>
      </c>
      <c r="S148" s="9"/>
      <c r="T148" s="18">
        <v>1</v>
      </c>
      <c r="U148" s="18">
        <v>1</v>
      </c>
      <c r="V148" s="9">
        <v>4.5999999999999996</v>
      </c>
      <c r="Y148" s="9">
        <f t="shared" si="2"/>
        <v>287.48078330893117</v>
      </c>
      <c r="Z148" s="19" t="s">
        <v>73</v>
      </c>
      <c r="AA148" s="8" t="s">
        <v>171</v>
      </c>
      <c r="AB148" s="8" t="s">
        <v>75</v>
      </c>
      <c r="AC148" s="11" t="s">
        <v>160</v>
      </c>
      <c r="AD148" s="9" t="s">
        <v>85</v>
      </c>
      <c r="AE148" s="14">
        <v>40.993560713333324</v>
      </c>
      <c r="AF148" s="13"/>
      <c r="AO148" s="34" t="s">
        <v>78</v>
      </c>
      <c r="AP148" s="31">
        <v>4.5999999999999996</v>
      </c>
      <c r="AQ148" s="31">
        <v>4.5999999999999996</v>
      </c>
    </row>
    <row r="149" spans="1:67" x14ac:dyDescent="0.2">
      <c r="A149" s="5"/>
      <c r="B149" s="25"/>
      <c r="C149" s="26"/>
      <c r="D149" s="5"/>
      <c r="E149" s="5"/>
      <c r="F149" s="32"/>
      <c r="G149" s="9"/>
      <c r="H149" s="6"/>
      <c r="I149" s="7"/>
      <c r="J149" s="9"/>
      <c r="N149" s="9"/>
      <c r="O149" s="12"/>
      <c r="P149" s="12"/>
      <c r="S149" s="9"/>
      <c r="T149" s="18"/>
      <c r="U149" s="18"/>
      <c r="Y149" s="9" t="e">
        <f t="shared" si="2"/>
        <v>#DIV/0!</v>
      </c>
      <c r="Z149" s="19"/>
      <c r="AC149" s="11"/>
      <c r="AD149" s="9"/>
      <c r="AE149" s="14"/>
      <c r="AF149" s="13"/>
      <c r="AO149" s="34" t="s">
        <v>79</v>
      </c>
      <c r="AP149" s="31">
        <v>4.5999999999999996</v>
      </c>
      <c r="AQ149" s="31">
        <v>4.5999999999999996</v>
      </c>
    </row>
    <row r="150" spans="1:67" x14ac:dyDescent="0.2">
      <c r="A150" s="5"/>
      <c r="B150" s="25"/>
      <c r="C150" s="26"/>
      <c r="D150" s="5"/>
      <c r="E150" s="5"/>
      <c r="F150" s="32"/>
      <c r="G150" s="9"/>
      <c r="H150" s="6"/>
      <c r="I150" s="7"/>
      <c r="J150" s="9"/>
      <c r="N150" s="9"/>
      <c r="O150" s="12"/>
      <c r="P150" s="12"/>
      <c r="S150" s="9"/>
      <c r="T150" s="18"/>
      <c r="U150" s="18"/>
      <c r="Y150" s="9" t="e">
        <f t="shared" si="2"/>
        <v>#DIV/0!</v>
      </c>
      <c r="Z150" s="19"/>
      <c r="AC150" s="11"/>
      <c r="AD150" s="9"/>
      <c r="AE150" s="14"/>
      <c r="AF150" s="13"/>
      <c r="AO150" s="34" t="s">
        <v>80</v>
      </c>
      <c r="AP150" s="31">
        <v>3.7</v>
      </c>
      <c r="AQ150" s="31">
        <v>3.7</v>
      </c>
    </row>
    <row r="151" spans="1:67" x14ac:dyDescent="0.2">
      <c r="A151" s="5" t="s">
        <v>67</v>
      </c>
      <c r="B151" s="25">
        <v>43319</v>
      </c>
      <c r="C151" s="26">
        <v>0.72222222222222199</v>
      </c>
      <c r="D151" s="5" t="s">
        <v>170</v>
      </c>
      <c r="E151" s="5">
        <v>3</v>
      </c>
      <c r="F151" s="32">
        <v>57</v>
      </c>
      <c r="G151" s="9">
        <v>2</v>
      </c>
      <c r="H151" s="6">
        <v>3.5087719298245612E-2</v>
      </c>
      <c r="I151" s="7">
        <v>6.83E-2</v>
      </c>
      <c r="J151" s="9">
        <v>314.15899999999999</v>
      </c>
      <c r="K151" s="9">
        <v>0.5464</v>
      </c>
      <c r="L151" s="9">
        <v>8</v>
      </c>
      <c r="M151" s="14">
        <v>287.48078330893117</v>
      </c>
      <c r="N151" s="9">
        <v>1037</v>
      </c>
      <c r="O151" s="12" t="s">
        <v>86</v>
      </c>
      <c r="P151" s="12" t="s">
        <v>82</v>
      </c>
      <c r="Q151" s="9" t="s">
        <v>87</v>
      </c>
      <c r="R151" s="9" t="s">
        <v>84</v>
      </c>
      <c r="S151" s="9"/>
      <c r="T151" s="18">
        <v>21</v>
      </c>
      <c r="U151" s="18">
        <v>21</v>
      </c>
      <c r="V151" s="9">
        <v>3.7</v>
      </c>
      <c r="Y151" s="9">
        <f t="shared" si="2"/>
        <v>6037.0964494875552</v>
      </c>
      <c r="Z151" s="19" t="s">
        <v>73</v>
      </c>
      <c r="AA151" s="8" t="s">
        <v>171</v>
      </c>
      <c r="AB151" s="8" t="s">
        <v>75</v>
      </c>
      <c r="AC151" s="11" t="s">
        <v>160</v>
      </c>
      <c r="AD151" s="9" t="s">
        <v>85</v>
      </c>
      <c r="AE151" s="14">
        <v>11.494030613333329</v>
      </c>
      <c r="AF151" s="13"/>
      <c r="AO151" s="34" t="s">
        <v>78</v>
      </c>
      <c r="AP151" s="31">
        <v>2.8000000000000003</v>
      </c>
      <c r="AQ151" s="31">
        <v>3.7</v>
      </c>
      <c r="AR151" s="31">
        <v>2.8</v>
      </c>
      <c r="AS151" s="31">
        <v>2.8</v>
      </c>
      <c r="AT151" s="31">
        <v>2.8</v>
      </c>
      <c r="AU151" s="31">
        <v>1.9</v>
      </c>
    </row>
    <row r="152" spans="1:67" x14ac:dyDescent="0.2">
      <c r="A152" s="5" t="s">
        <v>67</v>
      </c>
      <c r="B152" s="25">
        <v>43319</v>
      </c>
      <c r="C152" s="26">
        <v>0.72222222222222199</v>
      </c>
      <c r="D152" s="5" t="s">
        <v>170</v>
      </c>
      <c r="E152" s="5">
        <v>3</v>
      </c>
      <c r="F152" s="32">
        <v>57</v>
      </c>
      <c r="G152" s="9">
        <v>2</v>
      </c>
      <c r="H152" s="6">
        <v>3.5087719298245612E-2</v>
      </c>
      <c r="I152" s="7">
        <v>6.83E-2</v>
      </c>
      <c r="J152" s="9">
        <v>314.15899999999999</v>
      </c>
      <c r="K152" s="9">
        <v>0.5464</v>
      </c>
      <c r="L152" s="9">
        <v>8</v>
      </c>
      <c r="M152" s="14">
        <v>287.48078330893117</v>
      </c>
      <c r="N152" s="9">
        <v>1364</v>
      </c>
      <c r="O152" s="12" t="s">
        <v>88</v>
      </c>
      <c r="P152" s="12" t="s">
        <v>82</v>
      </c>
      <c r="Q152" s="9" t="s">
        <v>89</v>
      </c>
      <c r="R152" s="9" t="s">
        <v>90</v>
      </c>
      <c r="S152" s="9"/>
      <c r="T152" s="18">
        <v>1</v>
      </c>
      <c r="U152" s="18">
        <v>1</v>
      </c>
      <c r="V152" s="9">
        <v>9.3000000000000007</v>
      </c>
      <c r="Y152" s="9">
        <f t="shared" si="2"/>
        <v>287.48078330893117</v>
      </c>
      <c r="Z152" s="19" t="s">
        <v>73</v>
      </c>
      <c r="AA152" s="8" t="s">
        <v>171</v>
      </c>
      <c r="AB152" s="8" t="s">
        <v>75</v>
      </c>
      <c r="AC152" s="11" t="s">
        <v>160</v>
      </c>
      <c r="AD152" s="9" t="s">
        <v>91</v>
      </c>
      <c r="AE152" s="14">
        <v>337.38084788249995</v>
      </c>
      <c r="AF152" s="13"/>
      <c r="AO152" s="34" t="s">
        <v>78</v>
      </c>
      <c r="AP152" s="31">
        <v>9.3000000000000007</v>
      </c>
      <c r="AQ152" s="31">
        <v>9.3000000000000007</v>
      </c>
    </row>
    <row r="153" spans="1:67" x14ac:dyDescent="0.2">
      <c r="A153" s="5"/>
      <c r="B153" s="25"/>
      <c r="C153" s="26"/>
      <c r="D153" s="5"/>
      <c r="E153" s="5"/>
      <c r="F153" s="32"/>
      <c r="G153" s="9"/>
      <c r="H153" s="6"/>
      <c r="I153" s="7"/>
      <c r="J153" s="9"/>
      <c r="N153" s="9"/>
      <c r="O153" s="12"/>
      <c r="P153" s="12"/>
      <c r="S153" s="9"/>
      <c r="T153" s="18"/>
      <c r="U153" s="18"/>
      <c r="Y153" s="9" t="e">
        <f t="shared" si="2"/>
        <v>#DIV/0!</v>
      </c>
      <c r="Z153" s="19"/>
      <c r="AC153" s="11"/>
      <c r="AD153" s="9"/>
      <c r="AE153" s="14"/>
      <c r="AF153" s="13"/>
      <c r="AO153" s="34" t="s">
        <v>79</v>
      </c>
      <c r="AP153" s="31">
        <v>5.6</v>
      </c>
      <c r="AQ153" s="31">
        <v>5.6</v>
      </c>
    </row>
    <row r="154" spans="1:67" x14ac:dyDescent="0.2">
      <c r="A154" s="5" t="s">
        <v>67</v>
      </c>
      <c r="B154" s="25">
        <v>43319</v>
      </c>
      <c r="C154" s="26">
        <v>0.72222222222222199</v>
      </c>
      <c r="D154" s="5" t="s">
        <v>170</v>
      </c>
      <c r="E154" s="5">
        <v>3</v>
      </c>
      <c r="F154" s="32">
        <v>57</v>
      </c>
      <c r="G154" s="9">
        <v>2</v>
      </c>
      <c r="H154" s="6">
        <v>3.5087719298245612E-2</v>
      </c>
      <c r="I154" s="7">
        <v>6.83E-2</v>
      </c>
      <c r="J154" s="9">
        <v>314.15899999999999</v>
      </c>
      <c r="K154" s="9">
        <v>0.5464</v>
      </c>
      <c r="L154" s="9">
        <v>8</v>
      </c>
      <c r="M154" s="14">
        <v>287.48078330893117</v>
      </c>
      <c r="N154" s="9">
        <v>1733</v>
      </c>
      <c r="O154" s="12" t="s">
        <v>92</v>
      </c>
      <c r="P154" s="12" t="s">
        <v>82</v>
      </c>
      <c r="Q154" s="9" t="s">
        <v>89</v>
      </c>
      <c r="R154" s="9" t="s">
        <v>93</v>
      </c>
      <c r="S154" s="9"/>
      <c r="T154" s="18">
        <v>2</v>
      </c>
      <c r="U154" s="18">
        <v>2</v>
      </c>
      <c r="V154" s="9">
        <v>7.4</v>
      </c>
      <c r="Y154" s="9">
        <f t="shared" si="2"/>
        <v>574.96156661786233</v>
      </c>
      <c r="Z154" s="19" t="s">
        <v>73</v>
      </c>
      <c r="AA154" s="8" t="s">
        <v>171</v>
      </c>
      <c r="AB154" s="8" t="s">
        <v>75</v>
      </c>
      <c r="AC154" s="11" t="s">
        <v>160</v>
      </c>
      <c r="AD154" s="9" t="s">
        <v>91</v>
      </c>
      <c r="AE154" s="14">
        <v>137.2613030833333</v>
      </c>
      <c r="AF154" s="13"/>
      <c r="AO154" s="34" t="s">
        <v>78</v>
      </c>
      <c r="AP154" s="31">
        <v>6.95</v>
      </c>
      <c r="AQ154" s="31">
        <v>7.4</v>
      </c>
      <c r="AR154" s="31">
        <v>6.5</v>
      </c>
    </row>
    <row r="155" spans="1:67" x14ac:dyDescent="0.2">
      <c r="A155" s="5"/>
      <c r="B155" s="25"/>
      <c r="C155" s="26"/>
      <c r="D155" s="5"/>
      <c r="E155" s="5"/>
      <c r="F155" s="32"/>
      <c r="G155" s="9"/>
      <c r="H155" s="6"/>
      <c r="I155" s="7"/>
      <c r="J155" s="9"/>
      <c r="N155" s="9"/>
      <c r="O155" s="12"/>
      <c r="P155" s="12"/>
      <c r="S155" s="9"/>
      <c r="T155" s="18"/>
      <c r="U155" s="18"/>
      <c r="Y155" s="9" t="e">
        <f t="shared" si="2"/>
        <v>#DIV/0!</v>
      </c>
      <c r="Z155" s="19"/>
      <c r="AC155" s="11"/>
      <c r="AD155" s="9"/>
      <c r="AE155" s="14"/>
      <c r="AF155" s="13"/>
      <c r="AO155" s="34" t="s">
        <v>79</v>
      </c>
      <c r="AP155" s="31">
        <v>3.7</v>
      </c>
      <c r="AQ155" s="31">
        <v>3.7</v>
      </c>
      <c r="AR155" s="31">
        <v>3.7</v>
      </c>
    </row>
    <row r="156" spans="1:67" x14ac:dyDescent="0.2">
      <c r="A156" s="5" t="s">
        <v>67</v>
      </c>
      <c r="B156" s="25">
        <v>43319</v>
      </c>
      <c r="C156" s="26">
        <v>0.72222222222222199</v>
      </c>
      <c r="D156" s="5" t="s">
        <v>170</v>
      </c>
      <c r="E156" s="5">
        <v>3</v>
      </c>
      <c r="F156" s="32">
        <v>57</v>
      </c>
      <c r="G156" s="9">
        <v>2</v>
      </c>
      <c r="H156" s="6">
        <v>3.5087719298245612E-2</v>
      </c>
      <c r="I156" s="7">
        <v>6.83E-2</v>
      </c>
      <c r="J156" s="9">
        <v>314.15899999999999</v>
      </c>
      <c r="K156" s="9">
        <v>0.5464</v>
      </c>
      <c r="L156" s="9">
        <v>8</v>
      </c>
      <c r="M156" s="14">
        <v>287.48078330893117</v>
      </c>
      <c r="N156" s="9">
        <v>1419</v>
      </c>
      <c r="O156" s="12" t="s">
        <v>94</v>
      </c>
      <c r="P156" s="12" t="s">
        <v>82</v>
      </c>
      <c r="Q156" s="9" t="s">
        <v>95</v>
      </c>
      <c r="R156" s="9" t="s">
        <v>96</v>
      </c>
      <c r="S156" s="9"/>
      <c r="T156" s="18">
        <v>399</v>
      </c>
      <c r="U156" s="18">
        <v>799</v>
      </c>
      <c r="V156" s="9">
        <v>0.8</v>
      </c>
      <c r="W156" s="9">
        <v>0.8</v>
      </c>
      <c r="X156" s="9">
        <v>0.8</v>
      </c>
      <c r="Y156" s="9">
        <f t="shared" si="2"/>
        <v>114704.83254026354</v>
      </c>
      <c r="Z156" s="19" t="s">
        <v>97</v>
      </c>
      <c r="AA156" s="8" t="s">
        <v>171</v>
      </c>
      <c r="AB156" s="8" t="s">
        <v>75</v>
      </c>
      <c r="AC156" s="11" t="s">
        <v>160</v>
      </c>
      <c r="AD156" s="9" t="s">
        <v>85</v>
      </c>
      <c r="AE156" s="14">
        <v>0.18</v>
      </c>
      <c r="AF156" s="14">
        <v>0.18</v>
      </c>
      <c r="AG156" s="14">
        <v>0.18</v>
      </c>
      <c r="AH156" s="14">
        <v>0.18</v>
      </c>
      <c r="AI156" s="14">
        <v>0.18</v>
      </c>
      <c r="AJ156" s="14">
        <v>0.18</v>
      </c>
      <c r="AK156" s="14">
        <v>0.18</v>
      </c>
      <c r="AL156" s="14">
        <v>0.18</v>
      </c>
      <c r="AM156" s="14">
        <v>0.18</v>
      </c>
      <c r="AN156" s="14">
        <v>0.18</v>
      </c>
      <c r="AO156" s="35" t="s">
        <v>78</v>
      </c>
      <c r="AP156" s="31">
        <v>0.75200000000000033</v>
      </c>
      <c r="AQ156" s="31">
        <v>0.7</v>
      </c>
      <c r="AR156" s="31">
        <v>0.7</v>
      </c>
      <c r="AS156" s="31">
        <v>0.7</v>
      </c>
      <c r="AT156" s="31">
        <v>0.7</v>
      </c>
      <c r="AU156" s="31">
        <v>0.7</v>
      </c>
      <c r="AV156" s="31">
        <v>0.7</v>
      </c>
      <c r="AW156" s="31">
        <v>0.7</v>
      </c>
      <c r="AX156" s="31">
        <v>0.7</v>
      </c>
      <c r="AY156" s="31">
        <v>0.7</v>
      </c>
      <c r="AZ156" s="31">
        <v>0.7</v>
      </c>
      <c r="BA156" s="31">
        <v>0.7</v>
      </c>
      <c r="BB156" s="31">
        <v>0.7</v>
      </c>
      <c r="BC156" s="31">
        <v>0.8</v>
      </c>
      <c r="BD156" s="31">
        <v>0.8</v>
      </c>
      <c r="BE156" s="31">
        <v>0.8</v>
      </c>
      <c r="BF156" s="31">
        <v>0.8</v>
      </c>
      <c r="BG156" s="31">
        <v>0.8</v>
      </c>
      <c r="BH156" s="31">
        <v>0.8</v>
      </c>
      <c r="BI156" s="31">
        <v>0.8</v>
      </c>
      <c r="BJ156" s="31">
        <v>0.8</v>
      </c>
      <c r="BK156" s="31">
        <v>0.8</v>
      </c>
      <c r="BL156" s="31">
        <v>0.8</v>
      </c>
      <c r="BM156" s="31">
        <v>0.8</v>
      </c>
      <c r="BN156" s="31">
        <v>0.8</v>
      </c>
      <c r="BO156" s="31">
        <v>0.8</v>
      </c>
    </row>
    <row r="157" spans="1:67" x14ac:dyDescent="0.2">
      <c r="A157" s="5" t="s">
        <v>67</v>
      </c>
      <c r="B157" s="25">
        <v>43319</v>
      </c>
      <c r="C157" s="26">
        <v>0.73263888888888895</v>
      </c>
      <c r="D157" s="5" t="s">
        <v>173</v>
      </c>
      <c r="E157" s="5"/>
      <c r="F157" s="32">
        <v>61</v>
      </c>
      <c r="G157" s="9">
        <v>2</v>
      </c>
      <c r="H157" s="6">
        <v>3.2786885245901641E-2</v>
      </c>
      <c r="I157" s="7">
        <v>6.83E-2</v>
      </c>
      <c r="J157" s="9">
        <v>314.15899999999999</v>
      </c>
      <c r="K157" s="9">
        <v>1.0245</v>
      </c>
      <c r="L157" s="9">
        <v>15</v>
      </c>
      <c r="M157" s="14">
        <v>153.32308443142998</v>
      </c>
      <c r="N157" s="9">
        <v>145</v>
      </c>
      <c r="O157" s="12" t="s">
        <v>69</v>
      </c>
      <c r="P157" s="8" t="s">
        <v>70</v>
      </c>
      <c r="Q157" s="9" t="s">
        <v>71</v>
      </c>
      <c r="R157" s="9" t="s">
        <v>72</v>
      </c>
      <c r="S157" s="9"/>
      <c r="T157" s="18">
        <v>2</v>
      </c>
      <c r="U157" s="18">
        <v>2</v>
      </c>
      <c r="V157" s="9">
        <v>20.399999999999999</v>
      </c>
      <c r="Y157" s="9">
        <f t="shared" si="2"/>
        <v>306.64616886285995</v>
      </c>
      <c r="Z157" s="19" t="s">
        <v>73</v>
      </c>
      <c r="AA157" s="8" t="s">
        <v>174</v>
      </c>
      <c r="AB157" s="8" t="s">
        <v>75</v>
      </c>
      <c r="AC157" s="11" t="s">
        <v>175</v>
      </c>
      <c r="AD157" s="9" t="s">
        <v>77</v>
      </c>
      <c r="AE157" s="14">
        <v>510.89793215999993</v>
      </c>
      <c r="AF157" s="13"/>
      <c r="AO157" s="34" t="s">
        <v>78</v>
      </c>
      <c r="AP157" s="31">
        <v>17.600000000000001</v>
      </c>
      <c r="AQ157" s="31">
        <v>20.399999999999999</v>
      </c>
      <c r="AR157" s="31">
        <v>14.8</v>
      </c>
    </row>
    <row r="158" spans="1:67" x14ac:dyDescent="0.2">
      <c r="A158" s="5"/>
      <c r="B158" s="25"/>
      <c r="C158" s="26"/>
      <c r="D158" s="5"/>
      <c r="E158" s="5"/>
      <c r="F158" s="32"/>
      <c r="G158" s="9"/>
      <c r="H158" s="6"/>
      <c r="I158" s="7"/>
      <c r="J158" s="9"/>
      <c r="N158" s="9"/>
      <c r="O158" s="12"/>
      <c r="S158" s="9"/>
      <c r="T158" s="18"/>
      <c r="U158" s="18"/>
      <c r="Y158" s="9" t="e">
        <f t="shared" si="2"/>
        <v>#DIV/0!</v>
      </c>
      <c r="Z158" s="19"/>
      <c r="AC158" s="11"/>
      <c r="AD158" s="9"/>
      <c r="AE158" s="14"/>
      <c r="AF158" s="13"/>
      <c r="AO158" s="34" t="s">
        <v>79</v>
      </c>
      <c r="AP158" s="31">
        <v>11.15</v>
      </c>
      <c r="AQ158" s="31">
        <v>13</v>
      </c>
      <c r="AR158" s="31">
        <v>9.3000000000000007</v>
      </c>
    </row>
    <row r="159" spans="1:67" x14ac:dyDescent="0.2">
      <c r="A159" s="5"/>
      <c r="B159" s="25"/>
      <c r="C159" s="26"/>
      <c r="D159" s="5"/>
      <c r="E159" s="5"/>
      <c r="F159" s="32"/>
      <c r="G159" s="9"/>
      <c r="H159" s="6"/>
      <c r="I159" s="7"/>
      <c r="J159" s="9"/>
      <c r="N159" s="9"/>
      <c r="O159" s="12"/>
      <c r="S159" s="9"/>
      <c r="T159" s="18"/>
      <c r="U159" s="18"/>
      <c r="Y159" s="9" t="e">
        <f t="shared" si="2"/>
        <v>#DIV/0!</v>
      </c>
      <c r="Z159" s="19"/>
      <c r="AC159" s="11"/>
      <c r="AD159" s="9"/>
      <c r="AE159" s="14"/>
      <c r="AF159" s="13"/>
      <c r="AO159" s="34" t="s">
        <v>80</v>
      </c>
      <c r="AP159" s="31">
        <v>3.25</v>
      </c>
      <c r="AQ159" s="31">
        <v>3.7</v>
      </c>
      <c r="AR159" s="31">
        <v>2.8</v>
      </c>
    </row>
    <row r="160" spans="1:67" x14ac:dyDescent="0.2">
      <c r="A160" s="5" t="s">
        <v>67</v>
      </c>
      <c r="B160" s="25">
        <v>43319</v>
      </c>
      <c r="C160" s="26">
        <v>0.73263888888888895</v>
      </c>
      <c r="D160" s="5" t="s">
        <v>173</v>
      </c>
      <c r="E160" s="5"/>
      <c r="F160" s="32">
        <v>61</v>
      </c>
      <c r="G160" s="9">
        <v>2</v>
      </c>
      <c r="H160" s="6">
        <v>3.2786885245901641E-2</v>
      </c>
      <c r="I160" s="7">
        <v>6.83E-2</v>
      </c>
      <c r="J160" s="9">
        <v>314.15899999999999</v>
      </c>
      <c r="K160" s="9">
        <v>1.0245</v>
      </c>
      <c r="L160" s="9">
        <v>15</v>
      </c>
      <c r="M160" s="14">
        <v>153.32308443142998</v>
      </c>
      <c r="N160" s="9">
        <v>1031</v>
      </c>
      <c r="O160" s="12" t="s">
        <v>81</v>
      </c>
      <c r="P160" s="12" t="s">
        <v>82</v>
      </c>
      <c r="Q160" s="9" t="s">
        <v>83</v>
      </c>
      <c r="R160" s="9" t="s">
        <v>84</v>
      </c>
      <c r="S160" s="9"/>
      <c r="T160" s="18">
        <v>2</v>
      </c>
      <c r="U160" s="18">
        <v>2</v>
      </c>
      <c r="V160" s="9">
        <v>7.4</v>
      </c>
      <c r="Y160" s="9">
        <f t="shared" si="2"/>
        <v>306.64616886285995</v>
      </c>
      <c r="Z160" s="19" t="s">
        <v>73</v>
      </c>
      <c r="AA160" s="8" t="s">
        <v>174</v>
      </c>
      <c r="AB160" s="8" t="s">
        <v>75</v>
      </c>
      <c r="AC160" s="11" t="s">
        <v>175</v>
      </c>
      <c r="AD160" s="9" t="s">
        <v>85</v>
      </c>
      <c r="AE160" s="14">
        <v>88.592837999999986</v>
      </c>
      <c r="AF160" s="13"/>
      <c r="AO160" s="34" t="s">
        <v>78</v>
      </c>
      <c r="AP160" s="31">
        <v>6</v>
      </c>
      <c r="AQ160" s="31">
        <v>7.4</v>
      </c>
      <c r="AR160" s="31">
        <v>4.5999999999999996</v>
      </c>
    </row>
    <row r="161" spans="1:67" x14ac:dyDescent="0.2">
      <c r="A161" s="5"/>
      <c r="B161" s="25"/>
      <c r="C161" s="26"/>
      <c r="D161" s="5"/>
      <c r="E161" s="5"/>
      <c r="F161" s="32"/>
      <c r="G161" s="9"/>
      <c r="H161" s="6"/>
      <c r="I161" s="7"/>
      <c r="J161" s="9"/>
      <c r="N161" s="9"/>
      <c r="O161" s="12"/>
      <c r="P161" s="12"/>
      <c r="S161" s="9"/>
      <c r="T161" s="18"/>
      <c r="U161" s="18"/>
      <c r="Y161" s="9" t="e">
        <f t="shared" si="2"/>
        <v>#DIV/0!</v>
      </c>
      <c r="Z161" s="19"/>
      <c r="AC161" s="11"/>
      <c r="AD161" s="9"/>
      <c r="AE161" s="14"/>
      <c r="AF161" s="13"/>
      <c r="AO161" s="34" t="s">
        <v>79</v>
      </c>
      <c r="AP161" s="31">
        <v>6</v>
      </c>
      <c r="AQ161" s="31">
        <v>7.4</v>
      </c>
      <c r="AR161" s="31">
        <v>4.5999999999999996</v>
      </c>
    </row>
    <row r="162" spans="1:67" x14ac:dyDescent="0.2">
      <c r="A162" s="5"/>
      <c r="B162" s="25"/>
      <c r="C162" s="26"/>
      <c r="D162" s="5"/>
      <c r="E162" s="5"/>
      <c r="F162" s="32"/>
      <c r="G162" s="9"/>
      <c r="H162" s="6"/>
      <c r="I162" s="7"/>
      <c r="J162" s="9"/>
      <c r="N162" s="9"/>
      <c r="O162" s="12"/>
      <c r="P162" s="12"/>
      <c r="S162" s="9"/>
      <c r="T162" s="18"/>
      <c r="U162" s="18"/>
      <c r="Y162" s="9" t="e">
        <f t="shared" si="2"/>
        <v>#DIV/0!</v>
      </c>
      <c r="Z162" s="19"/>
      <c r="AC162" s="11"/>
      <c r="AD162" s="9"/>
      <c r="AE162" s="14"/>
      <c r="AF162" s="13"/>
      <c r="AO162" s="34" t="s">
        <v>80</v>
      </c>
      <c r="AP162" s="31">
        <v>4.6500000000000004</v>
      </c>
      <c r="AQ162" s="31">
        <v>5.6</v>
      </c>
      <c r="AR162" s="31">
        <v>3.7</v>
      </c>
    </row>
    <row r="163" spans="1:67" x14ac:dyDescent="0.2">
      <c r="A163" s="5" t="s">
        <v>67</v>
      </c>
      <c r="B163" s="25">
        <v>43319</v>
      </c>
      <c r="C163" s="26">
        <v>0.73263888888888895</v>
      </c>
      <c r="D163" s="5" t="s">
        <v>173</v>
      </c>
      <c r="E163" s="5"/>
      <c r="F163" s="32">
        <v>61</v>
      </c>
      <c r="G163" s="9">
        <v>2</v>
      </c>
      <c r="H163" s="6">
        <v>3.2786885245901641E-2</v>
      </c>
      <c r="I163" s="7">
        <v>6.83E-2</v>
      </c>
      <c r="J163" s="9">
        <v>314.15899999999999</v>
      </c>
      <c r="K163" s="9">
        <v>1.0245</v>
      </c>
      <c r="L163" s="9">
        <v>15</v>
      </c>
      <c r="M163" s="14">
        <v>153.32308443142998</v>
      </c>
      <c r="N163" s="9">
        <v>1037</v>
      </c>
      <c r="O163" s="12" t="s">
        <v>86</v>
      </c>
      <c r="P163" s="12" t="s">
        <v>82</v>
      </c>
      <c r="Q163" s="9" t="s">
        <v>87</v>
      </c>
      <c r="R163" s="9" t="s">
        <v>84</v>
      </c>
      <c r="S163" s="9"/>
      <c r="T163" s="18">
        <v>30</v>
      </c>
      <c r="U163" s="18">
        <v>30</v>
      </c>
      <c r="V163" s="9">
        <v>3.7</v>
      </c>
      <c r="Y163" s="9">
        <f t="shared" si="2"/>
        <v>4599.6925329428996</v>
      </c>
      <c r="Z163" s="19" t="s">
        <v>73</v>
      </c>
      <c r="AA163" s="8" t="s">
        <v>174</v>
      </c>
      <c r="AB163" s="8" t="s">
        <v>75</v>
      </c>
      <c r="AC163" s="11" t="s">
        <v>175</v>
      </c>
      <c r="AD163" s="9" t="s">
        <v>85</v>
      </c>
      <c r="AE163" s="14">
        <v>7.2382233599999992</v>
      </c>
      <c r="AF163" s="13"/>
      <c r="AO163" s="34" t="s">
        <v>78</v>
      </c>
      <c r="AP163" s="31">
        <v>2.44</v>
      </c>
      <c r="AQ163" s="31">
        <v>1.9</v>
      </c>
      <c r="AR163" s="31">
        <v>2.8</v>
      </c>
      <c r="AS163" s="31">
        <v>1.9</v>
      </c>
      <c r="AT163" s="31">
        <v>1.9</v>
      </c>
      <c r="AU163" s="31">
        <v>3.7</v>
      </c>
    </row>
    <row r="164" spans="1:67" x14ac:dyDescent="0.2">
      <c r="A164" s="5" t="s">
        <v>67</v>
      </c>
      <c r="B164" s="25">
        <v>43319</v>
      </c>
      <c r="C164" s="26">
        <v>0.73263888888888895</v>
      </c>
      <c r="D164" s="5" t="s">
        <v>173</v>
      </c>
      <c r="E164" s="5"/>
      <c r="F164" s="32">
        <v>61</v>
      </c>
      <c r="G164" s="9">
        <v>2</v>
      </c>
      <c r="H164" s="6">
        <v>3.2786885245901641E-2</v>
      </c>
      <c r="I164" s="7">
        <v>6.83E-2</v>
      </c>
      <c r="J164" s="9">
        <v>314.15899999999999</v>
      </c>
      <c r="K164" s="9">
        <v>1.0245</v>
      </c>
      <c r="L164" s="9">
        <v>15</v>
      </c>
      <c r="M164" s="14">
        <v>153.32308443142998</v>
      </c>
      <c r="N164" s="9">
        <v>1246</v>
      </c>
      <c r="O164" s="8" t="s">
        <v>176</v>
      </c>
      <c r="P164" s="12" t="s">
        <v>82</v>
      </c>
      <c r="Q164" s="9" t="s">
        <v>177</v>
      </c>
      <c r="R164" s="9" t="s">
        <v>178</v>
      </c>
      <c r="S164" s="9"/>
      <c r="T164" s="18">
        <v>1</v>
      </c>
      <c r="U164" s="18">
        <v>4</v>
      </c>
      <c r="V164" s="9">
        <v>2.8</v>
      </c>
      <c r="Y164" s="9">
        <f t="shared" si="2"/>
        <v>153.32308443142998</v>
      </c>
      <c r="Z164" s="19" t="s">
        <v>97</v>
      </c>
      <c r="AA164" s="8" t="s">
        <v>174</v>
      </c>
      <c r="AB164" s="8" t="s">
        <v>75</v>
      </c>
      <c r="AC164" s="11" t="s">
        <v>175</v>
      </c>
      <c r="AD164" s="9" t="s">
        <v>85</v>
      </c>
      <c r="AE164" s="14">
        <v>11.494030613333329</v>
      </c>
      <c r="AF164" s="13"/>
      <c r="AO164" s="34" t="s">
        <v>78</v>
      </c>
      <c r="AP164" s="31">
        <v>2.8</v>
      </c>
      <c r="AQ164" s="31">
        <v>2.8</v>
      </c>
      <c r="AR164" s="31">
        <v>2.8</v>
      </c>
      <c r="AS164" s="31">
        <v>2.8</v>
      </c>
      <c r="AT164" s="31">
        <v>2.8</v>
      </c>
    </row>
    <row r="165" spans="1:67" x14ac:dyDescent="0.2">
      <c r="A165" s="5" t="s">
        <v>67</v>
      </c>
      <c r="B165" s="25">
        <v>43319</v>
      </c>
      <c r="C165" s="26">
        <v>0.73263888888888895</v>
      </c>
      <c r="D165" s="5" t="s">
        <v>173</v>
      </c>
      <c r="E165" s="5"/>
      <c r="F165" s="32">
        <v>61</v>
      </c>
      <c r="G165" s="9">
        <v>2</v>
      </c>
      <c r="H165" s="6">
        <v>3.2786885245901641E-2</v>
      </c>
      <c r="I165" s="7">
        <v>6.83E-2</v>
      </c>
      <c r="J165" s="9">
        <v>314.15899999999999</v>
      </c>
      <c r="K165" s="9">
        <v>1.0245</v>
      </c>
      <c r="L165" s="9">
        <v>15</v>
      </c>
      <c r="M165" s="14">
        <v>153.32308443142998</v>
      </c>
      <c r="N165" s="9">
        <v>1692</v>
      </c>
      <c r="O165" s="8" t="s">
        <v>179</v>
      </c>
      <c r="P165" s="12" t="s">
        <v>82</v>
      </c>
      <c r="Q165" s="9" t="s">
        <v>180</v>
      </c>
      <c r="R165" s="9" t="s">
        <v>84</v>
      </c>
      <c r="S165" s="9"/>
      <c r="T165" s="18">
        <v>1</v>
      </c>
      <c r="U165" s="18">
        <v>1</v>
      </c>
      <c r="V165" s="9">
        <v>6.5</v>
      </c>
      <c r="Y165" s="9">
        <f t="shared" si="2"/>
        <v>153.32308443142998</v>
      </c>
      <c r="Z165" s="19" t="s">
        <v>73</v>
      </c>
      <c r="AA165" s="8" t="s">
        <v>174</v>
      </c>
      <c r="AB165" s="8" t="s">
        <v>75</v>
      </c>
      <c r="AC165" s="11" t="s">
        <v>175</v>
      </c>
      <c r="AD165" s="9" t="s">
        <v>120</v>
      </c>
      <c r="AE165" s="14">
        <v>106.73028426666664</v>
      </c>
      <c r="AF165" s="13"/>
      <c r="AO165" s="34" t="s">
        <v>78</v>
      </c>
      <c r="AP165" s="31">
        <v>6.5</v>
      </c>
      <c r="AQ165" s="31">
        <v>6.5</v>
      </c>
    </row>
    <row r="166" spans="1:67" x14ac:dyDescent="0.2">
      <c r="A166" s="5"/>
      <c r="B166" s="25"/>
      <c r="C166" s="26"/>
      <c r="D166" s="5"/>
      <c r="E166" s="5"/>
      <c r="F166" s="32"/>
      <c r="G166" s="9"/>
      <c r="H166" s="6"/>
      <c r="I166" s="7"/>
      <c r="J166" s="9"/>
      <c r="N166" s="9"/>
      <c r="P166" s="12"/>
      <c r="S166" s="9"/>
      <c r="T166" s="18"/>
      <c r="U166" s="18"/>
      <c r="Y166" s="9" t="e">
        <f t="shared" si="2"/>
        <v>#DIV/0!</v>
      </c>
      <c r="Z166" s="19"/>
      <c r="AC166" s="11"/>
      <c r="AD166" s="9"/>
      <c r="AE166" s="14"/>
      <c r="AF166" s="13"/>
      <c r="AO166" s="34" t="s">
        <v>79</v>
      </c>
      <c r="AP166" s="31">
        <v>5.6</v>
      </c>
      <c r="AQ166" s="31">
        <v>5.6</v>
      </c>
    </row>
    <row r="167" spans="1:67" x14ac:dyDescent="0.2">
      <c r="A167" s="5" t="s">
        <v>67</v>
      </c>
      <c r="B167" s="25">
        <v>43319</v>
      </c>
      <c r="C167" s="26">
        <v>0.73263888888888895</v>
      </c>
      <c r="D167" s="5" t="s">
        <v>173</v>
      </c>
      <c r="E167" s="5"/>
      <c r="F167" s="32">
        <v>61</v>
      </c>
      <c r="G167" s="9">
        <v>2</v>
      </c>
      <c r="H167" s="6">
        <v>3.2786885245901641E-2</v>
      </c>
      <c r="I167" s="7">
        <v>6.83E-2</v>
      </c>
      <c r="J167" s="9">
        <v>314.15899999999999</v>
      </c>
      <c r="K167" s="9">
        <v>1.0245</v>
      </c>
      <c r="L167" s="9">
        <v>15</v>
      </c>
      <c r="M167" s="14">
        <v>153.32308443142998</v>
      </c>
      <c r="N167" s="9">
        <v>1364</v>
      </c>
      <c r="O167" s="12" t="s">
        <v>88</v>
      </c>
      <c r="P167" s="12" t="s">
        <v>82</v>
      </c>
      <c r="Q167" s="9" t="s">
        <v>89</v>
      </c>
      <c r="R167" s="9" t="s">
        <v>90</v>
      </c>
      <c r="S167" s="9"/>
      <c r="T167" s="18">
        <v>3</v>
      </c>
      <c r="U167" s="18">
        <v>3</v>
      </c>
      <c r="V167" s="9">
        <v>11.1</v>
      </c>
      <c r="Y167" s="9">
        <f t="shared" si="2"/>
        <v>459.9692532942899</v>
      </c>
      <c r="Z167" s="19" t="s">
        <v>73</v>
      </c>
      <c r="AA167" s="8" t="s">
        <v>174</v>
      </c>
      <c r="AB167" s="8" t="s">
        <v>75</v>
      </c>
      <c r="AC167" s="11" t="s">
        <v>175</v>
      </c>
      <c r="AD167" s="9" t="s">
        <v>91</v>
      </c>
      <c r="AE167" s="14">
        <v>464.70006581249999</v>
      </c>
      <c r="AF167" s="13"/>
      <c r="AO167" s="34" t="s">
        <v>78</v>
      </c>
      <c r="AP167" s="31">
        <v>10.5</v>
      </c>
      <c r="AQ167" s="31">
        <v>11.1</v>
      </c>
      <c r="AR167" s="31">
        <v>9.3000000000000007</v>
      </c>
      <c r="AS167" s="31">
        <v>11.1</v>
      </c>
    </row>
    <row r="168" spans="1:67" x14ac:dyDescent="0.2">
      <c r="A168" s="5"/>
      <c r="B168" s="25"/>
      <c r="C168" s="26"/>
      <c r="D168" s="5"/>
      <c r="E168" s="5"/>
      <c r="F168" s="32"/>
      <c r="G168" s="9"/>
      <c r="H168" s="6"/>
      <c r="I168" s="7"/>
      <c r="J168" s="9"/>
      <c r="N168" s="9"/>
      <c r="O168" s="12"/>
      <c r="P168" s="12"/>
      <c r="S168" s="9"/>
      <c r="T168" s="18"/>
      <c r="U168" s="18"/>
      <c r="Y168" s="9" t="e">
        <f t="shared" si="2"/>
        <v>#DIV/0!</v>
      </c>
      <c r="Z168" s="19"/>
      <c r="AC168" s="11"/>
      <c r="AD168" s="9"/>
      <c r="AE168" s="14"/>
      <c r="AF168" s="13"/>
      <c r="AO168" s="34" t="s">
        <v>79</v>
      </c>
      <c r="AP168" s="31">
        <v>5.5999999999999988</v>
      </c>
      <c r="AQ168" s="31">
        <v>5.6</v>
      </c>
      <c r="AR168" s="31">
        <v>5.6</v>
      </c>
      <c r="AS168" s="31">
        <v>5.6</v>
      </c>
    </row>
    <row r="169" spans="1:67" x14ac:dyDescent="0.2">
      <c r="A169" s="5" t="s">
        <v>67</v>
      </c>
      <c r="B169" s="25">
        <v>43319</v>
      </c>
      <c r="C169" s="26">
        <v>0.73263888888888895</v>
      </c>
      <c r="D169" s="5" t="s">
        <v>173</v>
      </c>
      <c r="E169" s="5"/>
      <c r="F169" s="32">
        <v>61</v>
      </c>
      <c r="G169" s="9">
        <v>2</v>
      </c>
      <c r="H169" s="6">
        <v>3.2786885245901641E-2</v>
      </c>
      <c r="I169" s="7">
        <v>6.83E-2</v>
      </c>
      <c r="J169" s="9">
        <v>314.15899999999999</v>
      </c>
      <c r="K169" s="9">
        <v>1.0245</v>
      </c>
      <c r="L169" s="9">
        <v>15</v>
      </c>
      <c r="M169" s="14">
        <v>153.32308443142998</v>
      </c>
      <c r="N169" s="9">
        <v>1419</v>
      </c>
      <c r="O169" s="12" t="s">
        <v>94</v>
      </c>
      <c r="P169" s="12" t="s">
        <v>82</v>
      </c>
      <c r="Q169" s="9" t="s">
        <v>95</v>
      </c>
      <c r="R169" s="9" t="s">
        <v>96</v>
      </c>
      <c r="S169" s="9"/>
      <c r="T169" s="18">
        <v>363</v>
      </c>
      <c r="U169" s="18">
        <v>730</v>
      </c>
      <c r="V169" s="9">
        <v>0.8</v>
      </c>
      <c r="W169" s="9">
        <v>0.8</v>
      </c>
      <c r="X169" s="9">
        <v>0.8</v>
      </c>
      <c r="Y169" s="9">
        <f t="shared" si="2"/>
        <v>55656.279648609081</v>
      </c>
      <c r="Z169" s="19" t="s">
        <v>97</v>
      </c>
      <c r="AA169" s="8" t="s">
        <v>174</v>
      </c>
      <c r="AB169" s="8" t="s">
        <v>75</v>
      </c>
      <c r="AC169" s="11" t="s">
        <v>175</v>
      </c>
      <c r="AD169" s="9" t="s">
        <v>85</v>
      </c>
      <c r="AE169" s="14">
        <v>0.18</v>
      </c>
      <c r="AF169" s="14">
        <v>0.18</v>
      </c>
      <c r="AG169" s="14">
        <v>0.18</v>
      </c>
      <c r="AH169" s="14">
        <v>0.18</v>
      </c>
      <c r="AI169" s="14">
        <v>0.18</v>
      </c>
      <c r="AJ169" s="14">
        <v>0.18</v>
      </c>
      <c r="AK169" s="14">
        <v>0.18</v>
      </c>
      <c r="AL169" s="14">
        <v>0.18</v>
      </c>
      <c r="AM169" s="14">
        <v>0.18</v>
      </c>
      <c r="AN169" s="14">
        <v>0.18</v>
      </c>
      <c r="AO169" s="35" t="s">
        <v>78</v>
      </c>
      <c r="AP169" s="31">
        <v>0.75200000000000033</v>
      </c>
      <c r="AQ169" s="31">
        <v>0.7</v>
      </c>
      <c r="AR169" s="31">
        <v>0.7</v>
      </c>
      <c r="AS169" s="31">
        <v>0.7</v>
      </c>
      <c r="AT169" s="31">
        <v>0.7</v>
      </c>
      <c r="AU169" s="31">
        <v>0.7</v>
      </c>
      <c r="AV169" s="31">
        <v>0.7</v>
      </c>
      <c r="AW169" s="31">
        <v>0.7</v>
      </c>
      <c r="AX169" s="31">
        <v>0.7</v>
      </c>
      <c r="AY169" s="31">
        <v>0.7</v>
      </c>
      <c r="AZ169" s="31">
        <v>0.7</v>
      </c>
      <c r="BA169" s="31">
        <v>0.7</v>
      </c>
      <c r="BB169" s="31">
        <v>0.7</v>
      </c>
      <c r="BC169" s="31">
        <v>0.8</v>
      </c>
      <c r="BD169" s="31">
        <v>0.8</v>
      </c>
      <c r="BE169" s="31">
        <v>0.8</v>
      </c>
      <c r="BF169" s="31">
        <v>0.8</v>
      </c>
      <c r="BG169" s="31">
        <v>0.8</v>
      </c>
      <c r="BH169" s="31">
        <v>0.8</v>
      </c>
      <c r="BI169" s="31">
        <v>0.8</v>
      </c>
      <c r="BJ169" s="31">
        <v>0.8</v>
      </c>
      <c r="BK169" s="31">
        <v>0.8</v>
      </c>
      <c r="BL169" s="31">
        <v>0.8</v>
      </c>
      <c r="BM169" s="31">
        <v>0.8</v>
      </c>
      <c r="BN169" s="31">
        <v>0.8</v>
      </c>
      <c r="BO169" s="31">
        <v>0.8</v>
      </c>
    </row>
    <row r="170" spans="1:67" x14ac:dyDescent="0.2">
      <c r="A170" s="5" t="s">
        <v>67</v>
      </c>
      <c r="B170" s="25">
        <v>43319</v>
      </c>
      <c r="C170" s="26">
        <v>0.6875</v>
      </c>
      <c r="D170" s="5" t="s">
        <v>181</v>
      </c>
      <c r="E170" s="5"/>
      <c r="F170" s="32">
        <v>59</v>
      </c>
      <c r="G170" s="9">
        <v>2</v>
      </c>
      <c r="H170" s="6">
        <v>3.3898305084745763E-2</v>
      </c>
      <c r="I170" s="7">
        <v>6.83E-2</v>
      </c>
      <c r="J170" s="9">
        <v>314.15899999999999</v>
      </c>
      <c r="K170" s="9">
        <v>0.8196</v>
      </c>
      <c r="L170" s="9">
        <v>12</v>
      </c>
      <c r="M170" s="14">
        <v>191.65385553928746</v>
      </c>
      <c r="N170" s="9">
        <v>190</v>
      </c>
      <c r="O170" s="12" t="s">
        <v>102</v>
      </c>
      <c r="P170" s="8" t="s">
        <v>70</v>
      </c>
      <c r="Q170" s="9" t="s">
        <v>103</v>
      </c>
      <c r="R170" s="9" t="s">
        <v>84</v>
      </c>
      <c r="S170" s="9"/>
      <c r="T170" s="18">
        <v>1</v>
      </c>
      <c r="U170" s="18">
        <v>1</v>
      </c>
      <c r="V170" s="9">
        <v>9.3000000000000007</v>
      </c>
      <c r="Y170" s="9">
        <f t="shared" si="2"/>
        <v>191.65385553928746</v>
      </c>
      <c r="Z170" s="19" t="s">
        <v>73</v>
      </c>
      <c r="AA170" s="8" t="s">
        <v>182</v>
      </c>
      <c r="AB170" s="8" t="s">
        <v>75</v>
      </c>
      <c r="AC170" s="11" t="s">
        <v>112</v>
      </c>
      <c r="AD170" s="9" t="s">
        <v>104</v>
      </c>
      <c r="AE170" s="14">
        <v>502.67482033500005</v>
      </c>
      <c r="AF170" s="13"/>
      <c r="AO170" s="34" t="s">
        <v>78</v>
      </c>
      <c r="AP170" s="31">
        <v>7.4</v>
      </c>
      <c r="AQ170" s="31">
        <v>7.4</v>
      </c>
    </row>
    <row r="171" spans="1:67" ht="13.5" customHeight="1" x14ac:dyDescent="0.2">
      <c r="A171" s="5"/>
      <c r="B171" s="25"/>
      <c r="C171" s="26"/>
      <c r="D171" s="5"/>
      <c r="E171" s="5"/>
      <c r="F171" s="32"/>
      <c r="G171" s="9"/>
      <c r="H171" s="6"/>
      <c r="I171" s="7"/>
      <c r="J171" s="9"/>
      <c r="N171" s="9"/>
      <c r="O171" s="12"/>
      <c r="S171" s="9"/>
      <c r="T171" s="18"/>
      <c r="U171" s="18"/>
      <c r="Y171" s="9" t="e">
        <f t="shared" si="2"/>
        <v>#DIV/0!</v>
      </c>
      <c r="Z171" s="19"/>
      <c r="AC171" s="11"/>
      <c r="AD171" s="9"/>
      <c r="AE171" s="14"/>
      <c r="AF171" s="13"/>
      <c r="AO171" s="34" t="s">
        <v>79</v>
      </c>
      <c r="AP171" s="31">
        <v>9.3000000000000007</v>
      </c>
      <c r="AQ171" s="31">
        <v>9.3000000000000007</v>
      </c>
    </row>
    <row r="172" spans="1:67" x14ac:dyDescent="0.2">
      <c r="A172" s="5" t="s">
        <v>67</v>
      </c>
      <c r="B172" s="25">
        <v>43319</v>
      </c>
      <c r="C172" s="26">
        <v>0.6875</v>
      </c>
      <c r="D172" s="5" t="s">
        <v>181</v>
      </c>
      <c r="E172" s="5"/>
      <c r="F172" s="32">
        <v>59</v>
      </c>
      <c r="G172" s="9">
        <v>2</v>
      </c>
      <c r="H172" s="6">
        <v>3.3898305084745763E-2</v>
      </c>
      <c r="I172" s="7">
        <v>6.83E-2</v>
      </c>
      <c r="J172" s="9">
        <v>314.15899999999999</v>
      </c>
      <c r="K172" s="9">
        <v>0.8196</v>
      </c>
      <c r="L172" s="9">
        <v>12</v>
      </c>
      <c r="M172" s="14">
        <v>191.65385553928746</v>
      </c>
      <c r="N172" s="9">
        <v>1031</v>
      </c>
      <c r="O172" s="12" t="s">
        <v>81</v>
      </c>
      <c r="P172" s="12" t="s">
        <v>82</v>
      </c>
      <c r="Q172" s="9" t="s">
        <v>83</v>
      </c>
      <c r="R172" s="9" t="s">
        <v>84</v>
      </c>
      <c r="S172" s="9"/>
      <c r="T172" s="18">
        <v>1</v>
      </c>
      <c r="U172" s="18">
        <v>1</v>
      </c>
      <c r="V172" s="9">
        <v>4.5999999999999996</v>
      </c>
      <c r="Y172" s="9">
        <f t="shared" si="2"/>
        <v>191.65385553928746</v>
      </c>
      <c r="Z172" s="19" t="s">
        <v>73</v>
      </c>
      <c r="AA172" s="8" t="s">
        <v>182</v>
      </c>
      <c r="AB172" s="8" t="s">
        <v>75</v>
      </c>
      <c r="AC172" s="11" t="s">
        <v>112</v>
      </c>
      <c r="AD172" s="9" t="s">
        <v>85</v>
      </c>
      <c r="AE172" s="14">
        <v>32.973081443333328</v>
      </c>
      <c r="AF172" s="13"/>
      <c r="AO172" s="34" t="s">
        <v>78</v>
      </c>
      <c r="AP172" s="31">
        <v>4.5999999999999996</v>
      </c>
      <c r="AQ172" s="31">
        <v>4.5999999999999996</v>
      </c>
    </row>
    <row r="173" spans="1:67" x14ac:dyDescent="0.2">
      <c r="A173" s="5"/>
      <c r="B173" s="25"/>
      <c r="C173" s="26"/>
      <c r="D173" s="5"/>
      <c r="E173" s="5"/>
      <c r="F173" s="32"/>
      <c r="G173" s="9"/>
      <c r="H173" s="6"/>
      <c r="I173" s="7"/>
      <c r="J173" s="9"/>
      <c r="N173" s="9"/>
      <c r="O173" s="12"/>
      <c r="P173" s="12"/>
      <c r="S173" s="9"/>
      <c r="T173" s="18"/>
      <c r="U173" s="18"/>
      <c r="Y173" s="9" t="e">
        <f t="shared" si="2"/>
        <v>#DIV/0!</v>
      </c>
      <c r="Z173" s="19"/>
      <c r="AC173" s="11"/>
      <c r="AD173" s="9"/>
      <c r="AE173" s="14"/>
      <c r="AF173" s="13"/>
      <c r="AO173" s="34" t="s">
        <v>79</v>
      </c>
      <c r="AP173" s="31">
        <v>3.7</v>
      </c>
      <c r="AQ173" s="31">
        <v>3.7</v>
      </c>
    </row>
    <row r="174" spans="1:67" x14ac:dyDescent="0.2">
      <c r="A174" s="5"/>
      <c r="B174" s="25"/>
      <c r="C174" s="26"/>
      <c r="D174" s="5"/>
      <c r="E174" s="5"/>
      <c r="F174" s="32"/>
      <c r="G174" s="9"/>
      <c r="H174" s="6"/>
      <c r="I174" s="7"/>
      <c r="J174" s="9"/>
      <c r="N174" s="9"/>
      <c r="O174" s="12"/>
      <c r="P174" s="12"/>
      <c r="S174" s="9"/>
      <c r="T174" s="18"/>
      <c r="U174" s="18"/>
      <c r="Y174" s="9" t="e">
        <f t="shared" si="2"/>
        <v>#DIV/0!</v>
      </c>
      <c r="Z174" s="19"/>
      <c r="AC174" s="11"/>
      <c r="AD174" s="9"/>
      <c r="AE174" s="14"/>
      <c r="AF174" s="13"/>
      <c r="AO174" s="34" t="s">
        <v>80</v>
      </c>
      <c r="AP174" s="31">
        <v>3.7</v>
      </c>
      <c r="AQ174" s="31">
        <v>3.7</v>
      </c>
    </row>
    <row r="175" spans="1:67" x14ac:dyDescent="0.2">
      <c r="A175" s="5" t="s">
        <v>67</v>
      </c>
      <c r="B175" s="25">
        <v>43319</v>
      </c>
      <c r="C175" s="26">
        <v>0.6875</v>
      </c>
      <c r="D175" s="5" t="s">
        <v>181</v>
      </c>
      <c r="E175" s="5"/>
      <c r="F175" s="32">
        <v>59</v>
      </c>
      <c r="G175" s="9">
        <v>2</v>
      </c>
      <c r="H175" s="6">
        <v>3.3898305084745763E-2</v>
      </c>
      <c r="I175" s="7">
        <v>6.83E-2</v>
      </c>
      <c r="J175" s="9">
        <v>314.15899999999999</v>
      </c>
      <c r="K175" s="9">
        <v>0.8196</v>
      </c>
      <c r="L175" s="9">
        <v>12</v>
      </c>
      <c r="M175" s="14">
        <v>191.65385553928746</v>
      </c>
      <c r="N175" s="9">
        <v>1037</v>
      </c>
      <c r="O175" s="12" t="s">
        <v>86</v>
      </c>
      <c r="P175" s="12" t="s">
        <v>82</v>
      </c>
      <c r="Q175" s="9" t="s">
        <v>87</v>
      </c>
      <c r="R175" s="9" t="s">
        <v>84</v>
      </c>
      <c r="S175" s="9"/>
      <c r="T175" s="18">
        <v>49</v>
      </c>
      <c r="U175" s="18">
        <v>49</v>
      </c>
      <c r="V175" s="9">
        <v>3.7</v>
      </c>
      <c r="Y175" s="9">
        <f t="shared" si="2"/>
        <v>9391.0389214250845</v>
      </c>
      <c r="Z175" s="19" t="s">
        <v>73</v>
      </c>
      <c r="AA175" s="8" t="s">
        <v>182</v>
      </c>
      <c r="AB175" s="8" t="s">
        <v>75</v>
      </c>
      <c r="AC175" s="11" t="s">
        <v>112</v>
      </c>
      <c r="AD175" s="9" t="s">
        <v>85</v>
      </c>
      <c r="AE175" s="14">
        <v>17.157270186666665</v>
      </c>
      <c r="AF175" s="13"/>
      <c r="AO175" s="34" t="s">
        <v>78</v>
      </c>
      <c r="AP175" s="31">
        <v>3.1599999999999993</v>
      </c>
      <c r="AQ175" s="31">
        <v>2.8</v>
      </c>
      <c r="AR175" s="31">
        <v>2.8</v>
      </c>
      <c r="AS175" s="31">
        <v>2.8</v>
      </c>
      <c r="AT175" s="31">
        <v>3.7</v>
      </c>
      <c r="AU175" s="31">
        <v>3.7</v>
      </c>
    </row>
    <row r="176" spans="1:67" x14ac:dyDescent="0.2">
      <c r="A176" s="5" t="s">
        <v>67</v>
      </c>
      <c r="B176" s="25">
        <v>43319</v>
      </c>
      <c r="C176" s="26">
        <v>0.6875</v>
      </c>
      <c r="D176" s="5" t="s">
        <v>181</v>
      </c>
      <c r="E176" s="5"/>
      <c r="F176" s="32">
        <v>59</v>
      </c>
      <c r="G176" s="9">
        <v>2</v>
      </c>
      <c r="H176" s="6">
        <v>3.3898305084745763E-2</v>
      </c>
      <c r="I176" s="7">
        <v>6.83E-2</v>
      </c>
      <c r="J176" s="9">
        <v>314.15899999999999</v>
      </c>
      <c r="K176" s="9">
        <v>0.8196</v>
      </c>
      <c r="L176" s="9">
        <v>12</v>
      </c>
      <c r="M176" s="14">
        <v>191.65385553928746</v>
      </c>
      <c r="N176" s="9">
        <v>1140</v>
      </c>
      <c r="O176" s="12" t="s">
        <v>126</v>
      </c>
      <c r="P176" s="12" t="s">
        <v>82</v>
      </c>
      <c r="Q176" s="9" t="s">
        <v>127</v>
      </c>
      <c r="R176" s="9" t="s">
        <v>128</v>
      </c>
      <c r="S176" s="9"/>
      <c r="T176" s="18">
        <v>2</v>
      </c>
      <c r="U176" s="18">
        <v>2</v>
      </c>
      <c r="V176" s="9">
        <v>11.1</v>
      </c>
      <c r="Y176" s="9">
        <f t="shared" si="2"/>
        <v>383.30771107857493</v>
      </c>
      <c r="Z176" s="19" t="s">
        <v>73</v>
      </c>
      <c r="AA176" s="8" t="s">
        <v>182</v>
      </c>
      <c r="AB176" s="8" t="s">
        <v>75</v>
      </c>
      <c r="AC176" s="11" t="s">
        <v>112</v>
      </c>
      <c r="AD176" s="9" t="s">
        <v>129</v>
      </c>
      <c r="AE176" s="14">
        <v>45.565621359999987</v>
      </c>
      <c r="AF176" s="13"/>
      <c r="AO176" s="34" t="s">
        <v>78</v>
      </c>
      <c r="AP176" s="31">
        <v>11.1</v>
      </c>
      <c r="AQ176" s="31">
        <v>11.1</v>
      </c>
      <c r="AR176" s="31">
        <v>11.1</v>
      </c>
    </row>
    <row r="177" spans="1:67" x14ac:dyDescent="0.2">
      <c r="A177" s="5"/>
      <c r="B177" s="25"/>
      <c r="C177" s="26"/>
      <c r="D177" s="5"/>
      <c r="E177" s="5"/>
      <c r="F177" s="32"/>
      <c r="G177" s="9"/>
      <c r="H177" s="6"/>
      <c r="I177" s="7"/>
      <c r="J177" s="9"/>
      <c r="N177" s="9"/>
      <c r="O177" s="12"/>
      <c r="P177" s="12"/>
      <c r="S177" s="9"/>
      <c r="T177" s="18"/>
      <c r="U177" s="18"/>
      <c r="Y177" s="9" t="e">
        <f t="shared" si="2"/>
        <v>#DIV/0!</v>
      </c>
      <c r="Z177" s="19"/>
      <c r="AC177" s="11"/>
      <c r="AD177" s="9"/>
      <c r="AE177" s="14"/>
      <c r="AF177" s="13"/>
      <c r="AO177" s="34" t="s">
        <v>79</v>
      </c>
      <c r="AP177" s="31">
        <v>2.8</v>
      </c>
      <c r="AQ177" s="31">
        <v>2.8</v>
      </c>
      <c r="AR177" s="31">
        <v>2.8</v>
      </c>
    </row>
    <row r="178" spans="1:67" x14ac:dyDescent="0.2">
      <c r="A178" s="5" t="s">
        <v>67</v>
      </c>
      <c r="B178" s="25">
        <v>43319</v>
      </c>
      <c r="C178" s="26">
        <v>0.6875</v>
      </c>
      <c r="D178" s="5" t="s">
        <v>181</v>
      </c>
      <c r="E178" s="5"/>
      <c r="F178" s="32">
        <v>59</v>
      </c>
      <c r="G178" s="9">
        <v>2</v>
      </c>
      <c r="H178" s="6">
        <v>3.3898305084745763E-2</v>
      </c>
      <c r="I178" s="7">
        <v>6.83E-2</v>
      </c>
      <c r="J178" s="9">
        <v>314.15899999999999</v>
      </c>
      <c r="K178" s="9">
        <v>0.8196</v>
      </c>
      <c r="L178" s="9">
        <v>12</v>
      </c>
      <c r="M178" s="14">
        <v>191.65385553928746</v>
      </c>
      <c r="N178" s="9">
        <v>1364</v>
      </c>
      <c r="O178" s="12" t="s">
        <v>88</v>
      </c>
      <c r="P178" s="12" t="s">
        <v>82</v>
      </c>
      <c r="Q178" s="9" t="s">
        <v>89</v>
      </c>
      <c r="R178" s="9" t="s">
        <v>90</v>
      </c>
      <c r="S178" s="9"/>
      <c r="T178" s="18">
        <v>1</v>
      </c>
      <c r="U178" s="18">
        <v>1</v>
      </c>
      <c r="V178" s="9">
        <v>9.3000000000000007</v>
      </c>
      <c r="Y178" s="9">
        <f t="shared" si="2"/>
        <v>191.65385553928746</v>
      </c>
      <c r="Z178" s="19" t="s">
        <v>73</v>
      </c>
      <c r="AA178" s="8" t="s">
        <v>182</v>
      </c>
      <c r="AB178" s="8" t="s">
        <v>75</v>
      </c>
      <c r="AC178" s="11" t="s">
        <v>112</v>
      </c>
      <c r="AD178" s="9" t="s">
        <v>91</v>
      </c>
      <c r="AE178" s="14">
        <v>337.38084788249995</v>
      </c>
      <c r="AF178" s="13"/>
      <c r="AO178" s="34" t="s">
        <v>78</v>
      </c>
      <c r="AP178" s="31">
        <v>9.3000000000000007</v>
      </c>
      <c r="AQ178" s="31">
        <v>9.3000000000000007</v>
      </c>
    </row>
    <row r="179" spans="1:67" x14ac:dyDescent="0.2">
      <c r="A179" s="5"/>
      <c r="B179" s="25"/>
      <c r="C179" s="26"/>
      <c r="D179" s="5"/>
      <c r="E179" s="5"/>
      <c r="F179" s="32"/>
      <c r="G179" s="9"/>
      <c r="H179" s="6"/>
      <c r="I179" s="7"/>
      <c r="J179" s="9"/>
      <c r="N179" s="9"/>
      <c r="O179" s="12"/>
      <c r="P179" s="12"/>
      <c r="S179" s="9"/>
      <c r="T179" s="18"/>
      <c r="U179" s="18"/>
      <c r="Y179" s="9" t="e">
        <f t="shared" si="2"/>
        <v>#DIV/0!</v>
      </c>
      <c r="Z179" s="19"/>
      <c r="AC179" s="11"/>
      <c r="AD179" s="9"/>
      <c r="AE179" s="14"/>
      <c r="AF179" s="13"/>
      <c r="AO179" s="34" t="s">
        <v>79</v>
      </c>
      <c r="AP179" s="31">
        <v>5.6</v>
      </c>
      <c r="AQ179" s="31">
        <v>5.6</v>
      </c>
    </row>
    <row r="180" spans="1:67" x14ac:dyDescent="0.2">
      <c r="A180" s="5" t="s">
        <v>67</v>
      </c>
      <c r="B180" s="25">
        <v>43319</v>
      </c>
      <c r="C180" s="26">
        <v>0.6875</v>
      </c>
      <c r="D180" s="5" t="s">
        <v>181</v>
      </c>
      <c r="E180" s="5"/>
      <c r="F180" s="32">
        <v>59</v>
      </c>
      <c r="G180" s="9">
        <v>2</v>
      </c>
      <c r="H180" s="6">
        <v>3.3898305084745763E-2</v>
      </c>
      <c r="I180" s="7">
        <v>6.83E-2</v>
      </c>
      <c r="J180" s="9">
        <v>314.15899999999999</v>
      </c>
      <c r="K180" s="9">
        <v>0.8196</v>
      </c>
      <c r="L180" s="9">
        <v>12</v>
      </c>
      <c r="M180" s="14">
        <v>191.65385553928746</v>
      </c>
      <c r="N180" s="9">
        <v>1733</v>
      </c>
      <c r="O180" s="12" t="s">
        <v>92</v>
      </c>
      <c r="P180" s="12" t="s">
        <v>82</v>
      </c>
      <c r="Q180" s="9" t="s">
        <v>89</v>
      </c>
      <c r="R180" s="9" t="s">
        <v>93</v>
      </c>
      <c r="S180" s="9"/>
      <c r="T180" s="18">
        <v>1</v>
      </c>
      <c r="U180" s="18">
        <v>1</v>
      </c>
      <c r="V180" s="9">
        <v>6.5</v>
      </c>
      <c r="Y180" s="9">
        <f t="shared" si="2"/>
        <v>191.65385553928746</v>
      </c>
      <c r="Z180" s="19" t="s">
        <v>73</v>
      </c>
      <c r="AA180" s="8" t="s">
        <v>182</v>
      </c>
      <c r="AB180" s="8" t="s">
        <v>75</v>
      </c>
      <c r="AC180" s="11" t="s">
        <v>112</v>
      </c>
      <c r="AD180" s="9" t="s">
        <v>91</v>
      </c>
      <c r="AE180" s="14">
        <v>112.822350875</v>
      </c>
      <c r="AF180" s="13"/>
      <c r="AO180" s="34" t="s">
        <v>78</v>
      </c>
      <c r="AP180" s="31">
        <v>6.5</v>
      </c>
      <c r="AQ180" s="31">
        <v>6.5</v>
      </c>
    </row>
    <row r="181" spans="1:67" x14ac:dyDescent="0.2">
      <c r="A181" s="5"/>
      <c r="B181" s="25"/>
      <c r="C181" s="26"/>
      <c r="D181" s="5"/>
      <c r="E181" s="5"/>
      <c r="F181" s="32"/>
      <c r="G181" s="9"/>
      <c r="H181" s="6"/>
      <c r="I181" s="7"/>
      <c r="J181" s="9"/>
      <c r="N181" s="9"/>
      <c r="O181" s="12"/>
      <c r="P181" s="12"/>
      <c r="S181" s="9"/>
      <c r="T181" s="18"/>
      <c r="U181" s="18"/>
      <c r="Y181" s="9" t="e">
        <f t="shared" si="2"/>
        <v>#DIV/0!</v>
      </c>
      <c r="Z181" s="19"/>
      <c r="AC181" s="11"/>
      <c r="AD181" s="9"/>
      <c r="AE181" s="14"/>
      <c r="AF181" s="13"/>
      <c r="AO181" s="34" t="s">
        <v>79</v>
      </c>
      <c r="AP181" s="31">
        <v>3.7</v>
      </c>
      <c r="AQ181" s="31">
        <v>3.7</v>
      </c>
    </row>
    <row r="182" spans="1:67" x14ac:dyDescent="0.2">
      <c r="A182" s="5" t="s">
        <v>67</v>
      </c>
      <c r="B182" s="25">
        <v>43319</v>
      </c>
      <c r="C182" s="26">
        <v>0.6875</v>
      </c>
      <c r="D182" s="5" t="s">
        <v>181</v>
      </c>
      <c r="E182" s="5"/>
      <c r="F182" s="32">
        <v>59</v>
      </c>
      <c r="G182" s="9">
        <v>2</v>
      </c>
      <c r="H182" s="6">
        <v>3.3898305084745763E-2</v>
      </c>
      <c r="I182" s="7">
        <v>6.83E-2</v>
      </c>
      <c r="J182" s="9">
        <v>314.15899999999999</v>
      </c>
      <c r="K182" s="9">
        <v>0.8196</v>
      </c>
      <c r="L182" s="9">
        <v>12</v>
      </c>
      <c r="M182" s="14">
        <v>191.65385553928746</v>
      </c>
      <c r="N182" s="9">
        <v>1365</v>
      </c>
      <c r="O182" s="8" t="s">
        <v>121</v>
      </c>
      <c r="P182" s="12" t="s">
        <v>82</v>
      </c>
      <c r="Q182" s="9" t="s">
        <v>122</v>
      </c>
      <c r="R182" s="9" t="s">
        <v>123</v>
      </c>
      <c r="S182" s="9"/>
      <c r="T182" s="18">
        <v>1</v>
      </c>
      <c r="U182" s="18">
        <v>1</v>
      </c>
      <c r="V182" s="9">
        <v>10.199999999999999</v>
      </c>
      <c r="Y182" s="9">
        <f t="shared" si="2"/>
        <v>191.65385553928746</v>
      </c>
      <c r="Z182" s="19" t="s">
        <v>73</v>
      </c>
      <c r="AA182" s="8" t="s">
        <v>182</v>
      </c>
      <c r="AB182" s="8" t="s">
        <v>75</v>
      </c>
      <c r="AC182" s="11" t="s">
        <v>112</v>
      </c>
      <c r="AD182" s="9" t="s">
        <v>91</v>
      </c>
      <c r="AE182" s="14">
        <v>479.3815012799999</v>
      </c>
      <c r="AF182" s="13"/>
      <c r="AO182" s="34" t="s">
        <v>78</v>
      </c>
      <c r="AP182" s="31">
        <v>10.199999999999999</v>
      </c>
      <c r="AQ182" s="31">
        <v>10.199999999999999</v>
      </c>
    </row>
    <row r="183" spans="1:67" x14ac:dyDescent="0.2">
      <c r="A183" s="5"/>
      <c r="B183" s="25"/>
      <c r="C183" s="26"/>
      <c r="D183" s="5"/>
      <c r="E183" s="5"/>
      <c r="F183" s="32"/>
      <c r="G183" s="9"/>
      <c r="H183" s="6"/>
      <c r="I183" s="7"/>
      <c r="J183" s="9"/>
      <c r="N183" s="9"/>
      <c r="P183" s="12"/>
      <c r="S183" s="9"/>
      <c r="T183" s="18"/>
      <c r="U183" s="18"/>
      <c r="Y183" s="9" t="e">
        <f t="shared" si="2"/>
        <v>#DIV/0!</v>
      </c>
      <c r="Z183" s="19"/>
      <c r="AC183" s="11"/>
      <c r="AD183" s="9"/>
      <c r="AE183" s="14"/>
      <c r="AF183" s="13"/>
      <c r="AO183" s="34" t="s">
        <v>79</v>
      </c>
      <c r="AP183" s="31">
        <v>7.4</v>
      </c>
      <c r="AQ183" s="31">
        <v>7.4</v>
      </c>
    </row>
    <row r="184" spans="1:67" x14ac:dyDescent="0.2">
      <c r="A184" s="5" t="s">
        <v>67</v>
      </c>
      <c r="B184" s="25">
        <v>43319</v>
      </c>
      <c r="C184" s="26">
        <v>0.6875</v>
      </c>
      <c r="D184" s="5" t="s">
        <v>181</v>
      </c>
      <c r="E184" s="5"/>
      <c r="F184" s="32">
        <v>59</v>
      </c>
      <c r="G184" s="9">
        <v>2</v>
      </c>
      <c r="H184" s="6">
        <v>3.3898305084745763E-2</v>
      </c>
      <c r="I184" s="7">
        <v>6.83E-2</v>
      </c>
      <c r="J184" s="9">
        <v>314.15899999999999</v>
      </c>
      <c r="K184" s="9">
        <v>0.8196</v>
      </c>
      <c r="L184" s="9">
        <v>12</v>
      </c>
      <c r="M184" s="14">
        <v>191.65385553928746</v>
      </c>
      <c r="N184" s="9">
        <v>1419</v>
      </c>
      <c r="O184" s="12" t="s">
        <v>94</v>
      </c>
      <c r="P184" s="12" t="s">
        <v>82</v>
      </c>
      <c r="Q184" s="9" t="s">
        <v>95</v>
      </c>
      <c r="R184" s="9" t="s">
        <v>96</v>
      </c>
      <c r="S184" s="9"/>
      <c r="T184" s="18">
        <v>360</v>
      </c>
      <c r="U184" s="18">
        <v>722</v>
      </c>
      <c r="V184" s="9">
        <v>0.8</v>
      </c>
      <c r="W184" s="9">
        <v>0.8</v>
      </c>
      <c r="X184" s="9">
        <v>0.8</v>
      </c>
      <c r="Y184" s="9">
        <f t="shared" si="2"/>
        <v>68995.387994143486</v>
      </c>
      <c r="Z184" s="19" t="s">
        <v>97</v>
      </c>
      <c r="AA184" s="8" t="s">
        <v>182</v>
      </c>
      <c r="AB184" s="8" t="s">
        <v>75</v>
      </c>
      <c r="AC184" s="11" t="s">
        <v>112</v>
      </c>
      <c r="AD184" s="9" t="s">
        <v>85</v>
      </c>
      <c r="AE184" s="14">
        <v>0.18</v>
      </c>
      <c r="AF184" s="14">
        <v>0.18</v>
      </c>
      <c r="AG184" s="14">
        <v>0.18</v>
      </c>
      <c r="AH184" s="14">
        <v>0.18</v>
      </c>
      <c r="AI184" s="14">
        <v>0.18</v>
      </c>
      <c r="AJ184" s="14">
        <v>0.18</v>
      </c>
      <c r="AK184" s="14">
        <v>0.18</v>
      </c>
      <c r="AL184" s="14">
        <v>0.18</v>
      </c>
      <c r="AM184" s="14">
        <v>0.18</v>
      </c>
      <c r="AN184" s="14">
        <v>0.18</v>
      </c>
      <c r="AO184" s="35" t="s">
        <v>78</v>
      </c>
      <c r="AP184" s="31">
        <v>0.75200000000000033</v>
      </c>
      <c r="AQ184" s="31">
        <v>0.7</v>
      </c>
      <c r="AR184" s="31">
        <v>0.7</v>
      </c>
      <c r="AS184" s="31">
        <v>0.7</v>
      </c>
      <c r="AT184" s="31">
        <v>0.7</v>
      </c>
      <c r="AU184" s="31">
        <v>0.7</v>
      </c>
      <c r="AV184" s="31">
        <v>0.7</v>
      </c>
      <c r="AW184" s="31">
        <v>0.7</v>
      </c>
      <c r="AX184" s="31">
        <v>0.7</v>
      </c>
      <c r="AY184" s="31">
        <v>0.7</v>
      </c>
      <c r="AZ184" s="31">
        <v>0.7</v>
      </c>
      <c r="BA184" s="31">
        <v>0.7</v>
      </c>
      <c r="BB184" s="31">
        <v>0.7</v>
      </c>
      <c r="BC184" s="31">
        <v>0.8</v>
      </c>
      <c r="BD184" s="31">
        <v>0.8</v>
      </c>
      <c r="BE184" s="31">
        <v>0.8</v>
      </c>
      <c r="BF184" s="31">
        <v>0.8</v>
      </c>
      <c r="BG184" s="31">
        <v>0.8</v>
      </c>
      <c r="BH184" s="31">
        <v>0.8</v>
      </c>
      <c r="BI184" s="31">
        <v>0.8</v>
      </c>
      <c r="BJ184" s="31">
        <v>0.8</v>
      </c>
      <c r="BK184" s="31">
        <v>0.8</v>
      </c>
      <c r="BL184" s="31">
        <v>0.8</v>
      </c>
      <c r="BM184" s="31">
        <v>0.8</v>
      </c>
      <c r="BN184" s="31">
        <v>0.8</v>
      </c>
      <c r="BO184" s="31">
        <v>0.8</v>
      </c>
    </row>
    <row r="185" spans="1:67" x14ac:dyDescent="0.2">
      <c r="A185" s="5" t="s">
        <v>67</v>
      </c>
      <c r="B185" s="25">
        <v>43319</v>
      </c>
      <c r="C185" s="26">
        <v>0.6875</v>
      </c>
      <c r="D185" s="5" t="s">
        <v>181</v>
      </c>
      <c r="E185" s="5"/>
      <c r="F185" s="32">
        <v>59</v>
      </c>
      <c r="G185" s="9">
        <v>2</v>
      </c>
      <c r="H185" s="6">
        <v>3.3898305084745763E-2</v>
      </c>
      <c r="I185" s="7">
        <v>6.83E-2</v>
      </c>
      <c r="J185" s="9">
        <v>314.15899999999999</v>
      </c>
      <c r="K185" s="9">
        <v>0.8196</v>
      </c>
      <c r="L185" s="9">
        <v>12</v>
      </c>
      <c r="M185" s="14">
        <v>191.65385553928746</v>
      </c>
      <c r="N185" s="9">
        <v>1681</v>
      </c>
      <c r="O185" s="12" t="s">
        <v>183</v>
      </c>
      <c r="P185" s="12" t="s">
        <v>82</v>
      </c>
      <c r="Q185" s="9" t="s">
        <v>95</v>
      </c>
      <c r="R185" s="9" t="s">
        <v>184</v>
      </c>
      <c r="S185" s="9"/>
      <c r="T185" s="18">
        <v>2</v>
      </c>
      <c r="U185" s="18">
        <v>8</v>
      </c>
      <c r="V185" s="9">
        <v>3.7</v>
      </c>
      <c r="Y185" s="9">
        <f t="shared" si="2"/>
        <v>383.30771107857493</v>
      </c>
      <c r="Z185" s="19" t="s">
        <v>97</v>
      </c>
      <c r="AA185" s="8" t="s">
        <v>182</v>
      </c>
      <c r="AB185" s="8" t="s">
        <v>75</v>
      </c>
      <c r="AC185" s="11" t="s">
        <v>112</v>
      </c>
      <c r="AD185" s="9" t="s">
        <v>85</v>
      </c>
      <c r="AE185" s="14">
        <v>26.521826378333333</v>
      </c>
      <c r="AF185" s="13"/>
      <c r="AO185" s="34" t="s">
        <v>78</v>
      </c>
      <c r="AP185" s="31">
        <v>3.7</v>
      </c>
      <c r="AQ185" s="31">
        <v>3.7</v>
      </c>
      <c r="AR185" s="31">
        <v>3.7</v>
      </c>
      <c r="AS185" s="31">
        <v>3.7</v>
      </c>
      <c r="AT185" s="31">
        <v>3.7</v>
      </c>
      <c r="AU185" s="31">
        <v>3.7</v>
      </c>
    </row>
    <row r="186" spans="1:67" x14ac:dyDescent="0.2">
      <c r="A186" s="5" t="s">
        <v>67</v>
      </c>
      <c r="B186" s="25">
        <v>43319</v>
      </c>
      <c r="C186" s="26">
        <v>0.6875</v>
      </c>
      <c r="D186" s="5" t="s">
        <v>181</v>
      </c>
      <c r="E186" s="5"/>
      <c r="F186" s="32">
        <v>59</v>
      </c>
      <c r="G186" s="9">
        <v>2</v>
      </c>
      <c r="H186" s="6">
        <v>3.3898305084745763E-2</v>
      </c>
      <c r="I186" s="7">
        <v>6.83E-2</v>
      </c>
      <c r="J186" s="9">
        <v>314.15899999999999</v>
      </c>
      <c r="K186" s="9">
        <v>0.8196</v>
      </c>
      <c r="L186" s="9">
        <v>12</v>
      </c>
      <c r="M186" s="14">
        <v>191.65385553928746</v>
      </c>
      <c r="N186" s="9">
        <v>1507</v>
      </c>
      <c r="O186" s="12" t="s">
        <v>185</v>
      </c>
      <c r="P186" s="12" t="s">
        <v>82</v>
      </c>
      <c r="Q186" s="9" t="s">
        <v>133</v>
      </c>
      <c r="R186" s="9" t="s">
        <v>186</v>
      </c>
      <c r="S186" s="9"/>
      <c r="T186" s="18">
        <v>1</v>
      </c>
      <c r="U186" s="18">
        <v>32</v>
      </c>
      <c r="V186" s="9">
        <v>3.7</v>
      </c>
      <c r="Y186" s="9">
        <f t="shared" si="2"/>
        <v>191.65385553928746</v>
      </c>
      <c r="Z186" s="19" t="s">
        <v>134</v>
      </c>
      <c r="AA186" s="8" t="s">
        <v>182</v>
      </c>
      <c r="AB186" s="8" t="s">
        <v>75</v>
      </c>
      <c r="AC186" s="11" t="s">
        <v>112</v>
      </c>
      <c r="AD186" s="9" t="s">
        <v>104</v>
      </c>
      <c r="AE186" s="14">
        <v>22.782810679999997</v>
      </c>
      <c r="AF186" s="13"/>
      <c r="AO186" s="34" t="s">
        <v>78</v>
      </c>
      <c r="AP186" s="31">
        <v>3.7</v>
      </c>
      <c r="AQ186" s="31">
        <v>3.7</v>
      </c>
      <c r="AR186" s="31">
        <v>3.7</v>
      </c>
      <c r="AS186" s="31">
        <v>3.7</v>
      </c>
      <c r="AT186" s="31">
        <v>3.7</v>
      </c>
      <c r="AU186" s="31">
        <v>3.7</v>
      </c>
    </row>
    <row r="187" spans="1:67" x14ac:dyDescent="0.2">
      <c r="A187" s="5"/>
      <c r="B187" s="25"/>
      <c r="C187" s="26"/>
      <c r="D187" s="5"/>
      <c r="E187" s="5"/>
      <c r="F187" s="32"/>
      <c r="G187" s="9"/>
      <c r="H187" s="6"/>
      <c r="I187" s="7"/>
      <c r="J187" s="9"/>
      <c r="N187" s="9"/>
      <c r="O187" s="12"/>
      <c r="P187" s="12"/>
      <c r="S187" s="9"/>
      <c r="T187" s="18"/>
      <c r="U187" s="18"/>
      <c r="Y187" s="9" t="e">
        <f t="shared" si="2"/>
        <v>#DIV/0!</v>
      </c>
      <c r="Z187" s="19"/>
      <c r="AC187" s="11"/>
      <c r="AD187" s="9"/>
      <c r="AE187" s="14"/>
      <c r="AF187" s="13"/>
      <c r="AO187" s="34" t="s">
        <v>79</v>
      </c>
      <c r="AP187" s="31">
        <v>2.8</v>
      </c>
      <c r="AQ187" s="31">
        <v>2.8</v>
      </c>
      <c r="AR187" s="31">
        <v>2.8</v>
      </c>
      <c r="AS187" s="31">
        <v>2.8</v>
      </c>
      <c r="AT187" s="31">
        <v>2.8</v>
      </c>
      <c r="AU187" s="31">
        <v>2.8</v>
      </c>
    </row>
    <row r="188" spans="1:67" x14ac:dyDescent="0.2">
      <c r="A188" s="5" t="s">
        <v>67</v>
      </c>
      <c r="B188" s="25">
        <v>43319</v>
      </c>
      <c r="C188" s="26">
        <v>0.67361111111111105</v>
      </c>
      <c r="D188" s="5" t="s">
        <v>187</v>
      </c>
      <c r="E188" s="5">
        <v>3</v>
      </c>
      <c r="F188" s="32">
        <v>60</v>
      </c>
      <c r="G188" s="9">
        <v>2</v>
      </c>
      <c r="H188" s="6">
        <v>3.3333333333333333E-2</v>
      </c>
      <c r="I188" s="7">
        <v>6.83E-2</v>
      </c>
      <c r="J188" s="9">
        <v>314.15899999999999</v>
      </c>
      <c r="K188" s="9">
        <v>0.88790000000000002</v>
      </c>
      <c r="L188" s="9">
        <v>13</v>
      </c>
      <c r="M188" s="14">
        <v>176.91125126703457</v>
      </c>
      <c r="N188" s="9">
        <v>1031</v>
      </c>
      <c r="O188" s="12" t="s">
        <v>81</v>
      </c>
      <c r="P188" s="12" t="s">
        <v>82</v>
      </c>
      <c r="Q188" s="9" t="s">
        <v>83</v>
      </c>
      <c r="R188" s="9" t="s">
        <v>84</v>
      </c>
      <c r="S188" s="9"/>
      <c r="T188" s="18">
        <v>1</v>
      </c>
      <c r="U188" s="18">
        <v>1</v>
      </c>
      <c r="V188" s="9">
        <v>5.6</v>
      </c>
      <c r="Y188" s="9">
        <f t="shared" si="2"/>
        <v>176.91125126703457</v>
      </c>
      <c r="Z188" s="19" t="s">
        <v>73</v>
      </c>
      <c r="AA188" s="8" t="s">
        <v>188</v>
      </c>
      <c r="AB188" s="8" t="s">
        <v>75</v>
      </c>
      <c r="AC188" s="11" t="s">
        <v>112</v>
      </c>
      <c r="AD188" s="9" t="s">
        <v>85</v>
      </c>
      <c r="AE188" s="14">
        <v>62.044308106666655</v>
      </c>
      <c r="AF188" s="13"/>
      <c r="AO188" s="34" t="s">
        <v>78</v>
      </c>
      <c r="AP188" s="31">
        <v>5.6</v>
      </c>
      <c r="AQ188" s="31">
        <v>5.6</v>
      </c>
    </row>
    <row r="189" spans="1:67" x14ac:dyDescent="0.2">
      <c r="A189" s="5"/>
      <c r="B189" s="25"/>
      <c r="C189" s="26"/>
      <c r="D189" s="5"/>
      <c r="E189" s="5"/>
      <c r="F189" s="32"/>
      <c r="G189" s="9"/>
      <c r="H189" s="6"/>
      <c r="I189" s="7"/>
      <c r="J189" s="9"/>
      <c r="N189" s="9"/>
      <c r="O189" s="12"/>
      <c r="P189" s="12"/>
      <c r="S189" s="9"/>
      <c r="T189" s="18"/>
      <c r="U189" s="18"/>
      <c r="Y189" s="9" t="e">
        <f t="shared" si="2"/>
        <v>#DIV/0!</v>
      </c>
      <c r="Z189" s="19"/>
      <c r="AC189" s="11"/>
      <c r="AD189" s="9"/>
      <c r="AE189" s="14"/>
      <c r="AF189" s="13"/>
      <c r="AO189" s="34" t="s">
        <v>79</v>
      </c>
      <c r="AP189" s="31">
        <v>4.5999999999999996</v>
      </c>
      <c r="AQ189" s="31">
        <v>4.5999999999999996</v>
      </c>
    </row>
    <row r="190" spans="1:67" x14ac:dyDescent="0.2">
      <c r="A190" s="5"/>
      <c r="B190" s="25"/>
      <c r="C190" s="26"/>
      <c r="D190" s="5"/>
      <c r="E190" s="5"/>
      <c r="F190" s="32"/>
      <c r="G190" s="9"/>
      <c r="H190" s="6"/>
      <c r="I190" s="7"/>
      <c r="J190" s="9"/>
      <c r="N190" s="9"/>
      <c r="O190" s="12"/>
      <c r="P190" s="12"/>
      <c r="S190" s="9"/>
      <c r="T190" s="18"/>
      <c r="U190" s="18"/>
      <c r="Y190" s="9" t="e">
        <f t="shared" si="2"/>
        <v>#DIV/0!</v>
      </c>
      <c r="Z190" s="19"/>
      <c r="AC190" s="11"/>
      <c r="AD190" s="9"/>
      <c r="AE190" s="14"/>
      <c r="AF190" s="13"/>
      <c r="AO190" s="34" t="s">
        <v>80</v>
      </c>
      <c r="AP190" s="31">
        <v>4.5999999999999996</v>
      </c>
      <c r="AQ190" s="31">
        <v>4.5999999999999996</v>
      </c>
    </row>
    <row r="191" spans="1:67" x14ac:dyDescent="0.2">
      <c r="A191" s="5" t="s">
        <v>67</v>
      </c>
      <c r="B191" s="25">
        <v>43319</v>
      </c>
      <c r="C191" s="26">
        <v>0.67361111111111105</v>
      </c>
      <c r="D191" s="5" t="s">
        <v>187</v>
      </c>
      <c r="E191" s="5">
        <v>3</v>
      </c>
      <c r="F191" s="32">
        <v>60</v>
      </c>
      <c r="G191" s="9">
        <v>2</v>
      </c>
      <c r="H191" s="6">
        <v>3.3333333333333333E-2</v>
      </c>
      <c r="I191" s="7">
        <v>6.83E-2</v>
      </c>
      <c r="J191" s="9">
        <v>314.15899999999999</v>
      </c>
      <c r="K191" s="9">
        <v>0.88790000000000002</v>
      </c>
      <c r="L191" s="9">
        <v>13</v>
      </c>
      <c r="M191" s="14">
        <v>176.91125126703457</v>
      </c>
      <c r="N191" s="9">
        <v>1037</v>
      </c>
      <c r="O191" s="12" t="s">
        <v>86</v>
      </c>
      <c r="P191" s="12" t="s">
        <v>82</v>
      </c>
      <c r="Q191" s="9" t="s">
        <v>87</v>
      </c>
      <c r="R191" s="9" t="s">
        <v>84</v>
      </c>
      <c r="S191" s="9"/>
      <c r="T191" s="18">
        <v>20</v>
      </c>
      <c r="U191" s="18">
        <v>20</v>
      </c>
      <c r="V191" s="9">
        <v>2.8</v>
      </c>
      <c r="Y191" s="9">
        <f t="shared" si="2"/>
        <v>3538.2250253406914</v>
      </c>
      <c r="Z191" s="19" t="s">
        <v>73</v>
      </c>
      <c r="AA191" s="8" t="s">
        <v>188</v>
      </c>
      <c r="AB191" s="8" t="s">
        <v>75</v>
      </c>
      <c r="AC191" s="11" t="s">
        <v>112</v>
      </c>
      <c r="AD191" s="9" t="s">
        <v>85</v>
      </c>
      <c r="AE191" s="14">
        <v>7.2382233599999992</v>
      </c>
      <c r="AF191" s="13"/>
      <c r="AO191" s="34" t="s">
        <v>78</v>
      </c>
      <c r="AP191" s="31">
        <v>2.44</v>
      </c>
      <c r="AQ191" s="31">
        <v>2.8</v>
      </c>
      <c r="AR191" s="31">
        <v>2.8</v>
      </c>
      <c r="AS191" s="31">
        <v>2.8</v>
      </c>
      <c r="AT191" s="31">
        <v>1.9</v>
      </c>
      <c r="AU191" s="31">
        <v>1.9</v>
      </c>
    </row>
    <row r="192" spans="1:67" x14ac:dyDescent="0.2">
      <c r="A192" s="5" t="s">
        <v>67</v>
      </c>
      <c r="B192" s="25">
        <v>43319</v>
      </c>
      <c r="C192" s="26">
        <v>0.67361111111111105</v>
      </c>
      <c r="D192" s="5" t="s">
        <v>187</v>
      </c>
      <c r="E192" s="5">
        <v>3</v>
      </c>
      <c r="F192" s="32">
        <v>60</v>
      </c>
      <c r="G192" s="9">
        <v>2</v>
      </c>
      <c r="H192" s="6">
        <v>3.3333333333333333E-2</v>
      </c>
      <c r="I192" s="7">
        <v>6.83E-2</v>
      </c>
      <c r="J192" s="9">
        <v>314.15899999999999</v>
      </c>
      <c r="K192" s="9">
        <v>0.88790000000000002</v>
      </c>
      <c r="L192" s="9">
        <v>13</v>
      </c>
      <c r="M192" s="14">
        <v>176.91125126703457</v>
      </c>
      <c r="N192" s="9">
        <v>1419</v>
      </c>
      <c r="O192" s="12" t="s">
        <v>94</v>
      </c>
      <c r="P192" s="12" t="s">
        <v>82</v>
      </c>
      <c r="Q192" s="9" t="s">
        <v>95</v>
      </c>
      <c r="R192" s="9" t="s">
        <v>96</v>
      </c>
      <c r="S192" s="9"/>
      <c r="T192" s="18">
        <v>397</v>
      </c>
      <c r="U192" s="18">
        <v>808</v>
      </c>
      <c r="V192" s="9">
        <v>0.8</v>
      </c>
      <c r="W192" s="9">
        <v>0.8</v>
      </c>
      <c r="X192" s="9">
        <v>0.8</v>
      </c>
      <c r="Y192" s="9">
        <f t="shared" si="2"/>
        <v>70233.766753012722</v>
      </c>
      <c r="Z192" s="19" t="s">
        <v>97</v>
      </c>
      <c r="AA192" s="8" t="s">
        <v>188</v>
      </c>
      <c r="AB192" s="8" t="s">
        <v>75</v>
      </c>
      <c r="AC192" s="11" t="s">
        <v>112</v>
      </c>
      <c r="AD192" s="9" t="s">
        <v>85</v>
      </c>
      <c r="AE192" s="14">
        <v>0.18</v>
      </c>
      <c r="AF192" s="14">
        <v>0.18</v>
      </c>
      <c r="AG192" s="14">
        <v>0.18</v>
      </c>
      <c r="AH192" s="14">
        <v>0.18</v>
      </c>
      <c r="AI192" s="14">
        <v>0.18</v>
      </c>
      <c r="AJ192" s="14">
        <v>0.18</v>
      </c>
      <c r="AK192" s="14">
        <v>0.18</v>
      </c>
      <c r="AL192" s="14">
        <v>0.18</v>
      </c>
      <c r="AM192" s="14">
        <v>0.18</v>
      </c>
      <c r="AN192" s="14">
        <v>0.18</v>
      </c>
      <c r="AO192" s="35" t="s">
        <v>78</v>
      </c>
      <c r="AP192" s="31">
        <v>0.75200000000000033</v>
      </c>
      <c r="AQ192" s="31">
        <v>0.7</v>
      </c>
      <c r="AR192" s="31">
        <v>0.7</v>
      </c>
      <c r="AS192" s="31">
        <v>0.7</v>
      </c>
      <c r="AT192" s="31">
        <v>0.7</v>
      </c>
      <c r="AU192" s="31">
        <v>0.7</v>
      </c>
      <c r="AV192" s="31">
        <v>0.7</v>
      </c>
      <c r="AW192" s="31">
        <v>0.7</v>
      </c>
      <c r="AX192" s="31">
        <v>0.7</v>
      </c>
      <c r="AY192" s="31">
        <v>0.7</v>
      </c>
      <c r="AZ192" s="31">
        <v>0.7</v>
      </c>
      <c r="BA192" s="31">
        <v>0.7</v>
      </c>
      <c r="BB192" s="31">
        <v>0.7</v>
      </c>
      <c r="BC192" s="31">
        <v>0.8</v>
      </c>
      <c r="BD192" s="31">
        <v>0.8</v>
      </c>
      <c r="BE192" s="31">
        <v>0.8</v>
      </c>
      <c r="BF192" s="31">
        <v>0.8</v>
      </c>
      <c r="BG192" s="31">
        <v>0.8</v>
      </c>
      <c r="BH192" s="31">
        <v>0.8</v>
      </c>
      <c r="BI192" s="31">
        <v>0.8</v>
      </c>
      <c r="BJ192" s="31">
        <v>0.8</v>
      </c>
      <c r="BK192" s="31">
        <v>0.8</v>
      </c>
      <c r="BL192" s="31">
        <v>0.8</v>
      </c>
      <c r="BM192" s="31">
        <v>0.8</v>
      </c>
      <c r="BN192" s="31">
        <v>0.8</v>
      </c>
      <c r="BO192" s="31">
        <v>0.8</v>
      </c>
    </row>
    <row r="193" spans="1:67" x14ac:dyDescent="0.2">
      <c r="A193" s="5" t="s">
        <v>67</v>
      </c>
      <c r="B193" s="25">
        <v>43319</v>
      </c>
      <c r="C193" s="26">
        <v>0.70138888888888895</v>
      </c>
      <c r="D193" s="5" t="s">
        <v>189</v>
      </c>
      <c r="E193" s="5">
        <v>3</v>
      </c>
      <c r="F193" s="32">
        <v>62</v>
      </c>
      <c r="G193" s="9">
        <v>2</v>
      </c>
      <c r="H193" s="6">
        <v>3.2258064516129031E-2</v>
      </c>
      <c r="I193" s="7">
        <v>6.83E-2</v>
      </c>
      <c r="J193" s="9">
        <v>314.15899999999999</v>
      </c>
      <c r="K193" s="9">
        <v>0.75129999999999997</v>
      </c>
      <c r="L193" s="9">
        <v>11</v>
      </c>
      <c r="M193" s="14">
        <v>209.07693331558633</v>
      </c>
      <c r="N193" s="9">
        <v>749</v>
      </c>
      <c r="O193" s="12" t="s">
        <v>190</v>
      </c>
      <c r="P193" s="8" t="s">
        <v>70</v>
      </c>
      <c r="Q193" s="9" t="s">
        <v>191</v>
      </c>
      <c r="R193" s="9" t="s">
        <v>84</v>
      </c>
      <c r="S193" s="9"/>
      <c r="T193" s="18">
        <v>1</v>
      </c>
      <c r="U193" s="18">
        <v>1</v>
      </c>
      <c r="V193" s="9">
        <v>20.399999999999999</v>
      </c>
      <c r="Y193" s="9">
        <f t="shared" si="2"/>
        <v>209.07693331558633</v>
      </c>
      <c r="Z193" s="19" t="s">
        <v>73</v>
      </c>
      <c r="AA193" s="8" t="s">
        <v>192</v>
      </c>
      <c r="AB193" s="8" t="s">
        <v>75</v>
      </c>
      <c r="AC193" s="11" t="s">
        <v>76</v>
      </c>
      <c r="AD193" s="9" t="s">
        <v>193</v>
      </c>
      <c r="AE193" s="14">
        <v>79.967999999999975</v>
      </c>
      <c r="AF193" s="13"/>
      <c r="AO193" s="34" t="s">
        <v>78</v>
      </c>
      <c r="AP193" s="31">
        <v>20.399999999999999</v>
      </c>
      <c r="AQ193" s="31">
        <v>20.399999999999999</v>
      </c>
    </row>
    <row r="194" spans="1:67" x14ac:dyDescent="0.2">
      <c r="A194" s="5"/>
      <c r="B194" s="25"/>
      <c r="C194" s="26"/>
      <c r="D194" s="5"/>
      <c r="E194" s="5"/>
      <c r="F194" s="32"/>
      <c r="G194" s="9"/>
      <c r="H194" s="6"/>
      <c r="I194" s="7"/>
      <c r="J194" s="9"/>
      <c r="N194" s="9"/>
      <c r="O194" s="12"/>
      <c r="S194" s="9"/>
      <c r="T194" s="18"/>
      <c r="U194" s="18"/>
      <c r="Y194" s="9" t="e">
        <f t="shared" si="2"/>
        <v>#DIV/0!</v>
      </c>
      <c r="Z194" s="19"/>
      <c r="AC194" s="11"/>
      <c r="AD194" s="9"/>
      <c r="AE194" s="14"/>
      <c r="AF194" s="13"/>
      <c r="AO194" s="34" t="s">
        <v>79</v>
      </c>
      <c r="AP194" s="31">
        <v>2.8</v>
      </c>
      <c r="AQ194" s="31">
        <v>2.8</v>
      </c>
    </row>
    <row r="195" spans="1:67" x14ac:dyDescent="0.2">
      <c r="A195" s="5"/>
      <c r="B195" s="25"/>
      <c r="C195" s="26"/>
      <c r="D195" s="5"/>
      <c r="E195" s="5"/>
      <c r="F195" s="32"/>
      <c r="G195" s="9"/>
      <c r="H195" s="6"/>
      <c r="I195" s="7"/>
      <c r="J195" s="9"/>
      <c r="N195" s="9"/>
      <c r="O195" s="12"/>
      <c r="S195" s="9"/>
      <c r="T195" s="18"/>
      <c r="U195" s="18"/>
      <c r="Y195" s="9" t="e">
        <f t="shared" ref="Y195:Y258" si="3">(T195*J195)/(G195*I195*L195)</f>
        <v>#DIV/0!</v>
      </c>
      <c r="Z195" s="19"/>
      <c r="AC195" s="11"/>
      <c r="AD195" s="9"/>
      <c r="AE195" s="14"/>
      <c r="AF195" s="13"/>
      <c r="AO195" s="34" t="s">
        <v>80</v>
      </c>
      <c r="AP195" s="31">
        <v>2.8</v>
      </c>
      <c r="AQ195" s="31">
        <v>2.8</v>
      </c>
    </row>
    <row r="196" spans="1:67" x14ac:dyDescent="0.2">
      <c r="A196" s="5" t="s">
        <v>67</v>
      </c>
      <c r="B196" s="25">
        <v>43319</v>
      </c>
      <c r="C196" s="26">
        <v>0.70138888888888895</v>
      </c>
      <c r="D196" s="5" t="s">
        <v>189</v>
      </c>
      <c r="E196" s="5">
        <v>3</v>
      </c>
      <c r="F196" s="32">
        <v>62</v>
      </c>
      <c r="G196" s="9">
        <v>2</v>
      </c>
      <c r="H196" s="6">
        <v>3.2258064516129031E-2</v>
      </c>
      <c r="I196" s="7">
        <v>6.83E-2</v>
      </c>
      <c r="J196" s="9">
        <v>314.15899999999999</v>
      </c>
      <c r="K196" s="9">
        <v>0.75129999999999997</v>
      </c>
      <c r="L196" s="9">
        <v>11</v>
      </c>
      <c r="M196" s="14">
        <v>209.07693331558633</v>
      </c>
      <c r="N196" s="9">
        <v>1031</v>
      </c>
      <c r="O196" s="12" t="s">
        <v>81</v>
      </c>
      <c r="P196" s="12" t="s">
        <v>82</v>
      </c>
      <c r="Q196" s="9" t="s">
        <v>83</v>
      </c>
      <c r="R196" s="9" t="s">
        <v>84</v>
      </c>
      <c r="S196" s="9"/>
      <c r="T196" s="18">
        <v>1</v>
      </c>
      <c r="U196" s="18">
        <v>1</v>
      </c>
      <c r="V196" s="9">
        <v>5.6</v>
      </c>
      <c r="Y196" s="9">
        <f t="shared" si="3"/>
        <v>209.07693331558633</v>
      </c>
      <c r="Z196" s="19" t="s">
        <v>73</v>
      </c>
      <c r="AA196" s="8" t="s">
        <v>192</v>
      </c>
      <c r="AB196" s="8" t="s">
        <v>75</v>
      </c>
      <c r="AC196" s="11" t="s">
        <v>76</v>
      </c>
      <c r="AD196" s="9" t="s">
        <v>85</v>
      </c>
      <c r="AE196" s="14">
        <v>75.532201173333306</v>
      </c>
      <c r="AF196" s="13"/>
      <c r="AO196" s="34" t="s">
        <v>78</v>
      </c>
      <c r="AP196" s="31">
        <v>5.6</v>
      </c>
      <c r="AQ196" s="31">
        <v>5.6</v>
      </c>
    </row>
    <row r="197" spans="1:67" x14ac:dyDescent="0.2">
      <c r="A197" s="5"/>
      <c r="B197" s="25"/>
      <c r="C197" s="26"/>
      <c r="D197" s="5"/>
      <c r="E197" s="5"/>
      <c r="F197" s="32"/>
      <c r="G197" s="9"/>
      <c r="H197" s="6"/>
      <c r="I197" s="7"/>
      <c r="J197" s="9"/>
      <c r="N197" s="9"/>
      <c r="O197" s="12"/>
      <c r="P197" s="12"/>
      <c r="S197" s="9"/>
      <c r="T197" s="18"/>
      <c r="U197" s="18"/>
      <c r="Y197" s="9" t="e">
        <f t="shared" si="3"/>
        <v>#DIV/0!</v>
      </c>
      <c r="Z197" s="19"/>
      <c r="AC197" s="11"/>
      <c r="AD197" s="9"/>
      <c r="AE197" s="14"/>
      <c r="AF197" s="13"/>
      <c r="AO197" s="34" t="s">
        <v>79</v>
      </c>
      <c r="AP197" s="31">
        <v>5.6</v>
      </c>
      <c r="AQ197" s="31">
        <v>5.6</v>
      </c>
    </row>
    <row r="198" spans="1:67" x14ac:dyDescent="0.2">
      <c r="A198" s="5"/>
      <c r="B198" s="25"/>
      <c r="C198" s="26"/>
      <c r="D198" s="5"/>
      <c r="E198" s="5"/>
      <c r="F198" s="32"/>
      <c r="G198" s="9"/>
      <c r="H198" s="6"/>
      <c r="I198" s="7"/>
      <c r="J198" s="9"/>
      <c r="N198" s="9"/>
      <c r="O198" s="12"/>
      <c r="P198" s="12"/>
      <c r="S198" s="9"/>
      <c r="T198" s="18"/>
      <c r="U198" s="18"/>
      <c r="Y198" s="9" t="e">
        <f t="shared" si="3"/>
        <v>#DIV/0!</v>
      </c>
      <c r="Z198" s="19"/>
      <c r="AC198" s="11"/>
      <c r="AD198" s="9"/>
      <c r="AE198" s="14"/>
      <c r="AF198" s="13"/>
      <c r="AO198" s="34" t="s">
        <v>80</v>
      </c>
      <c r="AP198" s="31">
        <v>4.5999999999999996</v>
      </c>
      <c r="AQ198" s="31">
        <v>4.5999999999999996</v>
      </c>
    </row>
    <row r="199" spans="1:67" x14ac:dyDescent="0.2">
      <c r="A199" s="5" t="s">
        <v>67</v>
      </c>
      <c r="B199" s="25">
        <v>43319</v>
      </c>
      <c r="C199" s="26">
        <v>0.70138888888888895</v>
      </c>
      <c r="D199" s="5" t="s">
        <v>189</v>
      </c>
      <c r="E199" s="5">
        <v>3</v>
      </c>
      <c r="F199" s="32">
        <v>62</v>
      </c>
      <c r="G199" s="9">
        <v>2</v>
      </c>
      <c r="H199" s="6">
        <v>3.2258064516129031E-2</v>
      </c>
      <c r="I199" s="7">
        <v>6.83E-2</v>
      </c>
      <c r="J199" s="9">
        <v>314.15899999999999</v>
      </c>
      <c r="K199" s="9">
        <v>0.75129999999999997</v>
      </c>
      <c r="L199" s="9">
        <v>11</v>
      </c>
      <c r="M199" s="14">
        <v>209.07693331558633</v>
      </c>
      <c r="N199" s="9">
        <v>1037</v>
      </c>
      <c r="O199" s="12" t="s">
        <v>86</v>
      </c>
      <c r="P199" s="12" t="s">
        <v>82</v>
      </c>
      <c r="Q199" s="9" t="s">
        <v>87</v>
      </c>
      <c r="R199" s="9" t="s">
        <v>84</v>
      </c>
      <c r="S199" s="9"/>
      <c r="T199" s="18">
        <v>21</v>
      </c>
      <c r="U199" s="18">
        <v>21</v>
      </c>
      <c r="V199" s="9">
        <v>2.8</v>
      </c>
      <c r="Y199" s="9">
        <f t="shared" si="3"/>
        <v>4390.6155996273128</v>
      </c>
      <c r="Z199" s="19" t="s">
        <v>73</v>
      </c>
      <c r="AA199" s="8" t="s">
        <v>192</v>
      </c>
      <c r="AB199" s="8" t="s">
        <v>75</v>
      </c>
      <c r="AC199" s="11" t="s">
        <v>76</v>
      </c>
      <c r="AD199" s="9" t="s">
        <v>85</v>
      </c>
      <c r="AE199" s="14">
        <v>9.2027643066666673</v>
      </c>
      <c r="AF199" s="13"/>
      <c r="AO199" s="34" t="s">
        <v>78</v>
      </c>
      <c r="AP199" s="31">
        <v>2.6199999999999997</v>
      </c>
      <c r="AQ199" s="31">
        <v>2.8</v>
      </c>
      <c r="AR199" s="31">
        <v>2.8</v>
      </c>
      <c r="AS199" s="31">
        <v>2.8</v>
      </c>
      <c r="AT199" s="31">
        <v>1.9</v>
      </c>
      <c r="AU199" s="31">
        <v>2.8</v>
      </c>
    </row>
    <row r="200" spans="1:67" x14ac:dyDescent="0.2">
      <c r="A200" s="5" t="s">
        <v>67</v>
      </c>
      <c r="B200" s="25">
        <v>43319</v>
      </c>
      <c r="C200" s="26">
        <v>0.70138888888888895</v>
      </c>
      <c r="D200" s="5" t="s">
        <v>189</v>
      </c>
      <c r="E200" s="5">
        <v>3</v>
      </c>
      <c r="F200" s="32">
        <v>62</v>
      </c>
      <c r="G200" s="9">
        <v>2</v>
      </c>
      <c r="H200" s="6">
        <v>3.2258064516129031E-2</v>
      </c>
      <c r="I200" s="7">
        <v>6.83E-2</v>
      </c>
      <c r="J200" s="9">
        <v>314.15899999999999</v>
      </c>
      <c r="K200" s="9">
        <v>0.75129999999999997</v>
      </c>
      <c r="L200" s="9">
        <v>11</v>
      </c>
      <c r="M200" s="14">
        <v>209.07693331558633</v>
      </c>
      <c r="N200" s="9">
        <v>1733</v>
      </c>
      <c r="O200" s="12" t="s">
        <v>92</v>
      </c>
      <c r="P200" s="12" t="s">
        <v>82</v>
      </c>
      <c r="Q200" s="9" t="s">
        <v>89</v>
      </c>
      <c r="R200" s="9" t="s">
        <v>93</v>
      </c>
      <c r="S200" s="9"/>
      <c r="T200" s="18">
        <v>2</v>
      </c>
      <c r="U200" s="18">
        <v>2</v>
      </c>
      <c r="V200" s="9">
        <v>7.4</v>
      </c>
      <c r="Y200" s="9">
        <f t="shared" si="3"/>
        <v>418.15386663117266</v>
      </c>
      <c r="Z200" s="19" t="s">
        <v>73</v>
      </c>
      <c r="AA200" s="8" t="s">
        <v>192</v>
      </c>
      <c r="AB200" s="8" t="s">
        <v>75</v>
      </c>
      <c r="AC200" s="11" t="s">
        <v>76</v>
      </c>
      <c r="AD200" s="9" t="s">
        <v>91</v>
      </c>
      <c r="AE200" s="14">
        <v>166.29901945333336</v>
      </c>
      <c r="AF200" s="13"/>
      <c r="AO200" s="34" t="s">
        <v>78</v>
      </c>
      <c r="AP200" s="31">
        <v>7.4</v>
      </c>
      <c r="AQ200" s="31">
        <v>7.4</v>
      </c>
      <c r="AR200" s="31">
        <v>7.4</v>
      </c>
    </row>
    <row r="201" spans="1:67" x14ac:dyDescent="0.2">
      <c r="A201" s="5"/>
      <c r="B201" s="25"/>
      <c r="C201" s="26"/>
      <c r="D201" s="5"/>
      <c r="E201" s="5"/>
      <c r="F201" s="32"/>
      <c r="G201" s="9"/>
      <c r="H201" s="6"/>
      <c r="I201" s="7"/>
      <c r="J201" s="9"/>
      <c r="N201" s="9"/>
      <c r="O201" s="12"/>
      <c r="P201" s="12"/>
      <c r="S201" s="9"/>
      <c r="T201" s="18"/>
      <c r="U201" s="18"/>
      <c r="Y201" s="9" t="e">
        <f t="shared" si="3"/>
        <v>#DIV/0!</v>
      </c>
      <c r="Z201" s="19"/>
      <c r="AC201" s="11"/>
      <c r="AD201" s="9"/>
      <c r="AE201" s="14"/>
      <c r="AF201" s="13"/>
      <c r="AO201" s="34" t="s">
        <v>79</v>
      </c>
      <c r="AP201" s="31">
        <v>4.1500000000000004</v>
      </c>
      <c r="AQ201" s="31">
        <v>3.7</v>
      </c>
      <c r="AR201" s="31">
        <v>4.5999999999999996</v>
      </c>
    </row>
    <row r="202" spans="1:67" x14ac:dyDescent="0.2">
      <c r="A202" s="5" t="s">
        <v>67</v>
      </c>
      <c r="B202" s="25">
        <v>43319</v>
      </c>
      <c r="C202" s="26">
        <v>0.70138888888888895</v>
      </c>
      <c r="D202" s="5" t="s">
        <v>189</v>
      </c>
      <c r="E202" s="5">
        <v>3</v>
      </c>
      <c r="F202" s="32">
        <v>62</v>
      </c>
      <c r="G202" s="9">
        <v>2</v>
      </c>
      <c r="H202" s="6">
        <v>3.2258064516129031E-2</v>
      </c>
      <c r="I202" s="7">
        <v>6.83E-2</v>
      </c>
      <c r="J202" s="9">
        <v>314.15899999999999</v>
      </c>
      <c r="K202" s="9">
        <v>0.75129999999999997</v>
      </c>
      <c r="L202" s="9">
        <v>11</v>
      </c>
      <c r="M202" s="14">
        <v>209.07693331558633</v>
      </c>
      <c r="N202" s="9">
        <v>1419</v>
      </c>
      <c r="O202" s="12" t="s">
        <v>94</v>
      </c>
      <c r="P202" s="12" t="s">
        <v>82</v>
      </c>
      <c r="Q202" s="9" t="s">
        <v>95</v>
      </c>
      <c r="R202" s="9" t="s">
        <v>96</v>
      </c>
      <c r="S202" s="9"/>
      <c r="T202" s="18">
        <v>370</v>
      </c>
      <c r="U202" s="18">
        <v>744</v>
      </c>
      <c r="V202" s="9">
        <v>0.8</v>
      </c>
      <c r="W202" s="9">
        <v>0.8</v>
      </c>
      <c r="X202" s="9">
        <v>0.8</v>
      </c>
      <c r="Y202" s="9">
        <f t="shared" si="3"/>
        <v>77358.465326766935</v>
      </c>
      <c r="Z202" s="19" t="s">
        <v>97</v>
      </c>
      <c r="AA202" s="8" t="s">
        <v>192</v>
      </c>
      <c r="AB202" s="8" t="s">
        <v>75</v>
      </c>
      <c r="AC202" s="11" t="s">
        <v>76</v>
      </c>
      <c r="AD202" s="9" t="s">
        <v>85</v>
      </c>
      <c r="AE202" s="14">
        <v>0.18</v>
      </c>
      <c r="AF202" s="14">
        <v>0.18</v>
      </c>
      <c r="AG202" s="14">
        <v>0.18</v>
      </c>
      <c r="AH202" s="14">
        <v>0.18</v>
      </c>
      <c r="AI202" s="14">
        <v>0.18</v>
      </c>
      <c r="AJ202" s="14">
        <v>0.18</v>
      </c>
      <c r="AK202" s="14">
        <v>0.18</v>
      </c>
      <c r="AL202" s="14">
        <v>0.18</v>
      </c>
      <c r="AM202" s="14">
        <v>0.18</v>
      </c>
      <c r="AN202" s="14">
        <v>0.18</v>
      </c>
      <c r="AO202" s="35" t="s">
        <v>78</v>
      </c>
      <c r="AP202" s="31">
        <v>0.75200000000000033</v>
      </c>
      <c r="AQ202" s="31">
        <v>0.7</v>
      </c>
      <c r="AR202" s="31">
        <v>0.7</v>
      </c>
      <c r="AS202" s="31">
        <v>0.7</v>
      </c>
      <c r="AT202" s="31">
        <v>0.7</v>
      </c>
      <c r="AU202" s="31">
        <v>0.7</v>
      </c>
      <c r="AV202" s="31">
        <v>0.7</v>
      </c>
      <c r="AW202" s="31">
        <v>0.7</v>
      </c>
      <c r="AX202" s="31">
        <v>0.7</v>
      </c>
      <c r="AY202" s="31">
        <v>0.7</v>
      </c>
      <c r="AZ202" s="31">
        <v>0.7</v>
      </c>
      <c r="BA202" s="31">
        <v>0.7</v>
      </c>
      <c r="BB202" s="31">
        <v>0.7</v>
      </c>
      <c r="BC202" s="31">
        <v>0.8</v>
      </c>
      <c r="BD202" s="31">
        <v>0.8</v>
      </c>
      <c r="BE202" s="31">
        <v>0.8</v>
      </c>
      <c r="BF202" s="31">
        <v>0.8</v>
      </c>
      <c r="BG202" s="31">
        <v>0.8</v>
      </c>
      <c r="BH202" s="31">
        <v>0.8</v>
      </c>
      <c r="BI202" s="31">
        <v>0.8</v>
      </c>
      <c r="BJ202" s="31">
        <v>0.8</v>
      </c>
      <c r="BK202" s="31">
        <v>0.8</v>
      </c>
      <c r="BL202" s="31">
        <v>0.8</v>
      </c>
      <c r="BM202" s="31">
        <v>0.8</v>
      </c>
      <c r="BN202" s="31">
        <v>0.8</v>
      </c>
      <c r="BO202" s="31">
        <v>0.8</v>
      </c>
    </row>
    <row r="203" spans="1:67" x14ac:dyDescent="0.2">
      <c r="A203" s="5" t="s">
        <v>67</v>
      </c>
      <c r="B203" s="25">
        <v>43319</v>
      </c>
      <c r="C203" s="26">
        <v>0.70138888888888895</v>
      </c>
      <c r="D203" s="5" t="s">
        <v>189</v>
      </c>
      <c r="E203" s="5">
        <v>3</v>
      </c>
      <c r="F203" s="32">
        <v>62</v>
      </c>
      <c r="G203" s="9">
        <v>2</v>
      </c>
      <c r="H203" s="6">
        <v>3.2258064516129031E-2</v>
      </c>
      <c r="I203" s="7">
        <v>6.83E-2</v>
      </c>
      <c r="J203" s="9">
        <v>314.15899999999999</v>
      </c>
      <c r="K203" s="9">
        <v>0.75129999999999997</v>
      </c>
      <c r="L203" s="9">
        <v>11</v>
      </c>
      <c r="M203" s="14">
        <v>209.07693331558633</v>
      </c>
      <c r="N203" s="9">
        <v>1421</v>
      </c>
      <c r="O203" s="12" t="s">
        <v>130</v>
      </c>
      <c r="P203" s="12" t="s">
        <v>82</v>
      </c>
      <c r="Q203" s="9" t="s">
        <v>95</v>
      </c>
      <c r="R203" s="9" t="s">
        <v>131</v>
      </c>
      <c r="S203" s="9"/>
      <c r="T203" s="18">
        <v>5</v>
      </c>
      <c r="U203" s="18">
        <v>7</v>
      </c>
      <c r="V203" s="9">
        <v>5.6</v>
      </c>
      <c r="Y203" s="9">
        <f t="shared" si="3"/>
        <v>1045.3846665779317</v>
      </c>
      <c r="Z203" s="19" t="s">
        <v>97</v>
      </c>
      <c r="AA203" s="8" t="s">
        <v>192</v>
      </c>
      <c r="AB203" s="8" t="s">
        <v>75</v>
      </c>
      <c r="AC203" s="11" t="s">
        <v>76</v>
      </c>
      <c r="AD203" s="9" t="s">
        <v>85</v>
      </c>
      <c r="AE203" s="14">
        <v>73.622114453333339</v>
      </c>
      <c r="AF203" s="13"/>
      <c r="AO203" s="34" t="s">
        <v>78</v>
      </c>
      <c r="AP203" s="31">
        <v>5.2</v>
      </c>
      <c r="AQ203" s="31">
        <v>4.5999999999999996</v>
      </c>
      <c r="AR203" s="31">
        <v>4.5999999999999996</v>
      </c>
      <c r="AS203" s="31">
        <v>5.6</v>
      </c>
      <c r="AT203" s="31">
        <v>5.6</v>
      </c>
      <c r="AU203" s="31">
        <v>5.6</v>
      </c>
    </row>
    <row r="204" spans="1:67" x14ac:dyDescent="0.2">
      <c r="A204" s="5" t="s">
        <v>67</v>
      </c>
      <c r="B204" s="25">
        <v>43360</v>
      </c>
      <c r="C204" s="26">
        <v>0.75694444444444497</v>
      </c>
      <c r="D204" s="5" t="s">
        <v>194</v>
      </c>
      <c r="E204" s="5"/>
      <c r="F204" s="32">
        <v>63.5</v>
      </c>
      <c r="G204" s="9">
        <v>2</v>
      </c>
      <c r="H204" s="6">
        <v>3.1496062992125984E-2</v>
      </c>
      <c r="I204" s="7">
        <v>6.83E-2</v>
      </c>
      <c r="J204" s="9">
        <v>314.15899999999999</v>
      </c>
      <c r="K204" s="9">
        <v>0.88790000000000002</v>
      </c>
      <c r="L204" s="9">
        <v>13</v>
      </c>
      <c r="M204" s="14">
        <v>176.91125126703457</v>
      </c>
      <c r="N204" s="9">
        <v>46</v>
      </c>
      <c r="O204" s="12" t="s">
        <v>109</v>
      </c>
      <c r="P204" s="8" t="s">
        <v>70</v>
      </c>
      <c r="Q204" s="9" t="s">
        <v>110</v>
      </c>
      <c r="R204" s="9" t="s">
        <v>84</v>
      </c>
      <c r="S204" s="9"/>
      <c r="T204" s="18">
        <v>3</v>
      </c>
      <c r="U204" s="18">
        <v>3</v>
      </c>
      <c r="V204" s="9">
        <v>11.1</v>
      </c>
      <c r="Y204" s="9">
        <f t="shared" si="3"/>
        <v>530.73375380110372</v>
      </c>
      <c r="Z204" s="19" t="s">
        <v>73</v>
      </c>
      <c r="AA204" s="8" t="s">
        <v>195</v>
      </c>
      <c r="AB204" s="8" t="s">
        <v>75</v>
      </c>
      <c r="AC204" s="11" t="s">
        <v>115</v>
      </c>
      <c r="AD204" s="9" t="s">
        <v>77</v>
      </c>
      <c r="AE204" s="14">
        <v>74.022143580000005</v>
      </c>
      <c r="AF204" s="13"/>
      <c r="AO204" s="34" t="s">
        <v>78</v>
      </c>
      <c r="AP204" s="31">
        <v>9.9</v>
      </c>
      <c r="AQ204" s="31">
        <v>11.1</v>
      </c>
      <c r="AR204" s="31">
        <v>9.3000000000000007</v>
      </c>
      <c r="AS204" s="31">
        <v>9.3000000000000007</v>
      </c>
    </row>
    <row r="205" spans="1:67" x14ac:dyDescent="0.2">
      <c r="A205" s="5"/>
      <c r="B205" s="25"/>
      <c r="C205" s="26"/>
      <c r="D205" s="5"/>
      <c r="E205" s="5"/>
      <c r="F205" s="32"/>
      <c r="G205" s="9"/>
      <c r="H205" s="6"/>
      <c r="I205" s="7"/>
      <c r="J205" s="9"/>
      <c r="N205" s="9"/>
      <c r="O205" s="12"/>
      <c r="S205" s="9"/>
      <c r="T205" s="18"/>
      <c r="U205" s="18"/>
      <c r="Y205" s="9" t="e">
        <f t="shared" si="3"/>
        <v>#DIV/0!</v>
      </c>
      <c r="Z205" s="19"/>
      <c r="AC205" s="11"/>
      <c r="AD205" s="9"/>
      <c r="AE205" s="14"/>
      <c r="AF205" s="13"/>
      <c r="AO205" s="34" t="s">
        <v>79</v>
      </c>
      <c r="AP205" s="31">
        <v>3.4</v>
      </c>
      <c r="AQ205" s="31">
        <v>3.7</v>
      </c>
      <c r="AR205" s="31">
        <v>3.7</v>
      </c>
      <c r="AS205" s="31">
        <v>2.8</v>
      </c>
    </row>
    <row r="206" spans="1:67" x14ac:dyDescent="0.2">
      <c r="A206" s="5"/>
      <c r="B206" s="25"/>
      <c r="C206" s="26"/>
      <c r="D206" s="5"/>
      <c r="E206" s="5"/>
      <c r="F206" s="32"/>
      <c r="G206" s="9"/>
      <c r="H206" s="6"/>
      <c r="I206" s="7"/>
      <c r="J206" s="9"/>
      <c r="N206" s="9"/>
      <c r="O206" s="12"/>
      <c r="S206" s="9"/>
      <c r="T206" s="18"/>
      <c r="U206" s="18"/>
      <c r="Y206" s="9" t="e">
        <f t="shared" si="3"/>
        <v>#DIV/0!</v>
      </c>
      <c r="Z206" s="19"/>
      <c r="AC206" s="11"/>
      <c r="AD206" s="9"/>
      <c r="AE206" s="14"/>
      <c r="AF206" s="13"/>
      <c r="AO206" s="34" t="s">
        <v>80</v>
      </c>
      <c r="AP206" s="31">
        <v>2.7999999999999994</v>
      </c>
      <c r="AQ206" s="31">
        <v>2.8</v>
      </c>
      <c r="AR206" s="31">
        <v>2.8</v>
      </c>
      <c r="AS206" s="31">
        <v>2.8</v>
      </c>
    </row>
    <row r="207" spans="1:67" x14ac:dyDescent="0.2">
      <c r="A207" s="5" t="s">
        <v>67</v>
      </c>
      <c r="B207" s="25">
        <v>43360</v>
      </c>
      <c r="C207" s="26">
        <v>0.75694444444444497</v>
      </c>
      <c r="D207" s="5" t="s">
        <v>194</v>
      </c>
      <c r="E207" s="5"/>
      <c r="F207" s="32">
        <v>63.5</v>
      </c>
      <c r="G207" s="9">
        <v>2</v>
      </c>
      <c r="H207" s="6">
        <v>3.1496062992125984E-2</v>
      </c>
      <c r="I207" s="7">
        <v>6.83E-2</v>
      </c>
      <c r="J207" s="9">
        <v>314.15899999999999</v>
      </c>
      <c r="K207" s="9">
        <v>0.88790000000000002</v>
      </c>
      <c r="L207" s="9">
        <v>13</v>
      </c>
      <c r="M207" s="14">
        <v>176.91125126703457</v>
      </c>
      <c r="N207" s="9">
        <v>1037</v>
      </c>
      <c r="O207" s="12" t="s">
        <v>86</v>
      </c>
      <c r="P207" s="12" t="s">
        <v>82</v>
      </c>
      <c r="Q207" s="9" t="s">
        <v>87</v>
      </c>
      <c r="R207" s="9" t="s">
        <v>84</v>
      </c>
      <c r="S207" s="9"/>
      <c r="T207" s="18">
        <v>12</v>
      </c>
      <c r="U207" s="18">
        <v>12</v>
      </c>
      <c r="V207" s="9">
        <v>3.7</v>
      </c>
      <c r="Y207" s="9">
        <f t="shared" si="3"/>
        <v>2122.9350152044149</v>
      </c>
      <c r="Z207" s="19" t="s">
        <v>73</v>
      </c>
      <c r="AA207" s="8" t="s">
        <v>195</v>
      </c>
      <c r="AB207" s="8" t="s">
        <v>75</v>
      </c>
      <c r="AC207" s="11" t="s">
        <v>115</v>
      </c>
      <c r="AD207" s="9" t="s">
        <v>85</v>
      </c>
      <c r="AE207" s="14">
        <v>9.2027643066666673</v>
      </c>
      <c r="AF207" s="13"/>
      <c r="AO207" s="34" t="s">
        <v>78</v>
      </c>
      <c r="AP207" s="31">
        <v>2.62</v>
      </c>
      <c r="AQ207" s="31">
        <v>2.8</v>
      </c>
      <c r="AR207" s="31">
        <v>2.8</v>
      </c>
      <c r="AS207" s="31">
        <v>3.7</v>
      </c>
      <c r="AT207" s="31">
        <v>1.9</v>
      </c>
      <c r="AU207" s="31">
        <v>1.9</v>
      </c>
    </row>
    <row r="208" spans="1:67" x14ac:dyDescent="0.2">
      <c r="A208" s="5" t="s">
        <v>67</v>
      </c>
      <c r="B208" s="25">
        <v>43360</v>
      </c>
      <c r="C208" s="26">
        <v>0.75694444444444497</v>
      </c>
      <c r="D208" s="5" t="s">
        <v>194</v>
      </c>
      <c r="E208" s="5"/>
      <c r="F208" s="32">
        <v>63.5</v>
      </c>
      <c r="G208" s="9">
        <v>2</v>
      </c>
      <c r="H208" s="6">
        <v>3.1496062992125984E-2</v>
      </c>
      <c r="I208" s="7">
        <v>6.83E-2</v>
      </c>
      <c r="J208" s="9">
        <v>314.15899999999999</v>
      </c>
      <c r="K208" s="9">
        <v>0.88790000000000002</v>
      </c>
      <c r="L208" s="9">
        <v>13</v>
      </c>
      <c r="M208" s="14">
        <v>176.91125126703457</v>
      </c>
      <c r="N208" s="9">
        <v>1364</v>
      </c>
      <c r="O208" s="12" t="s">
        <v>88</v>
      </c>
      <c r="P208" s="12" t="s">
        <v>82</v>
      </c>
      <c r="Q208" s="9" t="s">
        <v>89</v>
      </c>
      <c r="R208" s="9" t="s">
        <v>90</v>
      </c>
      <c r="S208" s="9"/>
      <c r="T208" s="18">
        <v>7</v>
      </c>
      <c r="U208" s="18">
        <v>7</v>
      </c>
      <c r="V208" s="9">
        <v>10.199999999999999</v>
      </c>
      <c r="Y208" s="9">
        <f t="shared" si="3"/>
        <v>1238.3787588692419</v>
      </c>
      <c r="Z208" s="19" t="s">
        <v>73</v>
      </c>
      <c r="AA208" s="8" t="s">
        <v>195</v>
      </c>
      <c r="AB208" s="8" t="s">
        <v>75</v>
      </c>
      <c r="AC208" s="11" t="s">
        <v>115</v>
      </c>
      <c r="AD208" s="9" t="s">
        <v>91</v>
      </c>
      <c r="AE208" s="14">
        <v>356.77335935416664</v>
      </c>
      <c r="AF208" s="13"/>
      <c r="AO208" s="34" t="s">
        <v>78</v>
      </c>
      <c r="AP208" s="31">
        <v>9.48</v>
      </c>
      <c r="AQ208" s="31">
        <v>10.199999999999999</v>
      </c>
      <c r="AR208" s="31">
        <v>9.3000000000000007</v>
      </c>
      <c r="AS208" s="31">
        <v>9.3000000000000007</v>
      </c>
      <c r="AT208" s="31">
        <v>9.3000000000000007</v>
      </c>
      <c r="AU208" s="31">
        <v>9.3000000000000007</v>
      </c>
    </row>
    <row r="209" spans="1:67" x14ac:dyDescent="0.2">
      <c r="A209" s="5"/>
      <c r="B209" s="25"/>
      <c r="C209" s="26"/>
      <c r="D209" s="5"/>
      <c r="E209" s="5"/>
      <c r="F209" s="32"/>
      <c r="G209" s="9"/>
      <c r="H209" s="6"/>
      <c r="I209" s="7"/>
      <c r="J209" s="9"/>
      <c r="N209" s="9"/>
      <c r="O209" s="12"/>
      <c r="P209" s="12"/>
      <c r="S209" s="9"/>
      <c r="T209" s="18"/>
      <c r="U209" s="18"/>
      <c r="Y209" s="9" t="e">
        <f t="shared" si="3"/>
        <v>#DIV/0!</v>
      </c>
      <c r="Z209" s="19"/>
      <c r="AC209" s="11"/>
      <c r="AD209" s="9"/>
      <c r="AE209" s="14"/>
      <c r="AF209" s="13"/>
      <c r="AO209" s="34" t="s">
        <v>79</v>
      </c>
      <c r="AP209" s="31">
        <v>5.6</v>
      </c>
      <c r="AQ209" s="31">
        <v>5.6</v>
      </c>
      <c r="AR209" s="31">
        <v>5.6</v>
      </c>
      <c r="AS209" s="31">
        <v>5.6</v>
      </c>
      <c r="AT209" s="31">
        <v>5.6</v>
      </c>
      <c r="AU209" s="31">
        <v>5.6</v>
      </c>
    </row>
    <row r="210" spans="1:67" x14ac:dyDescent="0.2">
      <c r="A210" s="5" t="s">
        <v>67</v>
      </c>
      <c r="B210" s="25">
        <v>43360</v>
      </c>
      <c r="C210" s="26">
        <v>0.75694444444444497</v>
      </c>
      <c r="D210" s="5" t="s">
        <v>194</v>
      </c>
      <c r="E210" s="5"/>
      <c r="F210" s="32">
        <v>63.5</v>
      </c>
      <c r="G210" s="9">
        <v>2</v>
      </c>
      <c r="H210" s="6">
        <v>3.1496062992125984E-2</v>
      </c>
      <c r="I210" s="7">
        <v>6.83E-2</v>
      </c>
      <c r="J210" s="9">
        <v>314.15899999999999</v>
      </c>
      <c r="K210" s="9">
        <v>0.88790000000000002</v>
      </c>
      <c r="L210" s="9">
        <v>13</v>
      </c>
      <c r="M210" s="14">
        <v>176.91125126703457</v>
      </c>
      <c r="N210" s="9">
        <v>1419</v>
      </c>
      <c r="O210" s="12" t="s">
        <v>94</v>
      </c>
      <c r="P210" s="12" t="s">
        <v>82</v>
      </c>
      <c r="Q210" s="9" t="s">
        <v>95</v>
      </c>
      <c r="R210" s="9" t="s">
        <v>96</v>
      </c>
      <c r="S210" s="9"/>
      <c r="T210" s="18">
        <v>395</v>
      </c>
      <c r="U210" s="18">
        <v>793</v>
      </c>
      <c r="V210" s="9">
        <v>0.8</v>
      </c>
      <c r="W210" s="9">
        <v>0.8</v>
      </c>
      <c r="X210" s="9">
        <v>0.8</v>
      </c>
      <c r="Y210" s="9">
        <f t="shared" si="3"/>
        <v>69879.944250478657</v>
      </c>
      <c r="Z210" s="19" t="s">
        <v>97</v>
      </c>
      <c r="AA210" s="8" t="s">
        <v>195</v>
      </c>
      <c r="AB210" s="8" t="s">
        <v>75</v>
      </c>
      <c r="AC210" s="11" t="s">
        <v>115</v>
      </c>
      <c r="AD210" s="9" t="s">
        <v>85</v>
      </c>
      <c r="AE210" s="14">
        <v>0.18</v>
      </c>
      <c r="AF210" s="14">
        <v>0.18</v>
      </c>
      <c r="AG210" s="14">
        <v>0.18</v>
      </c>
      <c r="AH210" s="14">
        <v>0.18</v>
      </c>
      <c r="AI210" s="14">
        <v>0.18</v>
      </c>
      <c r="AJ210" s="14">
        <v>0.18</v>
      </c>
      <c r="AK210" s="14">
        <v>0.18</v>
      </c>
      <c r="AL210" s="14">
        <v>0.18</v>
      </c>
      <c r="AM210" s="14">
        <v>0.18</v>
      </c>
      <c r="AN210" s="14">
        <v>0.18</v>
      </c>
      <c r="AO210" s="35" t="s">
        <v>78</v>
      </c>
      <c r="AP210" s="31">
        <v>0.75200000000000033</v>
      </c>
      <c r="AQ210" s="31">
        <v>0.7</v>
      </c>
      <c r="AR210" s="31">
        <v>0.7</v>
      </c>
      <c r="AS210" s="31">
        <v>0.7</v>
      </c>
      <c r="AT210" s="31">
        <v>0.7</v>
      </c>
      <c r="AU210" s="31">
        <v>0.7</v>
      </c>
      <c r="AV210" s="31">
        <v>0.7</v>
      </c>
      <c r="AW210" s="31">
        <v>0.7</v>
      </c>
      <c r="AX210" s="31">
        <v>0.7</v>
      </c>
      <c r="AY210" s="31">
        <v>0.7</v>
      </c>
      <c r="AZ210" s="31">
        <v>0.7</v>
      </c>
      <c r="BA210" s="31">
        <v>0.7</v>
      </c>
      <c r="BB210" s="31">
        <v>0.7</v>
      </c>
      <c r="BC210" s="31">
        <v>0.8</v>
      </c>
      <c r="BD210" s="31">
        <v>0.8</v>
      </c>
      <c r="BE210" s="31">
        <v>0.8</v>
      </c>
      <c r="BF210" s="31">
        <v>0.8</v>
      </c>
      <c r="BG210" s="31">
        <v>0.8</v>
      </c>
      <c r="BH210" s="31">
        <v>0.8</v>
      </c>
      <c r="BI210" s="31">
        <v>0.8</v>
      </c>
      <c r="BJ210" s="31">
        <v>0.8</v>
      </c>
      <c r="BK210" s="31">
        <v>0.8</v>
      </c>
      <c r="BL210" s="31">
        <v>0.8</v>
      </c>
      <c r="BM210" s="31">
        <v>0.8</v>
      </c>
      <c r="BN210" s="31">
        <v>0.8</v>
      </c>
      <c r="BO210" s="31">
        <v>0.8</v>
      </c>
    </row>
    <row r="211" spans="1:67" x14ac:dyDescent="0.2">
      <c r="A211" s="5" t="s">
        <v>67</v>
      </c>
      <c r="B211" s="25">
        <v>43360</v>
      </c>
      <c r="C211" s="26">
        <v>0.75694444444444497</v>
      </c>
      <c r="D211" s="5" t="s">
        <v>194</v>
      </c>
      <c r="E211" s="5"/>
      <c r="F211" s="32">
        <v>63.5</v>
      </c>
      <c r="G211" s="9">
        <v>2</v>
      </c>
      <c r="H211" s="6">
        <v>3.1496062992125984E-2</v>
      </c>
      <c r="I211" s="7">
        <v>6.83E-2</v>
      </c>
      <c r="J211" s="9">
        <v>314.15899999999999</v>
      </c>
      <c r="K211" s="9">
        <v>0.88790000000000002</v>
      </c>
      <c r="L211" s="9">
        <v>13</v>
      </c>
      <c r="M211" s="14">
        <v>176.91125126703457</v>
      </c>
      <c r="N211" s="9">
        <v>1420</v>
      </c>
      <c r="O211" s="12" t="s">
        <v>98</v>
      </c>
      <c r="P211" s="12" t="s">
        <v>82</v>
      </c>
      <c r="Q211" s="9" t="s">
        <v>95</v>
      </c>
      <c r="R211" s="9" t="s">
        <v>99</v>
      </c>
      <c r="S211" s="9"/>
      <c r="T211" s="18">
        <v>1</v>
      </c>
      <c r="U211" s="18">
        <v>2</v>
      </c>
      <c r="V211" s="9">
        <v>2.8</v>
      </c>
      <c r="Y211" s="9">
        <f t="shared" si="3"/>
        <v>176.91125126703457</v>
      </c>
      <c r="Z211" s="19" t="s">
        <v>97</v>
      </c>
      <c r="AA211" s="8" t="s">
        <v>195</v>
      </c>
      <c r="AB211" s="8" t="s">
        <v>75</v>
      </c>
      <c r="AC211" s="11" t="s">
        <v>115</v>
      </c>
      <c r="AD211" s="9" t="s">
        <v>85</v>
      </c>
      <c r="AE211" s="14">
        <v>11.494030613333329</v>
      </c>
      <c r="AF211" s="13"/>
      <c r="AO211" s="35" t="s">
        <v>78</v>
      </c>
      <c r="AP211" s="31">
        <v>2.8</v>
      </c>
      <c r="AQ211" s="31">
        <v>2.8</v>
      </c>
      <c r="AR211" s="31">
        <v>2.8</v>
      </c>
    </row>
    <row r="212" spans="1:67" x14ac:dyDescent="0.2">
      <c r="A212" s="5" t="s">
        <v>67</v>
      </c>
      <c r="B212" s="25">
        <v>43360</v>
      </c>
      <c r="C212" s="26">
        <v>0.75694444444444497</v>
      </c>
      <c r="D212" s="5" t="s">
        <v>194</v>
      </c>
      <c r="E212" s="5"/>
      <c r="F212" s="32">
        <v>63.5</v>
      </c>
      <c r="G212" s="9">
        <v>2</v>
      </c>
      <c r="H212" s="6">
        <v>3.1496062992125984E-2</v>
      </c>
      <c r="I212" s="7">
        <v>6.83E-2</v>
      </c>
      <c r="J212" s="9">
        <v>314.15899999999999</v>
      </c>
      <c r="K212" s="9">
        <v>0.88790000000000002</v>
      </c>
      <c r="L212" s="9">
        <v>13</v>
      </c>
      <c r="M212" s="14">
        <v>176.91125126703457</v>
      </c>
      <c r="N212" s="9">
        <v>1508</v>
      </c>
      <c r="O212" s="12" t="s">
        <v>132</v>
      </c>
      <c r="P212" s="12" t="s">
        <v>82</v>
      </c>
      <c r="Q212" s="9" t="s">
        <v>133</v>
      </c>
      <c r="R212" s="9" t="s">
        <v>84</v>
      </c>
      <c r="S212" s="9"/>
      <c r="T212" s="18">
        <v>1</v>
      </c>
      <c r="U212" s="18">
        <v>8</v>
      </c>
      <c r="V212" s="9">
        <v>4.5999999999999996</v>
      </c>
      <c r="Y212" s="9">
        <f t="shared" si="3"/>
        <v>176.91125126703457</v>
      </c>
      <c r="Z212" s="19" t="s">
        <v>134</v>
      </c>
      <c r="AA212" s="8" t="s">
        <v>195</v>
      </c>
      <c r="AB212" s="8" t="s">
        <v>75</v>
      </c>
      <c r="AC212" s="11" t="s">
        <v>115</v>
      </c>
      <c r="AD212" s="9" t="s">
        <v>104</v>
      </c>
      <c r="AE212" s="14">
        <v>49.459622164999999</v>
      </c>
      <c r="AF212" s="13"/>
      <c r="AO212" s="34" t="s">
        <v>78</v>
      </c>
      <c r="AP212" s="31">
        <v>4.5999999999999996</v>
      </c>
      <c r="AQ212" s="31">
        <v>4.5999999999999996</v>
      </c>
      <c r="AR212" s="31">
        <v>4.5999999999999996</v>
      </c>
      <c r="AS212" s="31">
        <v>4.5999999999999996</v>
      </c>
      <c r="AT212" s="31">
        <v>4.5999999999999996</v>
      </c>
      <c r="AU212" s="31">
        <v>4.5999999999999996</v>
      </c>
    </row>
    <row r="213" spans="1:67" x14ac:dyDescent="0.2">
      <c r="A213" s="5"/>
      <c r="B213" s="25"/>
      <c r="C213" s="26"/>
      <c r="D213" s="5"/>
      <c r="E213" s="5"/>
      <c r="F213" s="32"/>
      <c r="G213" s="9"/>
      <c r="H213" s="6"/>
      <c r="I213" s="7"/>
      <c r="J213" s="9"/>
      <c r="N213" s="9"/>
      <c r="O213" s="12"/>
      <c r="P213" s="12"/>
      <c r="S213" s="9"/>
      <c r="T213" s="18"/>
      <c r="U213" s="18"/>
      <c r="Y213" s="9" t="e">
        <f t="shared" si="3"/>
        <v>#DIV/0!</v>
      </c>
      <c r="Z213" s="19"/>
      <c r="AC213" s="11"/>
      <c r="AD213" s="9"/>
      <c r="AE213" s="14"/>
      <c r="AF213" s="13"/>
      <c r="AO213" s="34" t="s">
        <v>79</v>
      </c>
      <c r="AP213" s="31">
        <v>3.7</v>
      </c>
      <c r="AQ213" s="31">
        <v>3.7</v>
      </c>
      <c r="AR213" s="31">
        <v>3.7</v>
      </c>
      <c r="AS213" s="31">
        <v>3.7</v>
      </c>
      <c r="AT213" s="31">
        <v>3.7</v>
      </c>
      <c r="AU213" s="31">
        <v>3.7</v>
      </c>
    </row>
    <row r="214" spans="1:67" x14ac:dyDescent="0.2">
      <c r="A214" s="5" t="s">
        <v>67</v>
      </c>
      <c r="B214" s="25">
        <v>43319</v>
      </c>
      <c r="C214" s="26">
        <v>0.67708333333333304</v>
      </c>
      <c r="D214" s="5" t="s">
        <v>144</v>
      </c>
      <c r="E214" s="5"/>
      <c r="F214" s="32">
        <v>63.5</v>
      </c>
      <c r="G214" s="9">
        <v>2</v>
      </c>
      <c r="H214" s="6">
        <v>3.1496062992125984E-2</v>
      </c>
      <c r="I214" s="7">
        <v>6.83E-2</v>
      </c>
      <c r="J214" s="9">
        <v>314.15899999999999</v>
      </c>
      <c r="K214" s="9">
        <v>0.5464</v>
      </c>
      <c r="L214" s="9">
        <v>8</v>
      </c>
      <c r="M214" s="14">
        <v>287.48078330893117</v>
      </c>
      <c r="N214" s="9">
        <v>1037</v>
      </c>
      <c r="O214" s="12" t="s">
        <v>86</v>
      </c>
      <c r="P214" s="12" t="s">
        <v>82</v>
      </c>
      <c r="Q214" s="9" t="s">
        <v>87</v>
      </c>
      <c r="R214" s="9" t="s">
        <v>84</v>
      </c>
      <c r="S214" s="9"/>
      <c r="T214" s="18">
        <v>15</v>
      </c>
      <c r="U214" s="18">
        <v>15</v>
      </c>
      <c r="V214" s="9">
        <v>2.8</v>
      </c>
      <c r="Y214" s="9">
        <f t="shared" si="3"/>
        <v>4312.2117496339679</v>
      </c>
      <c r="Z214" s="19" t="s">
        <v>73</v>
      </c>
      <c r="AA214" s="8" t="s">
        <v>196</v>
      </c>
      <c r="AB214" s="8" t="s">
        <v>75</v>
      </c>
      <c r="AC214" s="11" t="s">
        <v>76</v>
      </c>
      <c r="AD214" s="9" t="s">
        <v>85</v>
      </c>
      <c r="AE214" s="14">
        <v>7.2382233599999992</v>
      </c>
      <c r="AF214" s="13"/>
      <c r="AO214" s="34" t="s">
        <v>78</v>
      </c>
      <c r="AP214" s="31">
        <v>2.44</v>
      </c>
      <c r="AQ214" s="31">
        <v>2.8</v>
      </c>
      <c r="AR214" s="31">
        <v>2.8</v>
      </c>
      <c r="AS214" s="31">
        <v>1.9</v>
      </c>
      <c r="AT214" s="31">
        <v>1.9</v>
      </c>
      <c r="AU214" s="31">
        <v>2.8</v>
      </c>
    </row>
    <row r="215" spans="1:67" x14ac:dyDescent="0.2">
      <c r="A215" s="5" t="s">
        <v>67</v>
      </c>
      <c r="B215" s="25">
        <v>43319</v>
      </c>
      <c r="C215" s="26">
        <v>0.67708333333333304</v>
      </c>
      <c r="D215" s="5" t="s">
        <v>144</v>
      </c>
      <c r="E215" s="5"/>
      <c r="F215" s="32">
        <v>63.5</v>
      </c>
      <c r="G215" s="9">
        <v>2</v>
      </c>
      <c r="H215" s="6">
        <v>3.1496062992125984E-2</v>
      </c>
      <c r="I215" s="7">
        <v>6.83E-2</v>
      </c>
      <c r="J215" s="9">
        <v>314.15899999999999</v>
      </c>
      <c r="K215" s="9">
        <v>0.5464</v>
      </c>
      <c r="L215" s="9">
        <v>8</v>
      </c>
      <c r="M215" s="14">
        <v>287.48078330893117</v>
      </c>
      <c r="N215" s="9">
        <v>1119</v>
      </c>
      <c r="O215" s="8" t="s">
        <v>197</v>
      </c>
      <c r="P215" s="12" t="s">
        <v>82</v>
      </c>
      <c r="Q215" s="9" t="s">
        <v>198</v>
      </c>
      <c r="R215" s="9" t="s">
        <v>199</v>
      </c>
      <c r="S215" s="9"/>
      <c r="T215" s="18">
        <v>1</v>
      </c>
      <c r="U215" s="18">
        <v>1</v>
      </c>
      <c r="V215" s="9">
        <v>6.5</v>
      </c>
      <c r="Y215" s="9">
        <f t="shared" si="3"/>
        <v>287.48078330893117</v>
      </c>
      <c r="Z215" s="19" t="s">
        <v>73</v>
      </c>
      <c r="AA215" s="8" t="s">
        <v>196</v>
      </c>
      <c r="AB215" s="8" t="s">
        <v>75</v>
      </c>
      <c r="AC215" s="11" t="s">
        <v>76</v>
      </c>
      <c r="AD215" s="9" t="s">
        <v>150</v>
      </c>
      <c r="AE215" s="14">
        <v>57.92568361666666</v>
      </c>
      <c r="AF215" s="13"/>
      <c r="AO215" s="34" t="s">
        <v>78</v>
      </c>
      <c r="AP215" s="31">
        <v>6.5</v>
      </c>
      <c r="AQ215" s="31">
        <v>6.5</v>
      </c>
    </row>
    <row r="216" spans="1:67" x14ac:dyDescent="0.2">
      <c r="A216" s="5"/>
      <c r="B216" s="25"/>
      <c r="C216" s="26"/>
      <c r="D216" s="5"/>
      <c r="E216" s="5"/>
      <c r="F216" s="32"/>
      <c r="G216" s="9"/>
      <c r="H216" s="6"/>
      <c r="I216" s="7"/>
      <c r="J216" s="9"/>
      <c r="N216" s="9"/>
      <c r="P216" s="12"/>
      <c r="S216" s="9"/>
      <c r="T216" s="18"/>
      <c r="U216" s="18"/>
      <c r="Y216" s="9" t="e">
        <f t="shared" si="3"/>
        <v>#DIV/0!</v>
      </c>
      <c r="Z216" s="19"/>
      <c r="AC216" s="11"/>
      <c r="AD216" s="9"/>
      <c r="AE216" s="14"/>
      <c r="AF216" s="13"/>
      <c r="AO216" s="34" t="s">
        <v>79</v>
      </c>
      <c r="AP216" s="31">
        <v>4.5999999999999996</v>
      </c>
      <c r="AQ216" s="31">
        <v>4.5999999999999996</v>
      </c>
    </row>
    <row r="217" spans="1:67" x14ac:dyDescent="0.2">
      <c r="A217" s="5"/>
      <c r="B217" s="25"/>
      <c r="C217" s="26"/>
      <c r="D217" s="5"/>
      <c r="E217" s="5"/>
      <c r="F217" s="32"/>
      <c r="G217" s="9"/>
      <c r="H217" s="6"/>
      <c r="I217" s="7"/>
      <c r="J217" s="9"/>
      <c r="N217" s="9"/>
      <c r="P217" s="12"/>
      <c r="S217" s="9"/>
      <c r="T217" s="18"/>
      <c r="U217" s="18"/>
      <c r="Y217" s="9" t="e">
        <f t="shared" si="3"/>
        <v>#DIV/0!</v>
      </c>
      <c r="Z217" s="19"/>
      <c r="AC217" s="11"/>
      <c r="AD217" s="9"/>
      <c r="AE217" s="14"/>
      <c r="AF217" s="13"/>
      <c r="AO217" s="34" t="s">
        <v>80</v>
      </c>
      <c r="AP217" s="31">
        <v>3.7</v>
      </c>
      <c r="AQ217" s="31">
        <v>3.7</v>
      </c>
    </row>
    <row r="218" spans="1:67" x14ac:dyDescent="0.2">
      <c r="A218" s="5" t="s">
        <v>67</v>
      </c>
      <c r="B218" s="25">
        <v>43319</v>
      </c>
      <c r="C218" s="26">
        <v>0.67708333333333304</v>
      </c>
      <c r="D218" s="5" t="s">
        <v>144</v>
      </c>
      <c r="E218" s="5"/>
      <c r="F218" s="32">
        <v>63.5</v>
      </c>
      <c r="G218" s="9">
        <v>2</v>
      </c>
      <c r="H218" s="6">
        <v>3.1496062992125984E-2</v>
      </c>
      <c r="I218" s="7">
        <v>6.83E-2</v>
      </c>
      <c r="J218" s="9">
        <v>314.15899999999999</v>
      </c>
      <c r="K218" s="9">
        <v>0.5464</v>
      </c>
      <c r="L218" s="9">
        <v>8</v>
      </c>
      <c r="M218" s="14">
        <v>287.48078330893117</v>
      </c>
      <c r="N218" s="9">
        <v>1733</v>
      </c>
      <c r="O218" s="12" t="s">
        <v>92</v>
      </c>
      <c r="P218" s="12" t="s">
        <v>82</v>
      </c>
      <c r="Q218" s="9" t="s">
        <v>89</v>
      </c>
      <c r="R218" s="9" t="s">
        <v>93</v>
      </c>
      <c r="S218" s="9"/>
      <c r="T218" s="18">
        <v>2</v>
      </c>
      <c r="U218" s="18">
        <v>2</v>
      </c>
      <c r="V218" s="9">
        <v>6.5</v>
      </c>
      <c r="Y218" s="9">
        <f t="shared" si="3"/>
        <v>574.96156661786233</v>
      </c>
      <c r="Z218" s="19" t="s">
        <v>73</v>
      </c>
      <c r="AA218" s="8" t="s">
        <v>196</v>
      </c>
      <c r="AB218" s="8" t="s">
        <v>75</v>
      </c>
      <c r="AC218" s="11" t="s">
        <v>76</v>
      </c>
      <c r="AD218" s="9" t="s">
        <v>91</v>
      </c>
      <c r="AE218" s="14">
        <v>118.35285827083332</v>
      </c>
      <c r="AF218" s="13"/>
      <c r="AO218" s="34" t="s">
        <v>78</v>
      </c>
      <c r="AP218" s="31">
        <v>6.5</v>
      </c>
      <c r="AQ218" s="31">
        <v>6.5</v>
      </c>
      <c r="AR218" s="31">
        <v>6.5</v>
      </c>
    </row>
    <row r="219" spans="1:67" x14ac:dyDescent="0.2">
      <c r="A219" s="5"/>
      <c r="B219" s="25"/>
      <c r="C219" s="26"/>
      <c r="D219" s="5"/>
      <c r="E219" s="5"/>
      <c r="F219" s="32"/>
      <c r="G219" s="9"/>
      <c r="H219" s="6"/>
      <c r="I219" s="7"/>
      <c r="J219" s="9"/>
      <c r="N219" s="9"/>
      <c r="O219" s="12"/>
      <c r="P219" s="12"/>
      <c r="S219" s="9"/>
      <c r="T219" s="18"/>
      <c r="U219" s="18"/>
      <c r="Y219" s="9" t="e">
        <f t="shared" si="3"/>
        <v>#DIV/0!</v>
      </c>
      <c r="Z219" s="19"/>
      <c r="AC219" s="11"/>
      <c r="AD219" s="9"/>
      <c r="AE219" s="14"/>
      <c r="AF219" s="13"/>
      <c r="AO219" s="34" t="s">
        <v>79</v>
      </c>
      <c r="AP219" s="31">
        <v>4.1500000000000004</v>
      </c>
      <c r="AQ219" s="31">
        <v>3.7</v>
      </c>
      <c r="AR219" s="31">
        <v>4.5999999999999996</v>
      </c>
    </row>
    <row r="220" spans="1:67" x14ac:dyDescent="0.2">
      <c r="A220" s="5" t="s">
        <v>67</v>
      </c>
      <c r="B220" s="25">
        <v>43319</v>
      </c>
      <c r="C220" s="26">
        <v>0.67708333333333304</v>
      </c>
      <c r="D220" s="5" t="s">
        <v>144</v>
      </c>
      <c r="E220" s="5"/>
      <c r="F220" s="32">
        <v>63.5</v>
      </c>
      <c r="G220" s="9">
        <v>2</v>
      </c>
      <c r="H220" s="6">
        <v>3.1496062992125984E-2</v>
      </c>
      <c r="I220" s="7">
        <v>6.83E-2</v>
      </c>
      <c r="J220" s="9">
        <v>314.15899999999999</v>
      </c>
      <c r="K220" s="9">
        <v>0.5464</v>
      </c>
      <c r="L220" s="9">
        <v>8</v>
      </c>
      <c r="M220" s="14">
        <v>287.48078330893117</v>
      </c>
      <c r="N220" s="9">
        <v>1419</v>
      </c>
      <c r="O220" s="12" t="s">
        <v>94</v>
      </c>
      <c r="P220" s="12" t="s">
        <v>82</v>
      </c>
      <c r="Q220" s="9" t="s">
        <v>95</v>
      </c>
      <c r="R220" s="9" t="s">
        <v>96</v>
      </c>
      <c r="S220" s="9"/>
      <c r="T220" s="18">
        <v>391</v>
      </c>
      <c r="U220" s="18">
        <v>785</v>
      </c>
      <c r="V220" s="9">
        <v>0.8</v>
      </c>
      <c r="W220" s="9">
        <v>0.8</v>
      </c>
      <c r="X220" s="9">
        <v>0.8</v>
      </c>
      <c r="Y220" s="9">
        <f t="shared" si="3"/>
        <v>112404.98627379209</v>
      </c>
      <c r="Z220" s="19" t="s">
        <v>97</v>
      </c>
      <c r="AA220" s="8" t="s">
        <v>196</v>
      </c>
      <c r="AB220" s="8" t="s">
        <v>75</v>
      </c>
      <c r="AC220" s="11" t="s">
        <v>76</v>
      </c>
      <c r="AD220" s="9" t="s">
        <v>85</v>
      </c>
      <c r="AE220" s="14">
        <v>0.18</v>
      </c>
      <c r="AF220" s="14">
        <v>0.18</v>
      </c>
      <c r="AG220" s="14">
        <v>0.18</v>
      </c>
      <c r="AH220" s="14">
        <v>0.18</v>
      </c>
      <c r="AI220" s="14">
        <v>0.18</v>
      </c>
      <c r="AJ220" s="14">
        <v>0.18</v>
      </c>
      <c r="AK220" s="14">
        <v>0.18</v>
      </c>
      <c r="AL220" s="14">
        <v>0.18</v>
      </c>
      <c r="AM220" s="14">
        <v>0.18</v>
      </c>
      <c r="AN220" s="14">
        <v>0.18</v>
      </c>
      <c r="AO220" s="35" t="s">
        <v>78</v>
      </c>
      <c r="AP220" s="31">
        <v>0.75200000000000033</v>
      </c>
      <c r="AQ220" s="31">
        <v>0.7</v>
      </c>
      <c r="AR220" s="31">
        <v>0.7</v>
      </c>
      <c r="AS220" s="31">
        <v>0.7</v>
      </c>
      <c r="AT220" s="31">
        <v>0.7</v>
      </c>
      <c r="AU220" s="31">
        <v>0.7</v>
      </c>
      <c r="AV220" s="31">
        <v>0.7</v>
      </c>
      <c r="AW220" s="31">
        <v>0.7</v>
      </c>
      <c r="AX220" s="31">
        <v>0.7</v>
      </c>
      <c r="AY220" s="31">
        <v>0.7</v>
      </c>
      <c r="AZ220" s="31">
        <v>0.7</v>
      </c>
      <c r="BA220" s="31">
        <v>0.7</v>
      </c>
      <c r="BB220" s="31">
        <v>0.7</v>
      </c>
      <c r="BC220" s="31">
        <v>0.8</v>
      </c>
      <c r="BD220" s="31">
        <v>0.8</v>
      </c>
      <c r="BE220" s="31">
        <v>0.8</v>
      </c>
      <c r="BF220" s="31">
        <v>0.8</v>
      </c>
      <c r="BG220" s="31">
        <v>0.8</v>
      </c>
      <c r="BH220" s="31">
        <v>0.8</v>
      </c>
      <c r="BI220" s="31">
        <v>0.8</v>
      </c>
      <c r="BJ220" s="31">
        <v>0.8</v>
      </c>
      <c r="BK220" s="31">
        <v>0.8</v>
      </c>
      <c r="BL220" s="31">
        <v>0.8</v>
      </c>
      <c r="BM220" s="31">
        <v>0.8</v>
      </c>
      <c r="BN220" s="31">
        <v>0.8</v>
      </c>
      <c r="BO220" s="31">
        <v>0.8</v>
      </c>
    </row>
    <row r="221" spans="1:67" x14ac:dyDescent="0.2">
      <c r="A221" s="5" t="s">
        <v>67</v>
      </c>
      <c r="B221" s="25">
        <v>43319</v>
      </c>
      <c r="C221" s="26">
        <v>0.67708333333333304</v>
      </c>
      <c r="D221" s="5" t="s">
        <v>144</v>
      </c>
      <c r="E221" s="5"/>
      <c r="F221" s="32">
        <v>63.5</v>
      </c>
      <c r="G221" s="9">
        <v>2</v>
      </c>
      <c r="H221" s="6">
        <v>3.1496062992125984E-2</v>
      </c>
      <c r="I221" s="7">
        <v>6.83E-2</v>
      </c>
      <c r="J221" s="9">
        <v>314.15899999999999</v>
      </c>
      <c r="K221" s="9">
        <v>0.5464</v>
      </c>
      <c r="L221" s="9">
        <v>8</v>
      </c>
      <c r="M221" s="14">
        <v>287.48078330893117</v>
      </c>
      <c r="N221" s="9">
        <v>1420</v>
      </c>
      <c r="O221" s="12" t="s">
        <v>98</v>
      </c>
      <c r="P221" s="12" t="s">
        <v>82</v>
      </c>
      <c r="Q221" s="9" t="s">
        <v>95</v>
      </c>
      <c r="R221" s="9" t="s">
        <v>99</v>
      </c>
      <c r="S221" s="9"/>
      <c r="T221" s="18">
        <v>1</v>
      </c>
      <c r="U221" s="18">
        <v>2</v>
      </c>
      <c r="V221" s="9">
        <v>1.9</v>
      </c>
      <c r="Y221" s="9">
        <f t="shared" si="3"/>
        <v>287.48078330893117</v>
      </c>
      <c r="Z221" s="19" t="s">
        <v>97</v>
      </c>
      <c r="AA221" s="8" t="s">
        <v>196</v>
      </c>
      <c r="AB221" s="8" t="s">
        <v>75</v>
      </c>
      <c r="AC221" s="11" t="s">
        <v>76</v>
      </c>
      <c r="AD221" s="9" t="s">
        <v>85</v>
      </c>
      <c r="AE221" s="14">
        <v>3.5913609683333325</v>
      </c>
      <c r="AF221" s="13"/>
      <c r="AO221" s="34" t="s">
        <v>78</v>
      </c>
      <c r="AP221" s="31">
        <v>1.9</v>
      </c>
      <c r="AQ221" s="31">
        <v>1.9</v>
      </c>
      <c r="AR221" s="31">
        <v>1.9</v>
      </c>
    </row>
    <row r="222" spans="1:67" x14ac:dyDescent="0.2">
      <c r="A222" s="5" t="s">
        <v>67</v>
      </c>
      <c r="B222" s="25">
        <v>43361</v>
      </c>
      <c r="C222" s="26">
        <v>0.71388888888888902</v>
      </c>
      <c r="D222" s="5" t="s">
        <v>200</v>
      </c>
      <c r="E222" s="5">
        <v>3</v>
      </c>
      <c r="F222" s="32">
        <v>62</v>
      </c>
      <c r="G222" s="9">
        <v>2</v>
      </c>
      <c r="H222" s="6">
        <v>3.2258064516129031E-2</v>
      </c>
      <c r="I222" s="7">
        <v>6.83E-2</v>
      </c>
      <c r="J222" s="9">
        <v>314.15899999999999</v>
      </c>
      <c r="K222" s="9">
        <v>0.61470000000000002</v>
      </c>
      <c r="L222" s="9">
        <v>9</v>
      </c>
      <c r="M222" s="14">
        <v>255.53847405238326</v>
      </c>
      <c r="N222" s="9">
        <v>749</v>
      </c>
      <c r="O222" s="12" t="s">
        <v>190</v>
      </c>
      <c r="P222" s="8" t="s">
        <v>70</v>
      </c>
      <c r="Q222" s="9" t="s">
        <v>191</v>
      </c>
      <c r="R222" s="9" t="s">
        <v>84</v>
      </c>
      <c r="S222" s="9"/>
      <c r="T222" s="18">
        <v>1</v>
      </c>
      <c r="U222" s="18">
        <v>1</v>
      </c>
      <c r="V222" s="9">
        <v>22.2</v>
      </c>
      <c r="Y222" s="9">
        <f t="shared" si="3"/>
        <v>255.53847405238326</v>
      </c>
      <c r="Z222" s="19" t="s">
        <v>73</v>
      </c>
      <c r="AA222" s="8" t="s">
        <v>201</v>
      </c>
      <c r="AB222" s="8" t="s">
        <v>75</v>
      </c>
      <c r="AC222" s="11" t="s">
        <v>112</v>
      </c>
      <c r="AD222" s="9" t="s">
        <v>193</v>
      </c>
      <c r="AE222" s="14">
        <v>114.996</v>
      </c>
      <c r="AF222" s="13"/>
      <c r="AO222" s="34" t="s">
        <v>78</v>
      </c>
      <c r="AP222" s="31">
        <v>22.2</v>
      </c>
      <c r="AQ222" s="31">
        <v>22.2</v>
      </c>
    </row>
    <row r="223" spans="1:67" x14ac:dyDescent="0.2">
      <c r="A223" s="5"/>
      <c r="B223" s="25"/>
      <c r="C223" s="26"/>
      <c r="D223" s="5"/>
      <c r="E223" s="5"/>
      <c r="F223" s="32"/>
      <c r="G223" s="9"/>
      <c r="H223" s="6"/>
      <c r="I223" s="7"/>
      <c r="J223" s="9"/>
      <c r="N223" s="9"/>
      <c r="O223" s="12"/>
      <c r="S223" s="9"/>
      <c r="T223" s="18"/>
      <c r="U223" s="18"/>
      <c r="Y223" s="9" t="e">
        <f t="shared" si="3"/>
        <v>#DIV/0!</v>
      </c>
      <c r="Z223" s="19"/>
      <c r="AC223" s="11"/>
      <c r="AD223" s="9"/>
      <c r="AE223" s="14"/>
      <c r="AF223" s="13"/>
      <c r="AO223" s="34" t="s">
        <v>79</v>
      </c>
      <c r="AP223" s="31">
        <v>3.7</v>
      </c>
      <c r="AQ223" s="31">
        <v>3.7</v>
      </c>
    </row>
    <row r="224" spans="1:67" x14ac:dyDescent="0.2">
      <c r="A224" s="5"/>
      <c r="B224" s="25"/>
      <c r="C224" s="26"/>
      <c r="D224" s="5"/>
      <c r="E224" s="5"/>
      <c r="F224" s="32"/>
      <c r="G224" s="9"/>
      <c r="H224" s="6"/>
      <c r="I224" s="7"/>
      <c r="J224" s="9"/>
      <c r="N224" s="9"/>
      <c r="O224" s="12"/>
      <c r="S224" s="9"/>
      <c r="T224" s="18"/>
      <c r="U224" s="18"/>
      <c r="Y224" s="9" t="e">
        <f t="shared" si="3"/>
        <v>#DIV/0!</v>
      </c>
      <c r="Z224" s="19"/>
      <c r="AC224" s="11"/>
      <c r="AD224" s="9"/>
      <c r="AE224" s="14"/>
      <c r="AF224" s="13"/>
      <c r="AO224" s="34" t="s">
        <v>80</v>
      </c>
      <c r="AP224" s="31">
        <v>2.8</v>
      </c>
      <c r="AQ224" s="31">
        <v>2.8</v>
      </c>
    </row>
    <row r="225" spans="1:67" x14ac:dyDescent="0.2">
      <c r="A225" s="5" t="s">
        <v>67</v>
      </c>
      <c r="B225" s="25">
        <v>43361</v>
      </c>
      <c r="C225" s="26">
        <v>0.71388888888888902</v>
      </c>
      <c r="D225" s="5" t="s">
        <v>200</v>
      </c>
      <c r="E225" s="5">
        <v>3</v>
      </c>
      <c r="F225" s="32">
        <v>62</v>
      </c>
      <c r="G225" s="9">
        <v>2</v>
      </c>
      <c r="H225" s="6">
        <v>3.2258064516129031E-2</v>
      </c>
      <c r="I225" s="7">
        <v>6.83E-2</v>
      </c>
      <c r="J225" s="9">
        <v>314.15899999999999</v>
      </c>
      <c r="K225" s="9">
        <v>0.61470000000000002</v>
      </c>
      <c r="L225" s="9">
        <v>9</v>
      </c>
      <c r="M225" s="14">
        <v>255.53847405238326</v>
      </c>
      <c r="N225" s="9">
        <v>1031</v>
      </c>
      <c r="O225" s="12" t="s">
        <v>172</v>
      </c>
      <c r="P225" s="12" t="s">
        <v>82</v>
      </c>
      <c r="Q225" s="9" t="s">
        <v>83</v>
      </c>
      <c r="R225" s="9" t="s">
        <v>84</v>
      </c>
      <c r="S225" s="9"/>
      <c r="T225" s="18">
        <v>1</v>
      </c>
      <c r="U225" s="18">
        <v>1</v>
      </c>
      <c r="V225" s="9">
        <v>4.5999999999999996</v>
      </c>
      <c r="Y225" s="9">
        <f t="shared" si="3"/>
        <v>255.53847405238326</v>
      </c>
      <c r="Z225" s="19" t="s">
        <v>73</v>
      </c>
      <c r="AA225" s="8" t="s">
        <v>201</v>
      </c>
      <c r="AB225" s="8" t="s">
        <v>75</v>
      </c>
      <c r="AC225" s="11" t="s">
        <v>112</v>
      </c>
      <c r="AD225" s="9" t="s">
        <v>85</v>
      </c>
      <c r="AE225" s="14">
        <v>40.993560713333324</v>
      </c>
      <c r="AF225" s="13"/>
      <c r="AO225" s="34" t="s">
        <v>78</v>
      </c>
      <c r="AP225" s="31">
        <v>4.5999999999999996</v>
      </c>
      <c r="AQ225" s="31">
        <v>4.5999999999999996</v>
      </c>
    </row>
    <row r="226" spans="1:67" x14ac:dyDescent="0.2">
      <c r="A226" s="5"/>
      <c r="B226" s="25"/>
      <c r="C226" s="26"/>
      <c r="D226" s="5"/>
      <c r="E226" s="5"/>
      <c r="F226" s="32"/>
      <c r="G226" s="9"/>
      <c r="H226" s="6"/>
      <c r="I226" s="7"/>
      <c r="J226" s="9"/>
      <c r="N226" s="9"/>
      <c r="O226" s="12"/>
      <c r="P226" s="12"/>
      <c r="S226" s="9"/>
      <c r="T226" s="18"/>
      <c r="U226" s="18"/>
      <c r="Y226" s="9" t="e">
        <f t="shared" si="3"/>
        <v>#DIV/0!</v>
      </c>
      <c r="Z226" s="19"/>
      <c r="AC226" s="11"/>
      <c r="AD226" s="9"/>
      <c r="AE226" s="14"/>
      <c r="AF226" s="13"/>
      <c r="AO226" s="34" t="s">
        <v>79</v>
      </c>
      <c r="AP226" s="31">
        <v>4.5999999999999996</v>
      </c>
      <c r="AQ226" s="31">
        <v>4.5999999999999996</v>
      </c>
    </row>
    <row r="227" spans="1:67" x14ac:dyDescent="0.2">
      <c r="A227" s="5"/>
      <c r="B227" s="25"/>
      <c r="C227" s="26"/>
      <c r="D227" s="5"/>
      <c r="E227" s="5"/>
      <c r="F227" s="32"/>
      <c r="G227" s="9"/>
      <c r="H227" s="6"/>
      <c r="I227" s="7"/>
      <c r="J227" s="9"/>
      <c r="N227" s="9"/>
      <c r="O227" s="12"/>
      <c r="P227" s="12"/>
      <c r="S227" s="9"/>
      <c r="T227" s="18"/>
      <c r="U227" s="18"/>
      <c r="Y227" s="9" t="e">
        <f t="shared" si="3"/>
        <v>#DIV/0!</v>
      </c>
      <c r="Z227" s="19"/>
      <c r="AC227" s="11"/>
      <c r="AD227" s="9"/>
      <c r="AE227" s="14"/>
      <c r="AF227" s="13"/>
      <c r="AO227" s="34" t="s">
        <v>80</v>
      </c>
      <c r="AP227" s="31">
        <v>3.7</v>
      </c>
      <c r="AQ227" s="31">
        <v>3.7</v>
      </c>
    </row>
    <row r="228" spans="1:67" x14ac:dyDescent="0.2">
      <c r="A228" s="5" t="s">
        <v>67</v>
      </c>
      <c r="B228" s="25">
        <v>43361</v>
      </c>
      <c r="C228" s="26">
        <v>0.71388888888888902</v>
      </c>
      <c r="D228" s="5" t="s">
        <v>200</v>
      </c>
      <c r="E228" s="5">
        <v>3</v>
      </c>
      <c r="F228" s="32">
        <v>62</v>
      </c>
      <c r="G228" s="9">
        <v>2</v>
      </c>
      <c r="H228" s="6">
        <v>3.2258064516129031E-2</v>
      </c>
      <c r="I228" s="7">
        <v>6.83E-2</v>
      </c>
      <c r="J228" s="9">
        <v>314.15899999999999</v>
      </c>
      <c r="K228" s="9">
        <v>0.61470000000000002</v>
      </c>
      <c r="L228" s="9">
        <v>9</v>
      </c>
      <c r="M228" s="14">
        <v>255.53847405238326</v>
      </c>
      <c r="N228" s="9">
        <v>1037</v>
      </c>
      <c r="O228" s="12" t="s">
        <v>86</v>
      </c>
      <c r="P228" s="12" t="s">
        <v>82</v>
      </c>
      <c r="Q228" s="9" t="s">
        <v>87</v>
      </c>
      <c r="R228" s="9" t="s">
        <v>84</v>
      </c>
      <c r="S228" s="9"/>
      <c r="T228" s="18">
        <v>14</v>
      </c>
      <c r="U228" s="18">
        <v>14</v>
      </c>
      <c r="V228" s="9">
        <v>3.7</v>
      </c>
      <c r="Y228" s="9">
        <f t="shared" si="3"/>
        <v>3577.5386367333654</v>
      </c>
      <c r="Z228" s="19" t="s">
        <v>73</v>
      </c>
      <c r="AA228" s="8" t="s">
        <v>201</v>
      </c>
      <c r="AB228" s="8" t="s">
        <v>75</v>
      </c>
      <c r="AC228" s="11" t="s">
        <v>112</v>
      </c>
      <c r="AD228" s="9" t="s">
        <v>85</v>
      </c>
      <c r="AE228" s="14">
        <v>9.2027643066666673</v>
      </c>
      <c r="AF228" s="13"/>
      <c r="AO228" s="34" t="s">
        <v>78</v>
      </c>
      <c r="AP228" s="31">
        <v>2.6199999999999997</v>
      </c>
      <c r="AQ228" s="31">
        <v>2.8</v>
      </c>
      <c r="AR228" s="31">
        <v>1.9</v>
      </c>
      <c r="AS228" s="31">
        <v>2.8</v>
      </c>
      <c r="AT228" s="31">
        <v>1.9</v>
      </c>
      <c r="AU228" s="31">
        <v>3.7</v>
      </c>
    </row>
    <row r="229" spans="1:67" x14ac:dyDescent="0.2">
      <c r="A229" s="5" t="s">
        <v>67</v>
      </c>
      <c r="B229" s="25">
        <v>43361</v>
      </c>
      <c r="C229" s="26">
        <v>0.71388888888888902</v>
      </c>
      <c r="D229" s="5" t="s">
        <v>200</v>
      </c>
      <c r="E229" s="5">
        <v>3</v>
      </c>
      <c r="F229" s="32">
        <v>62</v>
      </c>
      <c r="G229" s="9">
        <v>2</v>
      </c>
      <c r="H229" s="6">
        <v>3.2258064516129031E-2</v>
      </c>
      <c r="I229" s="7">
        <v>6.83E-2</v>
      </c>
      <c r="J229" s="9">
        <v>314.15899999999999</v>
      </c>
      <c r="K229" s="9">
        <v>0.61470000000000002</v>
      </c>
      <c r="L229" s="9">
        <v>9</v>
      </c>
      <c r="M229" s="14">
        <v>255.53847405238326</v>
      </c>
      <c r="N229" s="9">
        <v>1352</v>
      </c>
      <c r="O229" s="12" t="s">
        <v>118</v>
      </c>
      <c r="P229" s="12" t="s">
        <v>82</v>
      </c>
      <c r="Q229" s="9" t="s">
        <v>119</v>
      </c>
      <c r="R229" s="9" t="s">
        <v>84</v>
      </c>
      <c r="S229" s="9"/>
      <c r="T229" s="18">
        <v>1</v>
      </c>
      <c r="U229" s="18">
        <v>1</v>
      </c>
      <c r="V229" s="9">
        <v>14.8</v>
      </c>
      <c r="Y229" s="9">
        <f t="shared" si="3"/>
        <v>255.53847405238326</v>
      </c>
      <c r="Z229" s="19" t="s">
        <v>73</v>
      </c>
      <c r="AA229" s="8" t="s">
        <v>201</v>
      </c>
      <c r="AB229" s="8" t="s">
        <v>75</v>
      </c>
      <c r="AC229" s="11" t="s">
        <v>112</v>
      </c>
      <c r="AD229" s="9" t="s">
        <v>120</v>
      </c>
      <c r="AE229" s="14">
        <v>670.23309377999999</v>
      </c>
      <c r="AF229" s="13"/>
      <c r="AO229" s="34" t="s">
        <v>78</v>
      </c>
      <c r="AP229" s="31">
        <v>14.8</v>
      </c>
      <c r="AQ229" s="31">
        <v>14.8</v>
      </c>
    </row>
    <row r="230" spans="1:67" x14ac:dyDescent="0.2">
      <c r="A230" s="5"/>
      <c r="B230" s="25"/>
      <c r="C230" s="26"/>
      <c r="D230" s="5"/>
      <c r="E230" s="5"/>
      <c r="F230" s="32"/>
      <c r="G230" s="9"/>
      <c r="H230" s="6"/>
      <c r="I230" s="7"/>
      <c r="J230" s="9"/>
      <c r="N230" s="9"/>
      <c r="O230" s="12"/>
      <c r="P230" s="12"/>
      <c r="S230" s="9"/>
      <c r="T230" s="18"/>
      <c r="U230" s="18"/>
      <c r="Y230" s="9" t="e">
        <f t="shared" si="3"/>
        <v>#DIV/0!</v>
      </c>
      <c r="Z230" s="19"/>
      <c r="AC230" s="11"/>
      <c r="AD230" s="9"/>
      <c r="AE230" s="14"/>
      <c r="AF230" s="13"/>
      <c r="AO230" s="34" t="s">
        <v>79</v>
      </c>
      <c r="AP230" s="31">
        <v>9.3000000000000007</v>
      </c>
      <c r="AQ230" s="31">
        <v>9.3000000000000007</v>
      </c>
    </row>
    <row r="231" spans="1:67" x14ac:dyDescent="0.2">
      <c r="A231" s="5" t="s">
        <v>67</v>
      </c>
      <c r="B231" s="25">
        <v>43361</v>
      </c>
      <c r="C231" s="26">
        <v>0.71388888888888902</v>
      </c>
      <c r="D231" s="5" t="s">
        <v>200</v>
      </c>
      <c r="E231" s="5">
        <v>3</v>
      </c>
      <c r="F231" s="32">
        <v>62</v>
      </c>
      <c r="G231" s="9">
        <v>2</v>
      </c>
      <c r="H231" s="6">
        <v>3.2258064516129031E-2</v>
      </c>
      <c r="I231" s="7">
        <v>6.83E-2</v>
      </c>
      <c r="J231" s="9">
        <v>314.15899999999999</v>
      </c>
      <c r="K231" s="9">
        <v>0.61470000000000002</v>
      </c>
      <c r="L231" s="9">
        <v>9</v>
      </c>
      <c r="M231" s="14">
        <v>255.53847405238326</v>
      </c>
      <c r="N231" s="9">
        <v>1733</v>
      </c>
      <c r="O231" s="12" t="s">
        <v>92</v>
      </c>
      <c r="P231" s="12" t="s">
        <v>82</v>
      </c>
      <c r="Q231" s="9" t="s">
        <v>89</v>
      </c>
      <c r="R231" s="9" t="s">
        <v>93</v>
      </c>
      <c r="S231" s="9"/>
      <c r="T231" s="18">
        <v>1</v>
      </c>
      <c r="U231" s="18">
        <v>1</v>
      </c>
      <c r="V231" s="9">
        <v>7.4</v>
      </c>
      <c r="Y231" s="9">
        <f t="shared" si="3"/>
        <v>255.53847405238326</v>
      </c>
      <c r="Z231" s="19" t="s">
        <v>73</v>
      </c>
      <c r="AA231" s="8" t="s">
        <v>201</v>
      </c>
      <c r="AB231" s="8" t="s">
        <v>75</v>
      </c>
      <c r="AC231" s="11" t="s">
        <v>112</v>
      </c>
      <c r="AD231" s="9" t="s">
        <v>91</v>
      </c>
      <c r="AE231" s="14">
        <v>186.36959076666668</v>
      </c>
      <c r="AF231" s="13"/>
      <c r="AO231" s="34" t="s">
        <v>78</v>
      </c>
      <c r="AP231" s="31">
        <v>7.4</v>
      </c>
      <c r="AQ231" s="31">
        <v>7.4</v>
      </c>
    </row>
    <row r="232" spans="1:67" x14ac:dyDescent="0.2">
      <c r="A232" s="5"/>
      <c r="B232" s="25"/>
      <c r="C232" s="26"/>
      <c r="D232" s="5"/>
      <c r="E232" s="5"/>
      <c r="F232" s="32"/>
      <c r="G232" s="9"/>
      <c r="H232" s="6"/>
      <c r="I232" s="7"/>
      <c r="J232" s="9"/>
      <c r="N232" s="9"/>
      <c r="O232" s="12"/>
      <c r="P232" s="12"/>
      <c r="S232" s="9"/>
      <c r="T232" s="18"/>
      <c r="U232" s="18"/>
      <c r="Y232" s="9" t="e">
        <f t="shared" si="3"/>
        <v>#DIV/0!</v>
      </c>
      <c r="Z232" s="19"/>
      <c r="AC232" s="11"/>
      <c r="AD232" s="9"/>
      <c r="AE232" s="14"/>
      <c r="AF232" s="13"/>
      <c r="AO232" s="34" t="s">
        <v>79</v>
      </c>
      <c r="AP232" s="31">
        <v>4.5999999999999996</v>
      </c>
      <c r="AQ232" s="31">
        <v>4.5999999999999996</v>
      </c>
    </row>
    <row r="233" spans="1:67" x14ac:dyDescent="0.2">
      <c r="A233" s="5" t="s">
        <v>67</v>
      </c>
      <c r="B233" s="25">
        <v>43361</v>
      </c>
      <c r="C233" s="26">
        <v>0.71388888888888902</v>
      </c>
      <c r="D233" s="5" t="s">
        <v>200</v>
      </c>
      <c r="E233" s="5">
        <v>3</v>
      </c>
      <c r="F233" s="32">
        <v>62</v>
      </c>
      <c r="G233" s="9">
        <v>2</v>
      </c>
      <c r="H233" s="6">
        <v>3.2258064516129031E-2</v>
      </c>
      <c r="I233" s="7">
        <v>6.83E-2</v>
      </c>
      <c r="J233" s="9">
        <v>314.15899999999999</v>
      </c>
      <c r="K233" s="9">
        <v>0.61470000000000002</v>
      </c>
      <c r="L233" s="9">
        <v>9</v>
      </c>
      <c r="M233" s="14">
        <v>255.53847405238326</v>
      </c>
      <c r="N233" s="9">
        <v>1365</v>
      </c>
      <c r="O233" s="12" t="s">
        <v>121</v>
      </c>
      <c r="P233" s="12" t="s">
        <v>82</v>
      </c>
      <c r="Q233" s="9" t="s">
        <v>122</v>
      </c>
      <c r="R233" s="9" t="s">
        <v>123</v>
      </c>
      <c r="S233" s="9"/>
      <c r="T233" s="18">
        <v>5</v>
      </c>
      <c r="U233" s="18">
        <v>5</v>
      </c>
      <c r="V233" s="9">
        <v>12.6</v>
      </c>
      <c r="Y233" s="9">
        <f t="shared" si="3"/>
        <v>1277.6923702619165</v>
      </c>
      <c r="Z233" s="19" t="s">
        <v>73</v>
      </c>
      <c r="AA233" s="8" t="s">
        <v>201</v>
      </c>
      <c r="AB233" s="8" t="s">
        <v>75</v>
      </c>
      <c r="AC233" s="11" t="s">
        <v>112</v>
      </c>
      <c r="AD233" s="9" t="s">
        <v>91</v>
      </c>
      <c r="AE233" s="14">
        <v>831.26471399999991</v>
      </c>
      <c r="AF233" s="13"/>
      <c r="AO233" s="34" t="s">
        <v>78</v>
      </c>
      <c r="AP233" s="31">
        <v>12.620000000000001</v>
      </c>
      <c r="AQ233" s="31">
        <v>13</v>
      </c>
      <c r="AR233" s="31">
        <v>13</v>
      </c>
      <c r="AS233" s="31">
        <v>11.1</v>
      </c>
      <c r="AT233" s="31">
        <v>13</v>
      </c>
      <c r="AU233" s="31">
        <v>13</v>
      </c>
    </row>
    <row r="234" spans="1:67" x14ac:dyDescent="0.2">
      <c r="A234" s="5"/>
      <c r="B234" s="25"/>
      <c r="C234" s="26"/>
      <c r="D234" s="5"/>
      <c r="E234" s="5"/>
      <c r="F234" s="32"/>
      <c r="G234" s="9"/>
      <c r="H234" s="6"/>
      <c r="I234" s="7"/>
      <c r="J234" s="9"/>
      <c r="N234" s="9"/>
      <c r="O234" s="12"/>
      <c r="P234" s="12"/>
      <c r="S234" s="9"/>
      <c r="T234" s="18"/>
      <c r="U234" s="18"/>
      <c r="Y234" s="9" t="e">
        <f t="shared" si="3"/>
        <v>#DIV/0!</v>
      </c>
      <c r="Z234" s="19"/>
      <c r="AC234" s="11"/>
      <c r="AD234" s="9"/>
      <c r="AE234" s="14"/>
      <c r="AF234" s="13"/>
      <c r="AO234" s="34" t="s">
        <v>79</v>
      </c>
      <c r="AP234" s="31">
        <v>7.4</v>
      </c>
      <c r="AQ234" s="31">
        <v>7.4</v>
      </c>
      <c r="AR234" s="31">
        <v>7.4</v>
      </c>
      <c r="AS234" s="31">
        <v>7.4</v>
      </c>
      <c r="AT234" s="31">
        <v>7.4</v>
      </c>
      <c r="AU234" s="31">
        <v>7.4</v>
      </c>
    </row>
    <row r="235" spans="1:67" x14ac:dyDescent="0.2">
      <c r="A235" s="5" t="s">
        <v>67</v>
      </c>
      <c r="B235" s="25">
        <v>43361</v>
      </c>
      <c r="C235" s="26">
        <v>0.71388888888888902</v>
      </c>
      <c r="D235" s="5" t="s">
        <v>200</v>
      </c>
      <c r="E235" s="5">
        <v>3</v>
      </c>
      <c r="F235" s="32">
        <v>62</v>
      </c>
      <c r="G235" s="9">
        <v>2</v>
      </c>
      <c r="H235" s="6">
        <v>3.2258064516129031E-2</v>
      </c>
      <c r="I235" s="7">
        <v>6.83E-2</v>
      </c>
      <c r="J235" s="9">
        <v>314.15899999999999</v>
      </c>
      <c r="K235" s="9">
        <v>0.61470000000000002</v>
      </c>
      <c r="L235" s="9">
        <v>9</v>
      </c>
      <c r="M235" s="14">
        <v>255.53847405238326</v>
      </c>
      <c r="N235" s="9">
        <v>1419</v>
      </c>
      <c r="O235" s="12" t="s">
        <v>94</v>
      </c>
      <c r="P235" s="12" t="s">
        <v>82</v>
      </c>
      <c r="Q235" s="9" t="s">
        <v>95</v>
      </c>
      <c r="R235" s="9" t="s">
        <v>96</v>
      </c>
      <c r="S235" s="9"/>
      <c r="T235" s="18">
        <v>405</v>
      </c>
      <c r="U235" s="18">
        <v>818</v>
      </c>
      <c r="V235" s="9">
        <v>0.8</v>
      </c>
      <c r="W235" s="9">
        <v>0.8</v>
      </c>
      <c r="X235" s="9">
        <v>0.8</v>
      </c>
      <c r="Y235" s="9">
        <f t="shared" si="3"/>
        <v>103493.08199121521</v>
      </c>
      <c r="Z235" s="19" t="s">
        <v>97</v>
      </c>
      <c r="AA235" s="8" t="s">
        <v>201</v>
      </c>
      <c r="AB235" s="8" t="s">
        <v>75</v>
      </c>
      <c r="AC235" s="11" t="s">
        <v>112</v>
      </c>
      <c r="AD235" s="9" t="s">
        <v>85</v>
      </c>
      <c r="AE235" s="14">
        <v>0.18</v>
      </c>
      <c r="AF235" s="14">
        <v>0.18</v>
      </c>
      <c r="AG235" s="14">
        <v>0.18</v>
      </c>
      <c r="AH235" s="14">
        <v>0.18</v>
      </c>
      <c r="AI235" s="14">
        <v>0.18</v>
      </c>
      <c r="AJ235" s="14">
        <v>0.18</v>
      </c>
      <c r="AK235" s="14">
        <v>0.18</v>
      </c>
      <c r="AL235" s="14">
        <v>0.18</v>
      </c>
      <c r="AM235" s="14">
        <v>0.18</v>
      </c>
      <c r="AN235" s="14">
        <v>0.18</v>
      </c>
      <c r="AO235" s="34" t="s">
        <v>78</v>
      </c>
      <c r="AP235" s="31">
        <v>0.75200000000000033</v>
      </c>
      <c r="AQ235" s="31">
        <v>0.7</v>
      </c>
      <c r="AR235" s="31">
        <v>0.7</v>
      </c>
      <c r="AS235" s="31">
        <v>0.7</v>
      </c>
      <c r="AT235" s="31">
        <v>0.7</v>
      </c>
      <c r="AU235" s="31">
        <v>0.7</v>
      </c>
      <c r="AV235" s="31">
        <v>0.7</v>
      </c>
      <c r="AW235" s="31">
        <v>0.7</v>
      </c>
      <c r="AX235" s="31">
        <v>0.7</v>
      </c>
      <c r="AY235" s="31">
        <v>0.7</v>
      </c>
      <c r="AZ235" s="31">
        <v>0.7</v>
      </c>
      <c r="BA235" s="31">
        <v>0.7</v>
      </c>
      <c r="BB235" s="31">
        <v>0.7</v>
      </c>
      <c r="BC235" s="31">
        <v>0.8</v>
      </c>
      <c r="BD235" s="31">
        <v>0.8</v>
      </c>
      <c r="BE235" s="31">
        <v>0.8</v>
      </c>
      <c r="BF235" s="31">
        <v>0.8</v>
      </c>
      <c r="BG235" s="31">
        <v>0.8</v>
      </c>
      <c r="BH235" s="31">
        <v>0.8</v>
      </c>
      <c r="BI235" s="31">
        <v>0.8</v>
      </c>
      <c r="BJ235" s="31">
        <v>0.8</v>
      </c>
      <c r="BK235" s="31">
        <v>0.8</v>
      </c>
      <c r="BL235" s="31">
        <v>0.8</v>
      </c>
      <c r="BM235" s="31">
        <v>0.8</v>
      </c>
      <c r="BN235" s="31">
        <v>0.8</v>
      </c>
      <c r="BO235" s="31">
        <v>0.8</v>
      </c>
    </row>
    <row r="236" spans="1:67" x14ac:dyDescent="0.2">
      <c r="A236" s="5" t="s">
        <v>67</v>
      </c>
      <c r="B236" s="25">
        <v>43361</v>
      </c>
      <c r="C236" s="26">
        <v>0.71388888888888902</v>
      </c>
      <c r="D236" s="5" t="s">
        <v>200</v>
      </c>
      <c r="E236" s="5">
        <v>3</v>
      </c>
      <c r="F236" s="32">
        <v>62</v>
      </c>
      <c r="G236" s="9">
        <v>2</v>
      </c>
      <c r="H236" s="6">
        <v>3.2258064516129031E-2</v>
      </c>
      <c r="I236" s="7">
        <v>6.83E-2</v>
      </c>
      <c r="J236" s="9">
        <v>314.15899999999999</v>
      </c>
      <c r="K236" s="9">
        <v>0.61470000000000002</v>
      </c>
      <c r="L236" s="9">
        <v>9</v>
      </c>
      <c r="M236" s="14">
        <v>255.53847405238326</v>
      </c>
      <c r="N236" s="9">
        <v>1421</v>
      </c>
      <c r="O236" s="12" t="s">
        <v>130</v>
      </c>
      <c r="P236" s="12" t="s">
        <v>82</v>
      </c>
      <c r="Q236" s="9" t="s">
        <v>95</v>
      </c>
      <c r="R236" s="9" t="s">
        <v>131</v>
      </c>
      <c r="S236" s="9"/>
      <c r="T236" s="18">
        <v>5</v>
      </c>
      <c r="U236" s="18">
        <v>6</v>
      </c>
      <c r="V236" s="9">
        <v>5.6</v>
      </c>
      <c r="Y236" s="9">
        <f t="shared" si="3"/>
        <v>1277.6923702619165</v>
      </c>
      <c r="Z236" s="19" t="s">
        <v>97</v>
      </c>
      <c r="AA236" s="8" t="s">
        <v>201</v>
      </c>
      <c r="AB236" s="8" t="s">
        <v>75</v>
      </c>
      <c r="AC236" s="11" t="s">
        <v>112</v>
      </c>
      <c r="AD236" s="9" t="s">
        <v>85</v>
      </c>
      <c r="AE236" s="14">
        <v>82.447887960000003</v>
      </c>
      <c r="AF236" s="13"/>
      <c r="AO236" s="34" t="s">
        <v>78</v>
      </c>
      <c r="AP236" s="31">
        <v>5.4</v>
      </c>
      <c r="AQ236" s="31">
        <v>5.6</v>
      </c>
      <c r="AR236" s="31">
        <v>5.6</v>
      </c>
      <c r="AS236" s="31">
        <v>5.6</v>
      </c>
      <c r="AT236" s="31">
        <v>4.5999999999999996</v>
      </c>
      <c r="AU236" s="31">
        <v>5.6</v>
      </c>
    </row>
    <row r="237" spans="1:67" x14ac:dyDescent="0.2">
      <c r="A237" s="5" t="s">
        <v>67</v>
      </c>
      <c r="B237" s="25">
        <v>43361</v>
      </c>
      <c r="C237" s="26">
        <v>0.71388888888888902</v>
      </c>
      <c r="D237" s="5" t="s">
        <v>200</v>
      </c>
      <c r="E237" s="5">
        <v>3</v>
      </c>
      <c r="F237" s="32">
        <v>62</v>
      </c>
      <c r="G237" s="9">
        <v>2</v>
      </c>
      <c r="H237" s="6">
        <v>3.2258064516129031E-2</v>
      </c>
      <c r="I237" s="7">
        <v>6.83E-2</v>
      </c>
      <c r="J237" s="9">
        <v>314.15899999999999</v>
      </c>
      <c r="K237" s="9">
        <v>0.61470000000000002</v>
      </c>
      <c r="L237" s="9">
        <v>9</v>
      </c>
      <c r="M237" s="14">
        <v>255.53847405238326</v>
      </c>
      <c r="N237" s="9">
        <v>1508</v>
      </c>
      <c r="O237" s="12" t="s">
        <v>132</v>
      </c>
      <c r="P237" s="12" t="s">
        <v>82</v>
      </c>
      <c r="Q237" s="9" t="s">
        <v>133</v>
      </c>
      <c r="R237" s="9" t="s">
        <v>84</v>
      </c>
      <c r="S237" s="9"/>
      <c r="T237" s="18">
        <v>1</v>
      </c>
      <c r="U237" s="18">
        <v>4</v>
      </c>
      <c r="V237" s="9">
        <v>5.6</v>
      </c>
      <c r="Y237" s="9">
        <f t="shared" si="3"/>
        <v>255.53847405238326</v>
      </c>
      <c r="Z237" s="19" t="s">
        <v>134</v>
      </c>
      <c r="AA237" s="8" t="s">
        <v>201</v>
      </c>
      <c r="AB237" s="8" t="s">
        <v>75</v>
      </c>
      <c r="AC237" s="11" t="s">
        <v>112</v>
      </c>
      <c r="AD237" s="9" t="s">
        <v>104</v>
      </c>
      <c r="AE237" s="14">
        <v>12.475253889999999</v>
      </c>
      <c r="AF237" s="13"/>
      <c r="AO237" s="34" t="s">
        <v>78</v>
      </c>
      <c r="AP237" s="31">
        <v>4.4249999999999998</v>
      </c>
      <c r="AQ237" s="31">
        <v>5.6</v>
      </c>
      <c r="AR237" s="31">
        <v>5.6</v>
      </c>
      <c r="AS237" s="31">
        <v>2.8</v>
      </c>
      <c r="AT237" s="31">
        <v>3.7</v>
      </c>
    </row>
    <row r="238" spans="1:67" x14ac:dyDescent="0.2">
      <c r="A238" s="5"/>
      <c r="B238" s="25"/>
      <c r="C238" s="26"/>
      <c r="D238" s="5"/>
      <c r="E238" s="5"/>
      <c r="F238" s="32"/>
      <c r="G238" s="9"/>
      <c r="H238" s="6"/>
      <c r="I238" s="7"/>
      <c r="J238" s="9"/>
      <c r="N238" s="9"/>
      <c r="O238" s="12"/>
      <c r="P238" s="12"/>
      <c r="S238" s="9"/>
      <c r="T238" s="18"/>
      <c r="U238" s="18"/>
      <c r="Y238" s="9" t="e">
        <f t="shared" si="3"/>
        <v>#DIV/0!</v>
      </c>
      <c r="Z238" s="19"/>
      <c r="AC238" s="11"/>
      <c r="AD238" s="9"/>
      <c r="AE238" s="14"/>
      <c r="AF238" s="13"/>
      <c r="AO238" s="34" t="s">
        <v>79</v>
      </c>
      <c r="AP238" s="31">
        <v>1.9</v>
      </c>
      <c r="AQ238" s="31">
        <v>1.9</v>
      </c>
      <c r="AR238" s="31">
        <v>1.9</v>
      </c>
      <c r="AS238" s="31">
        <v>1.9</v>
      </c>
      <c r="AT238" s="31">
        <v>1.9</v>
      </c>
    </row>
    <row r="239" spans="1:67" x14ac:dyDescent="0.2">
      <c r="A239" s="5" t="s">
        <v>67</v>
      </c>
      <c r="B239" s="25">
        <v>43360</v>
      </c>
      <c r="C239" s="26">
        <v>0.73611111111111105</v>
      </c>
      <c r="D239" s="5" t="s">
        <v>202</v>
      </c>
      <c r="E239" s="5">
        <v>3</v>
      </c>
      <c r="F239" s="32">
        <v>62.5</v>
      </c>
      <c r="G239" s="9">
        <v>2</v>
      </c>
      <c r="H239" s="6">
        <v>3.2000000000000001E-2</v>
      </c>
      <c r="I239" s="7">
        <v>6.83E-2</v>
      </c>
      <c r="J239" s="9">
        <v>314.15899999999999</v>
      </c>
      <c r="K239" s="9">
        <v>1.3660000000000001</v>
      </c>
      <c r="L239" s="9">
        <v>20</v>
      </c>
      <c r="M239" s="14">
        <v>114.99231332357246</v>
      </c>
      <c r="N239" s="9">
        <v>1037</v>
      </c>
      <c r="O239" s="12" t="s">
        <v>86</v>
      </c>
      <c r="P239" s="12" t="s">
        <v>82</v>
      </c>
      <c r="Q239" s="9" t="s">
        <v>87</v>
      </c>
      <c r="R239" s="9" t="s">
        <v>84</v>
      </c>
      <c r="S239" s="9"/>
      <c r="T239" s="18">
        <v>23</v>
      </c>
      <c r="U239" s="18">
        <v>23</v>
      </c>
      <c r="V239" s="9">
        <v>3.7</v>
      </c>
      <c r="Y239" s="9">
        <f t="shared" si="3"/>
        <v>2644.8232064421668</v>
      </c>
      <c r="Z239" s="19" t="s">
        <v>73</v>
      </c>
      <c r="AA239" s="8" t="s">
        <v>203</v>
      </c>
      <c r="AB239" s="8" t="s">
        <v>75</v>
      </c>
      <c r="AC239" s="11" t="s">
        <v>112</v>
      </c>
      <c r="AD239" s="9" t="s">
        <v>85</v>
      </c>
      <c r="AE239" s="14">
        <v>11.494030613333329</v>
      </c>
      <c r="AF239" s="13"/>
      <c r="AO239" s="34" t="s">
        <v>78</v>
      </c>
      <c r="AP239" s="31">
        <v>2.8</v>
      </c>
      <c r="AQ239" s="31">
        <v>2.8</v>
      </c>
      <c r="AR239" s="31">
        <v>1.9</v>
      </c>
      <c r="AS239" s="31">
        <v>3.7</v>
      </c>
      <c r="AT239" s="31">
        <v>2.8</v>
      </c>
      <c r="AU239" s="31">
        <v>2.8</v>
      </c>
    </row>
    <row r="240" spans="1:67" x14ac:dyDescent="0.2">
      <c r="A240" s="5" t="s">
        <v>67</v>
      </c>
      <c r="B240" s="25">
        <v>43360</v>
      </c>
      <c r="C240" s="26">
        <v>0.73611111111111105</v>
      </c>
      <c r="D240" s="5" t="s">
        <v>202</v>
      </c>
      <c r="E240" s="5">
        <v>3</v>
      </c>
      <c r="F240" s="32">
        <v>62.5</v>
      </c>
      <c r="G240" s="9">
        <v>2</v>
      </c>
      <c r="H240" s="6">
        <v>3.2000000000000001E-2</v>
      </c>
      <c r="I240" s="7">
        <v>6.83E-2</v>
      </c>
      <c r="J240" s="9">
        <v>314.15899999999999</v>
      </c>
      <c r="K240" s="9">
        <v>1.3660000000000001</v>
      </c>
      <c r="L240" s="9">
        <v>20</v>
      </c>
      <c r="M240" s="14">
        <v>114.99231332357246</v>
      </c>
      <c r="N240" s="9">
        <v>1352</v>
      </c>
      <c r="O240" s="12" t="s">
        <v>118</v>
      </c>
      <c r="P240" s="12" t="s">
        <v>82</v>
      </c>
      <c r="Q240" s="9" t="s">
        <v>119</v>
      </c>
      <c r="R240" s="9" t="s">
        <v>84</v>
      </c>
      <c r="S240" s="9"/>
      <c r="T240" s="18">
        <v>1</v>
      </c>
      <c r="U240" s="18">
        <v>1</v>
      </c>
      <c r="V240" s="9">
        <v>20.399999999999999</v>
      </c>
      <c r="Y240" s="9">
        <f t="shared" si="3"/>
        <v>114.99231332357246</v>
      </c>
      <c r="Z240" s="19" t="s">
        <v>73</v>
      </c>
      <c r="AA240" s="8" t="s">
        <v>203</v>
      </c>
      <c r="AB240" s="8" t="s">
        <v>75</v>
      </c>
      <c r="AC240" s="11" t="s">
        <v>112</v>
      </c>
      <c r="AD240" s="9" t="s">
        <v>120</v>
      </c>
      <c r="AE240" s="14">
        <v>1316.0560332599996</v>
      </c>
      <c r="AF240" s="13"/>
      <c r="AO240" s="34" t="s">
        <v>78</v>
      </c>
      <c r="AP240" s="31">
        <v>20.399999999999999</v>
      </c>
      <c r="AQ240" s="31">
        <v>20.399999999999999</v>
      </c>
    </row>
    <row r="241" spans="1:67" x14ac:dyDescent="0.2">
      <c r="A241" s="5"/>
      <c r="B241" s="25"/>
      <c r="C241" s="26"/>
      <c r="D241" s="5"/>
      <c r="E241" s="5"/>
      <c r="F241" s="32"/>
      <c r="G241" s="9"/>
      <c r="H241" s="6"/>
      <c r="I241" s="7"/>
      <c r="J241" s="9"/>
      <c r="N241" s="9"/>
      <c r="O241" s="12"/>
      <c r="P241" s="12"/>
      <c r="S241" s="9"/>
      <c r="T241" s="18"/>
      <c r="U241" s="18"/>
      <c r="Y241" s="9" t="e">
        <f t="shared" si="3"/>
        <v>#DIV/0!</v>
      </c>
      <c r="Z241" s="19"/>
      <c r="AC241" s="11"/>
      <c r="AD241" s="9"/>
      <c r="AE241" s="14"/>
      <c r="AF241" s="13"/>
      <c r="AO241" s="34" t="s">
        <v>79</v>
      </c>
      <c r="AP241" s="31">
        <v>11.1</v>
      </c>
      <c r="AQ241" s="31">
        <v>11.1</v>
      </c>
    </row>
    <row r="242" spans="1:67" x14ac:dyDescent="0.2">
      <c r="A242" s="5" t="s">
        <v>67</v>
      </c>
      <c r="B242" s="25">
        <v>43360</v>
      </c>
      <c r="C242" s="26">
        <v>0.73611111111111105</v>
      </c>
      <c r="D242" s="5" t="s">
        <v>202</v>
      </c>
      <c r="E242" s="5">
        <v>3</v>
      </c>
      <c r="F242" s="32">
        <v>62.5</v>
      </c>
      <c r="G242" s="9">
        <v>2</v>
      </c>
      <c r="H242" s="6">
        <v>3.2000000000000001E-2</v>
      </c>
      <c r="I242" s="7">
        <v>6.83E-2</v>
      </c>
      <c r="J242" s="9">
        <v>314.15899999999999</v>
      </c>
      <c r="K242" s="9">
        <v>1.3660000000000001</v>
      </c>
      <c r="L242" s="9">
        <v>20</v>
      </c>
      <c r="M242" s="14">
        <v>114.99231332357246</v>
      </c>
      <c r="N242" s="9">
        <v>1364</v>
      </c>
      <c r="O242" s="12" t="s">
        <v>88</v>
      </c>
      <c r="P242" s="12" t="s">
        <v>82</v>
      </c>
      <c r="Q242" s="9" t="s">
        <v>89</v>
      </c>
      <c r="R242" s="9" t="s">
        <v>90</v>
      </c>
      <c r="S242" s="9"/>
      <c r="T242" s="18">
        <v>1</v>
      </c>
      <c r="U242" s="18">
        <v>1</v>
      </c>
      <c r="V242" s="9">
        <v>8.1999999999999993</v>
      </c>
      <c r="Y242" s="9">
        <f t="shared" si="3"/>
        <v>114.99231332357246</v>
      </c>
      <c r="Z242" s="19" t="s">
        <v>73</v>
      </c>
      <c r="AA242" s="8" t="s">
        <v>203</v>
      </c>
      <c r="AB242" s="8" t="s">
        <v>75</v>
      </c>
      <c r="AC242" s="11" t="s">
        <v>112</v>
      </c>
      <c r="AD242" s="9" t="s">
        <v>91</v>
      </c>
      <c r="AE242" s="14">
        <v>242.92658833999991</v>
      </c>
      <c r="AF242" s="13"/>
      <c r="AO242" s="34" t="s">
        <v>78</v>
      </c>
      <c r="AP242" s="31">
        <v>8.1999999999999993</v>
      </c>
      <c r="AQ242" s="31">
        <v>8.1999999999999993</v>
      </c>
    </row>
    <row r="243" spans="1:67" x14ac:dyDescent="0.2">
      <c r="A243" s="5"/>
      <c r="B243" s="25"/>
      <c r="C243" s="26"/>
      <c r="D243" s="5"/>
      <c r="E243" s="5"/>
      <c r="F243" s="32"/>
      <c r="G243" s="9"/>
      <c r="H243" s="6"/>
      <c r="I243" s="7"/>
      <c r="J243" s="9"/>
      <c r="N243" s="9"/>
      <c r="O243" s="12"/>
      <c r="P243" s="12"/>
      <c r="S243" s="9"/>
      <c r="T243" s="18"/>
      <c r="U243" s="18"/>
      <c r="Y243" s="9" t="e">
        <f t="shared" si="3"/>
        <v>#DIV/0!</v>
      </c>
      <c r="Z243" s="19"/>
      <c r="AC243" s="11"/>
      <c r="AD243" s="9"/>
      <c r="AE243" s="14"/>
      <c r="AF243" s="13"/>
      <c r="AO243" s="34" t="s">
        <v>79</v>
      </c>
      <c r="AP243" s="31">
        <v>5.6</v>
      </c>
      <c r="AQ243" s="31">
        <v>5.6</v>
      </c>
    </row>
    <row r="244" spans="1:67" x14ac:dyDescent="0.2">
      <c r="A244" s="5" t="s">
        <v>67</v>
      </c>
      <c r="B244" s="25">
        <v>43360</v>
      </c>
      <c r="C244" s="26">
        <v>0.73611111111111105</v>
      </c>
      <c r="D244" s="5" t="s">
        <v>202</v>
      </c>
      <c r="E244" s="5">
        <v>3</v>
      </c>
      <c r="F244" s="32">
        <v>62.5</v>
      </c>
      <c r="G244" s="9">
        <v>2</v>
      </c>
      <c r="H244" s="6">
        <v>3.2000000000000001E-2</v>
      </c>
      <c r="I244" s="7">
        <v>6.83E-2</v>
      </c>
      <c r="J244" s="9">
        <v>314.15899999999999</v>
      </c>
      <c r="K244" s="9">
        <v>1.3660000000000001</v>
      </c>
      <c r="L244" s="9">
        <v>20</v>
      </c>
      <c r="M244" s="14">
        <v>114.99231332357246</v>
      </c>
      <c r="N244" s="9">
        <v>1419</v>
      </c>
      <c r="O244" s="12" t="s">
        <v>94</v>
      </c>
      <c r="P244" s="12" t="s">
        <v>82</v>
      </c>
      <c r="Q244" s="9" t="s">
        <v>95</v>
      </c>
      <c r="R244" s="9" t="s">
        <v>96</v>
      </c>
      <c r="S244" s="9"/>
      <c r="T244" s="18">
        <v>387</v>
      </c>
      <c r="U244" s="18">
        <v>777</v>
      </c>
      <c r="V244" s="9">
        <v>0.8</v>
      </c>
      <c r="W244" s="9">
        <v>0.8</v>
      </c>
      <c r="X244" s="9">
        <v>0.8</v>
      </c>
      <c r="Y244" s="9">
        <f t="shared" si="3"/>
        <v>44502.025256222543</v>
      </c>
      <c r="Z244" s="19" t="s">
        <v>97</v>
      </c>
      <c r="AA244" s="8" t="s">
        <v>203</v>
      </c>
      <c r="AB244" s="8" t="s">
        <v>75</v>
      </c>
      <c r="AC244" s="11" t="s">
        <v>112</v>
      </c>
      <c r="AD244" s="9" t="s">
        <v>85</v>
      </c>
      <c r="AE244" s="14">
        <v>0.18</v>
      </c>
      <c r="AF244" s="14">
        <v>0.18</v>
      </c>
      <c r="AG244" s="14">
        <v>0.18</v>
      </c>
      <c r="AH244" s="14">
        <v>0.18</v>
      </c>
      <c r="AI244" s="14">
        <v>0.18</v>
      </c>
      <c r="AJ244" s="14">
        <v>0.18</v>
      </c>
      <c r="AK244" s="14">
        <v>0.18</v>
      </c>
      <c r="AL244" s="14">
        <v>0.18</v>
      </c>
      <c r="AM244" s="14">
        <v>0.18</v>
      </c>
      <c r="AN244" s="14">
        <v>0.18</v>
      </c>
      <c r="AO244" s="35" t="s">
        <v>78</v>
      </c>
      <c r="AP244" s="31">
        <v>0.75200000000000033</v>
      </c>
      <c r="AQ244" s="31">
        <v>0.7</v>
      </c>
      <c r="AR244" s="31">
        <v>0.7</v>
      </c>
      <c r="AS244" s="31">
        <v>0.7</v>
      </c>
      <c r="AT244" s="31">
        <v>0.7</v>
      </c>
      <c r="AU244" s="31">
        <v>0.7</v>
      </c>
      <c r="AV244" s="31">
        <v>0.7</v>
      </c>
      <c r="AW244" s="31">
        <v>0.7</v>
      </c>
      <c r="AX244" s="31">
        <v>0.7</v>
      </c>
      <c r="AY244" s="31">
        <v>0.7</v>
      </c>
      <c r="AZ244" s="31">
        <v>0.7</v>
      </c>
      <c r="BA244" s="31">
        <v>0.7</v>
      </c>
      <c r="BB244" s="31">
        <v>0.7</v>
      </c>
      <c r="BC244" s="31">
        <v>0.8</v>
      </c>
      <c r="BD244" s="31">
        <v>0.8</v>
      </c>
      <c r="BE244" s="31">
        <v>0.8</v>
      </c>
      <c r="BF244" s="31">
        <v>0.8</v>
      </c>
      <c r="BG244" s="31">
        <v>0.8</v>
      </c>
      <c r="BH244" s="31">
        <v>0.8</v>
      </c>
      <c r="BI244" s="31">
        <v>0.8</v>
      </c>
      <c r="BJ244" s="31">
        <v>0.8</v>
      </c>
      <c r="BK244" s="31">
        <v>0.8</v>
      </c>
      <c r="BL244" s="31">
        <v>0.8</v>
      </c>
      <c r="BM244" s="31">
        <v>0.8</v>
      </c>
      <c r="BN244" s="31">
        <v>0.8</v>
      </c>
      <c r="BO244" s="31">
        <v>0.8</v>
      </c>
    </row>
    <row r="245" spans="1:67" x14ac:dyDescent="0.2">
      <c r="A245" s="5" t="s">
        <v>67</v>
      </c>
      <c r="B245" s="25">
        <v>43360</v>
      </c>
      <c r="C245" s="26">
        <v>0.75</v>
      </c>
      <c r="D245" s="5" t="s">
        <v>204</v>
      </c>
      <c r="E245" s="5"/>
      <c r="F245" s="32">
        <v>62</v>
      </c>
      <c r="G245" s="9">
        <v>2</v>
      </c>
      <c r="H245" s="6">
        <v>3.2258064516129031E-2</v>
      </c>
      <c r="I245" s="7">
        <v>6.83E-2</v>
      </c>
      <c r="J245" s="9">
        <v>314.15899999999999</v>
      </c>
      <c r="K245" s="9">
        <v>0.61470000000000002</v>
      </c>
      <c r="L245" s="9">
        <v>9</v>
      </c>
      <c r="M245" s="14">
        <v>255.53847405238326</v>
      </c>
      <c r="N245" s="9">
        <v>749</v>
      </c>
      <c r="O245" s="12" t="s">
        <v>190</v>
      </c>
      <c r="P245" s="8" t="s">
        <v>70</v>
      </c>
      <c r="Q245" s="9" t="s">
        <v>191</v>
      </c>
      <c r="R245" s="9" t="s">
        <v>84</v>
      </c>
      <c r="S245" s="9"/>
      <c r="T245" s="18">
        <v>1</v>
      </c>
      <c r="U245" s="18">
        <v>1</v>
      </c>
      <c r="V245" s="9">
        <v>18.5</v>
      </c>
      <c r="Y245" s="9">
        <f t="shared" si="3"/>
        <v>255.53847405238326</v>
      </c>
      <c r="Z245" s="19" t="s">
        <v>73</v>
      </c>
      <c r="AA245" s="8" t="s">
        <v>205</v>
      </c>
      <c r="AB245" s="8" t="s">
        <v>75</v>
      </c>
      <c r="AC245" s="11" t="s">
        <v>112</v>
      </c>
      <c r="AD245" s="9" t="s">
        <v>193</v>
      </c>
      <c r="AE245" s="14">
        <v>157.435</v>
      </c>
      <c r="AF245" s="13"/>
      <c r="AO245" s="34" t="s">
        <v>78</v>
      </c>
      <c r="AP245" s="31">
        <v>18.5</v>
      </c>
      <c r="AQ245" s="31">
        <v>18.5</v>
      </c>
    </row>
    <row r="246" spans="1:67" x14ac:dyDescent="0.2">
      <c r="A246" s="5"/>
      <c r="B246" s="25"/>
      <c r="C246" s="26"/>
      <c r="D246" s="5"/>
      <c r="E246" s="5"/>
      <c r="F246" s="32"/>
      <c r="G246" s="9"/>
      <c r="H246" s="6"/>
      <c r="I246" s="7"/>
      <c r="J246" s="9"/>
      <c r="N246" s="9"/>
      <c r="O246" s="12"/>
      <c r="S246" s="9"/>
      <c r="T246" s="18"/>
      <c r="U246" s="18"/>
      <c r="Y246" s="9" t="e">
        <f t="shared" si="3"/>
        <v>#DIV/0!</v>
      </c>
      <c r="Z246" s="19"/>
      <c r="AC246" s="11"/>
      <c r="AD246" s="9"/>
      <c r="AE246" s="14"/>
      <c r="AF246" s="13"/>
      <c r="AO246" s="34" t="s">
        <v>79</v>
      </c>
      <c r="AP246" s="31">
        <v>4.5999999999999996</v>
      </c>
      <c r="AQ246" s="31">
        <v>4.5999999999999996</v>
      </c>
    </row>
    <row r="247" spans="1:67" x14ac:dyDescent="0.2">
      <c r="A247" s="5"/>
      <c r="B247" s="25"/>
      <c r="C247" s="26"/>
      <c r="D247" s="5"/>
      <c r="E247" s="5"/>
      <c r="F247" s="32"/>
      <c r="G247" s="9"/>
      <c r="H247" s="6"/>
      <c r="I247" s="7"/>
      <c r="J247" s="9"/>
      <c r="N247" s="9"/>
      <c r="O247" s="12"/>
      <c r="S247" s="9"/>
      <c r="T247" s="18"/>
      <c r="U247" s="18"/>
      <c r="Y247" s="9" t="e">
        <f t="shared" si="3"/>
        <v>#DIV/0!</v>
      </c>
      <c r="Z247" s="19"/>
      <c r="AC247" s="11"/>
      <c r="AD247" s="9"/>
      <c r="AE247" s="14"/>
      <c r="AF247" s="13"/>
      <c r="AO247" s="34" t="s">
        <v>80</v>
      </c>
      <c r="AP247" s="31">
        <v>3.7</v>
      </c>
      <c r="AQ247" s="31">
        <v>3.7</v>
      </c>
    </row>
    <row r="248" spans="1:67" x14ac:dyDescent="0.2">
      <c r="A248" s="5" t="s">
        <v>67</v>
      </c>
      <c r="B248" s="25">
        <v>43360</v>
      </c>
      <c r="C248" s="26">
        <v>0.75</v>
      </c>
      <c r="D248" s="5" t="s">
        <v>204</v>
      </c>
      <c r="E248" s="5"/>
      <c r="F248" s="32">
        <v>62</v>
      </c>
      <c r="G248" s="9">
        <v>2</v>
      </c>
      <c r="H248" s="6">
        <v>3.2258064516129031E-2</v>
      </c>
      <c r="I248" s="7">
        <v>6.83E-2</v>
      </c>
      <c r="J248" s="9">
        <v>314.15899999999999</v>
      </c>
      <c r="K248" s="9">
        <v>0.61470000000000002</v>
      </c>
      <c r="L248" s="9">
        <v>9</v>
      </c>
      <c r="M248" s="14">
        <v>255.53847405238326</v>
      </c>
      <c r="N248" s="9">
        <v>1031</v>
      </c>
      <c r="O248" s="12" t="s">
        <v>81</v>
      </c>
      <c r="P248" s="12" t="s">
        <v>82</v>
      </c>
      <c r="Q248" s="9" t="s">
        <v>83</v>
      </c>
      <c r="R248" s="9" t="s">
        <v>84</v>
      </c>
      <c r="S248" s="9"/>
      <c r="T248" s="18">
        <v>3</v>
      </c>
      <c r="U248" s="18">
        <v>3</v>
      </c>
      <c r="V248" s="9">
        <v>7.4</v>
      </c>
      <c r="Y248" s="9">
        <f t="shared" si="3"/>
        <v>766.61542215714974</v>
      </c>
      <c r="Z248" s="19" t="s">
        <v>73</v>
      </c>
      <c r="AA248" s="8" t="s">
        <v>205</v>
      </c>
      <c r="AB248" s="8" t="s">
        <v>75</v>
      </c>
      <c r="AC248" s="11" t="s">
        <v>112</v>
      </c>
      <c r="AD248" s="9" t="s">
        <v>85</v>
      </c>
      <c r="AE248" s="14">
        <v>102.93314915333333</v>
      </c>
      <c r="AF248" s="13"/>
      <c r="AO248" s="34" t="s">
        <v>78</v>
      </c>
      <c r="AP248" s="31">
        <v>6.833333333333333</v>
      </c>
      <c r="AQ248" s="31">
        <v>7.4</v>
      </c>
      <c r="AR248" s="31">
        <v>7.5</v>
      </c>
      <c r="AS248" s="31">
        <v>5.6</v>
      </c>
    </row>
    <row r="249" spans="1:67" x14ac:dyDescent="0.2">
      <c r="A249" s="5"/>
      <c r="B249" s="25"/>
      <c r="C249" s="26"/>
      <c r="D249" s="5"/>
      <c r="E249" s="5"/>
      <c r="F249" s="32"/>
      <c r="G249" s="9"/>
      <c r="H249" s="6"/>
      <c r="I249" s="7"/>
      <c r="J249" s="9"/>
      <c r="N249" s="9"/>
      <c r="O249" s="12"/>
      <c r="P249" s="12"/>
      <c r="S249" s="9"/>
      <c r="T249" s="18"/>
      <c r="U249" s="18"/>
      <c r="Y249" s="9" t="e">
        <f t="shared" si="3"/>
        <v>#DIV/0!</v>
      </c>
      <c r="Z249" s="19"/>
      <c r="AC249" s="11"/>
      <c r="AD249" s="9"/>
      <c r="AE249" s="14"/>
      <c r="AF249" s="13"/>
      <c r="AO249" s="34" t="s">
        <v>79</v>
      </c>
      <c r="AP249" s="31">
        <v>5.8999999999999995</v>
      </c>
      <c r="AQ249" s="31">
        <v>6.5</v>
      </c>
      <c r="AR249" s="31">
        <v>5.6</v>
      </c>
      <c r="AS249" s="31">
        <v>5.6</v>
      </c>
    </row>
    <row r="250" spans="1:67" x14ac:dyDescent="0.2">
      <c r="A250" s="5"/>
      <c r="B250" s="25"/>
      <c r="C250" s="26"/>
      <c r="D250" s="5"/>
      <c r="E250" s="5"/>
      <c r="F250" s="32"/>
      <c r="G250" s="9"/>
      <c r="H250" s="6"/>
      <c r="I250" s="7"/>
      <c r="J250" s="9"/>
      <c r="N250" s="9"/>
      <c r="O250" s="12"/>
      <c r="P250" s="12"/>
      <c r="S250" s="9"/>
      <c r="T250" s="18"/>
      <c r="U250" s="18"/>
      <c r="Y250" s="9" t="e">
        <f t="shared" si="3"/>
        <v>#DIV/0!</v>
      </c>
      <c r="Z250" s="19"/>
      <c r="AC250" s="11"/>
      <c r="AD250" s="9"/>
      <c r="AE250" s="14"/>
      <c r="AF250" s="13"/>
      <c r="AO250" s="34" t="s">
        <v>80</v>
      </c>
      <c r="AP250" s="31">
        <v>4.9333333333333327</v>
      </c>
      <c r="AQ250" s="31">
        <v>5.6</v>
      </c>
      <c r="AR250" s="31">
        <v>4.5999999999999996</v>
      </c>
      <c r="AS250" s="31">
        <v>4.5999999999999996</v>
      </c>
    </row>
    <row r="251" spans="1:67" x14ac:dyDescent="0.2">
      <c r="A251" s="5" t="s">
        <v>67</v>
      </c>
      <c r="B251" s="25">
        <v>43360</v>
      </c>
      <c r="C251" s="26">
        <v>0.75</v>
      </c>
      <c r="D251" s="5" t="s">
        <v>204</v>
      </c>
      <c r="E251" s="5"/>
      <c r="F251" s="32">
        <v>62</v>
      </c>
      <c r="G251" s="9">
        <v>2</v>
      </c>
      <c r="H251" s="6">
        <v>3.2258064516129031E-2</v>
      </c>
      <c r="I251" s="7">
        <v>6.83E-2</v>
      </c>
      <c r="J251" s="9">
        <v>314.15899999999999</v>
      </c>
      <c r="K251" s="9">
        <v>0.61470000000000002</v>
      </c>
      <c r="L251" s="9">
        <v>9</v>
      </c>
      <c r="M251" s="14">
        <v>255.53847405238326</v>
      </c>
      <c r="N251" s="9">
        <v>1037</v>
      </c>
      <c r="O251" s="12" t="s">
        <v>86</v>
      </c>
      <c r="P251" s="12" t="s">
        <v>82</v>
      </c>
      <c r="Q251" s="9" t="s">
        <v>87</v>
      </c>
      <c r="R251" s="9" t="s">
        <v>84</v>
      </c>
      <c r="S251" s="9"/>
      <c r="T251" s="18">
        <v>20</v>
      </c>
      <c r="U251" s="18">
        <v>20</v>
      </c>
      <c r="V251" s="9">
        <v>2.8</v>
      </c>
      <c r="Y251" s="9">
        <f t="shared" si="3"/>
        <v>5110.769481047666</v>
      </c>
      <c r="Z251" s="19" t="s">
        <v>73</v>
      </c>
      <c r="AA251" s="8" t="s">
        <v>205</v>
      </c>
      <c r="AB251" s="8" t="s">
        <v>75</v>
      </c>
      <c r="AC251" s="11" t="s">
        <v>112</v>
      </c>
      <c r="AD251" s="9" t="s">
        <v>85</v>
      </c>
      <c r="AE251" s="14">
        <v>11.494030613333329</v>
      </c>
      <c r="AF251" s="13"/>
      <c r="AO251" s="34" t="s">
        <v>78</v>
      </c>
      <c r="AP251" s="31">
        <v>2.8</v>
      </c>
      <c r="AQ251" s="31">
        <v>2.8</v>
      </c>
      <c r="AR251" s="31">
        <v>2.8</v>
      </c>
      <c r="AS251" s="31">
        <v>2.8</v>
      </c>
      <c r="AT251" s="31">
        <v>2.8</v>
      </c>
      <c r="AU251" s="31">
        <v>2.8</v>
      </c>
    </row>
    <row r="252" spans="1:67" x14ac:dyDescent="0.2">
      <c r="A252" s="5" t="s">
        <v>67</v>
      </c>
      <c r="B252" s="25">
        <v>43360</v>
      </c>
      <c r="C252" s="26">
        <v>0.75</v>
      </c>
      <c r="D252" s="5" t="s">
        <v>204</v>
      </c>
      <c r="E252" s="5"/>
      <c r="F252" s="32">
        <v>62</v>
      </c>
      <c r="G252" s="9">
        <v>2</v>
      </c>
      <c r="H252" s="6">
        <v>3.2258064516129031E-2</v>
      </c>
      <c r="I252" s="7">
        <v>6.83E-2</v>
      </c>
      <c r="J252" s="9">
        <v>314.15899999999999</v>
      </c>
      <c r="K252" s="9">
        <v>0.61470000000000002</v>
      </c>
      <c r="L252" s="9">
        <v>9</v>
      </c>
      <c r="M252" s="14">
        <v>255.53847405238326</v>
      </c>
      <c r="N252" s="9">
        <v>1806</v>
      </c>
      <c r="O252" s="12" t="s">
        <v>206</v>
      </c>
      <c r="P252" s="12" t="s">
        <v>82</v>
      </c>
      <c r="Q252" s="9" t="s">
        <v>207</v>
      </c>
      <c r="R252" s="9" t="s">
        <v>84</v>
      </c>
      <c r="S252" s="9"/>
      <c r="T252" s="18">
        <v>2</v>
      </c>
      <c r="U252" s="18">
        <v>2</v>
      </c>
      <c r="V252" s="9">
        <v>2.8</v>
      </c>
      <c r="Y252" s="9">
        <f t="shared" si="3"/>
        <v>511.07694810476653</v>
      </c>
      <c r="Z252" s="19" t="s">
        <v>73</v>
      </c>
      <c r="AA252" s="8" t="s">
        <v>205</v>
      </c>
      <c r="AB252" s="8" t="s">
        <v>75</v>
      </c>
      <c r="AC252" s="11" t="s">
        <v>112</v>
      </c>
      <c r="AD252" s="9" t="s">
        <v>120</v>
      </c>
      <c r="AE252" s="14">
        <v>11.494030613333329</v>
      </c>
      <c r="AF252" s="13"/>
      <c r="AO252" s="34" t="s">
        <v>78</v>
      </c>
      <c r="AP252" s="31">
        <v>2.8</v>
      </c>
      <c r="AQ252" s="31">
        <v>2.8</v>
      </c>
      <c r="AR252" s="31">
        <v>2.8</v>
      </c>
    </row>
    <row r="253" spans="1:67" x14ac:dyDescent="0.2">
      <c r="A253" s="5"/>
      <c r="B253" s="25"/>
      <c r="C253" s="26"/>
      <c r="D253" s="5"/>
      <c r="E253" s="5"/>
      <c r="F253" s="32"/>
      <c r="G253" s="9"/>
      <c r="H253" s="6"/>
      <c r="I253" s="7"/>
      <c r="J253" s="9"/>
      <c r="N253" s="9"/>
      <c r="O253" s="12"/>
      <c r="P253" s="12"/>
      <c r="S253" s="9"/>
      <c r="T253" s="18"/>
      <c r="U253" s="18"/>
      <c r="Y253" s="9" t="e">
        <f t="shared" si="3"/>
        <v>#DIV/0!</v>
      </c>
      <c r="Z253" s="19"/>
      <c r="AC253" s="11"/>
      <c r="AD253" s="9"/>
      <c r="AE253" s="14"/>
      <c r="AF253" s="13"/>
      <c r="AO253" s="34" t="s">
        <v>79</v>
      </c>
      <c r="AP253" s="31">
        <v>2.8</v>
      </c>
      <c r="AQ253" s="31">
        <v>2.8</v>
      </c>
      <c r="AR253" s="31">
        <v>2.8</v>
      </c>
    </row>
    <row r="254" spans="1:67" x14ac:dyDescent="0.2">
      <c r="A254" s="5" t="s">
        <v>67</v>
      </c>
      <c r="B254" s="25">
        <v>43360</v>
      </c>
      <c r="C254" s="26">
        <v>0.75</v>
      </c>
      <c r="D254" s="5" t="s">
        <v>204</v>
      </c>
      <c r="E254" s="5"/>
      <c r="F254" s="32">
        <v>62</v>
      </c>
      <c r="G254" s="9">
        <v>2</v>
      </c>
      <c r="H254" s="6">
        <v>3.2258064516129031E-2</v>
      </c>
      <c r="I254" s="7">
        <v>6.83E-2</v>
      </c>
      <c r="J254" s="9">
        <v>314.15899999999999</v>
      </c>
      <c r="K254" s="9">
        <v>0.61470000000000002</v>
      </c>
      <c r="L254" s="9">
        <v>9</v>
      </c>
      <c r="M254" s="14">
        <v>255.53847405238326</v>
      </c>
      <c r="N254" s="9">
        <v>1692</v>
      </c>
      <c r="O254" s="8" t="s">
        <v>179</v>
      </c>
      <c r="P254" s="12" t="s">
        <v>82</v>
      </c>
      <c r="Q254" s="9" t="s">
        <v>180</v>
      </c>
      <c r="R254" s="9" t="s">
        <v>84</v>
      </c>
      <c r="S254" s="9"/>
      <c r="T254" s="18">
        <v>2</v>
      </c>
      <c r="U254" s="18">
        <v>2</v>
      </c>
      <c r="V254" s="9">
        <v>5.6</v>
      </c>
      <c r="Y254" s="9">
        <f t="shared" si="3"/>
        <v>511.07694810476653</v>
      </c>
      <c r="Z254" s="19" t="s">
        <v>73</v>
      </c>
      <c r="AA254" s="8" t="s">
        <v>205</v>
      </c>
      <c r="AB254" s="8" t="s">
        <v>75</v>
      </c>
      <c r="AC254" s="11" t="s">
        <v>112</v>
      </c>
      <c r="AD254" s="9" t="s">
        <v>120</v>
      </c>
      <c r="AE254" s="14">
        <v>51.723137759999993</v>
      </c>
      <c r="AF254" s="13"/>
      <c r="AO254" s="34" t="s">
        <v>78</v>
      </c>
      <c r="AP254" s="31">
        <v>5.6</v>
      </c>
      <c r="AQ254" s="31">
        <v>5.6</v>
      </c>
      <c r="AR254" s="31">
        <v>5.6</v>
      </c>
    </row>
    <row r="255" spans="1:67" x14ac:dyDescent="0.2">
      <c r="A255" s="5"/>
      <c r="B255" s="25"/>
      <c r="C255" s="26"/>
      <c r="D255" s="5"/>
      <c r="E255" s="5"/>
      <c r="F255" s="32"/>
      <c r="G255" s="9"/>
      <c r="H255" s="6"/>
      <c r="I255" s="7"/>
      <c r="J255" s="9"/>
      <c r="N255" s="9"/>
      <c r="P255" s="12"/>
      <c r="S255" s="9"/>
      <c r="T255" s="18"/>
      <c r="U255" s="18"/>
      <c r="Y255" s="9" t="e">
        <f t="shared" si="3"/>
        <v>#DIV/0!</v>
      </c>
      <c r="Z255" s="19"/>
      <c r="AC255" s="11"/>
      <c r="AD255" s="9"/>
      <c r="AE255" s="14"/>
      <c r="AF255" s="13"/>
      <c r="AO255" s="34" t="s">
        <v>79</v>
      </c>
      <c r="AP255" s="31">
        <v>4.1500000000000004</v>
      </c>
      <c r="AQ255" s="31">
        <v>4.5999999999999996</v>
      </c>
      <c r="AR255" s="31">
        <v>3.7</v>
      </c>
    </row>
    <row r="256" spans="1:67" x14ac:dyDescent="0.2">
      <c r="A256" s="5" t="s">
        <v>67</v>
      </c>
      <c r="B256" s="25">
        <v>43360</v>
      </c>
      <c r="C256" s="26">
        <v>0.75</v>
      </c>
      <c r="D256" s="5" t="s">
        <v>204</v>
      </c>
      <c r="E256" s="5"/>
      <c r="F256" s="32">
        <v>62</v>
      </c>
      <c r="G256" s="9">
        <v>2</v>
      </c>
      <c r="H256" s="6">
        <v>3.2258064516129031E-2</v>
      </c>
      <c r="I256" s="7">
        <v>6.83E-2</v>
      </c>
      <c r="J256" s="9">
        <v>314.15899999999999</v>
      </c>
      <c r="K256" s="9">
        <v>0.61470000000000002</v>
      </c>
      <c r="L256" s="9">
        <v>9</v>
      </c>
      <c r="M256" s="14">
        <v>255.53847405238326</v>
      </c>
      <c r="N256" s="9">
        <v>1364</v>
      </c>
      <c r="O256" s="12" t="s">
        <v>88</v>
      </c>
      <c r="P256" s="12" t="s">
        <v>82</v>
      </c>
      <c r="Q256" s="9" t="s">
        <v>89</v>
      </c>
      <c r="R256" s="9" t="s">
        <v>90</v>
      </c>
      <c r="S256" s="9"/>
      <c r="T256" s="18">
        <v>2</v>
      </c>
      <c r="U256" s="18">
        <v>2</v>
      </c>
      <c r="V256" s="9">
        <v>9.3000000000000007</v>
      </c>
      <c r="Y256" s="9">
        <f t="shared" si="3"/>
        <v>511.07694810476653</v>
      </c>
      <c r="Z256" s="19" t="s">
        <v>73</v>
      </c>
      <c r="AA256" s="8" t="s">
        <v>205</v>
      </c>
      <c r="AB256" s="8" t="s">
        <v>75</v>
      </c>
      <c r="AC256" s="11" t="s">
        <v>112</v>
      </c>
      <c r="AD256" s="9" t="s">
        <v>91</v>
      </c>
      <c r="AE256" s="14">
        <v>337.38084788249995</v>
      </c>
      <c r="AF256" s="13"/>
      <c r="AO256" s="34" t="s">
        <v>78</v>
      </c>
      <c r="AP256" s="31">
        <v>9.3000000000000007</v>
      </c>
      <c r="AQ256" s="31">
        <v>9.3000000000000007</v>
      </c>
      <c r="AR256" s="31">
        <v>9.3000000000000007</v>
      </c>
    </row>
    <row r="257" spans="1:67" x14ac:dyDescent="0.2">
      <c r="A257" s="5"/>
      <c r="B257" s="25"/>
      <c r="C257" s="26"/>
      <c r="D257" s="5"/>
      <c r="E257" s="5"/>
      <c r="F257" s="32"/>
      <c r="G257" s="9"/>
      <c r="H257" s="6"/>
      <c r="I257" s="7"/>
      <c r="J257" s="9"/>
      <c r="N257" s="9"/>
      <c r="O257" s="12"/>
      <c r="P257" s="12"/>
      <c r="S257" s="9"/>
      <c r="T257" s="18"/>
      <c r="U257" s="18"/>
      <c r="Y257" s="9" t="e">
        <f t="shared" si="3"/>
        <v>#DIV/0!</v>
      </c>
      <c r="Z257" s="19"/>
      <c r="AC257" s="11"/>
      <c r="AD257" s="9"/>
      <c r="AE257" s="14"/>
      <c r="AF257" s="13"/>
      <c r="AO257" s="34" t="s">
        <v>79</v>
      </c>
      <c r="AP257" s="31">
        <v>5.6</v>
      </c>
      <c r="AQ257" s="31">
        <v>5.6</v>
      </c>
      <c r="AR257" s="31">
        <v>5.6</v>
      </c>
    </row>
    <row r="258" spans="1:67" x14ac:dyDescent="0.2">
      <c r="A258" s="5" t="s">
        <v>67</v>
      </c>
      <c r="B258" s="25">
        <v>43360</v>
      </c>
      <c r="C258" s="26">
        <v>0.75</v>
      </c>
      <c r="D258" s="5" t="s">
        <v>204</v>
      </c>
      <c r="E258" s="5"/>
      <c r="F258" s="32">
        <v>62</v>
      </c>
      <c r="G258" s="9">
        <v>2</v>
      </c>
      <c r="H258" s="6">
        <v>3.2258064516129031E-2</v>
      </c>
      <c r="I258" s="7">
        <v>6.83E-2</v>
      </c>
      <c r="J258" s="9">
        <v>314.15899999999999</v>
      </c>
      <c r="K258" s="9">
        <v>0.61470000000000002</v>
      </c>
      <c r="L258" s="9">
        <v>9</v>
      </c>
      <c r="M258" s="14">
        <v>255.53847405238326</v>
      </c>
      <c r="N258" s="9">
        <v>1419</v>
      </c>
      <c r="O258" s="12" t="s">
        <v>94</v>
      </c>
      <c r="P258" s="12" t="s">
        <v>82</v>
      </c>
      <c r="Q258" s="9" t="s">
        <v>95</v>
      </c>
      <c r="R258" s="9" t="s">
        <v>96</v>
      </c>
      <c r="S258" s="9"/>
      <c r="T258" s="18">
        <v>388</v>
      </c>
      <c r="U258" s="18">
        <v>781</v>
      </c>
      <c r="V258" s="9">
        <v>0.8</v>
      </c>
      <c r="W258" s="9">
        <v>0.8</v>
      </c>
      <c r="X258" s="9">
        <v>0.8</v>
      </c>
      <c r="Y258" s="9">
        <f t="shared" si="3"/>
        <v>99148.927932324703</v>
      </c>
      <c r="Z258" s="19" t="s">
        <v>97</v>
      </c>
      <c r="AA258" s="8" t="s">
        <v>205</v>
      </c>
      <c r="AB258" s="8" t="s">
        <v>75</v>
      </c>
      <c r="AC258" s="11" t="s">
        <v>112</v>
      </c>
      <c r="AD258" s="9" t="s">
        <v>85</v>
      </c>
      <c r="AE258" s="14">
        <v>0.18</v>
      </c>
      <c r="AF258" s="14">
        <v>0.18</v>
      </c>
      <c r="AG258" s="14">
        <v>0.18</v>
      </c>
      <c r="AH258" s="14">
        <v>0.18</v>
      </c>
      <c r="AI258" s="14">
        <v>0.18</v>
      </c>
      <c r="AJ258" s="14">
        <v>0.18</v>
      </c>
      <c r="AK258" s="14">
        <v>0.18</v>
      </c>
      <c r="AL258" s="14">
        <v>0.18</v>
      </c>
      <c r="AM258" s="14">
        <v>0.18</v>
      </c>
      <c r="AN258" s="14">
        <v>0.18</v>
      </c>
      <c r="AO258" s="35" t="s">
        <v>78</v>
      </c>
      <c r="AP258" s="31">
        <v>0.75200000000000033</v>
      </c>
      <c r="AQ258" s="31">
        <v>0.7</v>
      </c>
      <c r="AR258" s="31">
        <v>0.7</v>
      </c>
      <c r="AS258" s="31">
        <v>0.7</v>
      </c>
      <c r="AT258" s="31">
        <v>0.7</v>
      </c>
      <c r="AU258" s="31">
        <v>0.7</v>
      </c>
      <c r="AV258" s="31">
        <v>0.7</v>
      </c>
      <c r="AW258" s="31">
        <v>0.7</v>
      </c>
      <c r="AX258" s="31">
        <v>0.7</v>
      </c>
      <c r="AY258" s="31">
        <v>0.7</v>
      </c>
      <c r="AZ258" s="31">
        <v>0.7</v>
      </c>
      <c r="BA258" s="31">
        <v>0.7</v>
      </c>
      <c r="BB258" s="31">
        <v>0.7</v>
      </c>
      <c r="BC258" s="31">
        <v>0.8</v>
      </c>
      <c r="BD258" s="31">
        <v>0.8</v>
      </c>
      <c r="BE258" s="31">
        <v>0.8</v>
      </c>
      <c r="BF258" s="31">
        <v>0.8</v>
      </c>
      <c r="BG258" s="31">
        <v>0.8</v>
      </c>
      <c r="BH258" s="31">
        <v>0.8</v>
      </c>
      <c r="BI258" s="31">
        <v>0.8</v>
      </c>
      <c r="BJ258" s="31">
        <v>0.8</v>
      </c>
      <c r="BK258" s="31">
        <v>0.8</v>
      </c>
      <c r="BL258" s="31">
        <v>0.8</v>
      </c>
      <c r="BM258" s="31">
        <v>0.8</v>
      </c>
      <c r="BN258" s="31">
        <v>0.8</v>
      </c>
      <c r="BO258" s="31">
        <v>0.8</v>
      </c>
    </row>
    <row r="259" spans="1:67" x14ac:dyDescent="0.2">
      <c r="A259" s="5" t="s">
        <v>67</v>
      </c>
      <c r="B259" s="25">
        <v>43360</v>
      </c>
      <c r="C259" s="26">
        <v>0.75</v>
      </c>
      <c r="D259" s="5" t="s">
        <v>204</v>
      </c>
      <c r="E259" s="5"/>
      <c r="F259" s="32">
        <v>62</v>
      </c>
      <c r="G259" s="9">
        <v>2</v>
      </c>
      <c r="H259" s="6">
        <v>3.2258064516129031E-2</v>
      </c>
      <c r="I259" s="7">
        <v>6.83E-2</v>
      </c>
      <c r="J259" s="9">
        <v>314.15899999999999</v>
      </c>
      <c r="K259" s="9">
        <v>0.61470000000000002</v>
      </c>
      <c r="L259" s="9">
        <v>9</v>
      </c>
      <c r="M259" s="14">
        <v>255.53847405238326</v>
      </c>
      <c r="N259" s="9">
        <v>1423</v>
      </c>
      <c r="O259" s="12" t="s">
        <v>163</v>
      </c>
      <c r="P259" s="12" t="s">
        <v>82</v>
      </c>
      <c r="Q259" s="9" t="s">
        <v>95</v>
      </c>
      <c r="R259" s="9" t="s">
        <v>84</v>
      </c>
      <c r="S259" s="9"/>
      <c r="T259" s="18">
        <v>1</v>
      </c>
      <c r="U259" s="18">
        <v>3</v>
      </c>
      <c r="V259" s="9">
        <v>1.9</v>
      </c>
      <c r="Y259" s="9">
        <f t="shared" ref="Y259:Y322" si="4">(T259*J259)/(G259*I259*L259)</f>
        <v>255.53847405238326</v>
      </c>
      <c r="Z259" s="19" t="s">
        <v>97</v>
      </c>
      <c r="AA259" s="8" t="s">
        <v>205</v>
      </c>
      <c r="AB259" s="8" t="s">
        <v>75</v>
      </c>
      <c r="AC259" s="11" t="s">
        <v>112</v>
      </c>
      <c r="AD259" s="9" t="s">
        <v>85</v>
      </c>
      <c r="AE259" s="14">
        <v>3.5913609683333325</v>
      </c>
      <c r="AF259" s="13"/>
      <c r="AO259" s="34" t="s">
        <v>78</v>
      </c>
      <c r="AP259" s="31">
        <v>1.8999999999999997</v>
      </c>
      <c r="AQ259" s="31">
        <v>1.9</v>
      </c>
      <c r="AR259" s="31">
        <v>1.9</v>
      </c>
      <c r="AS259" s="31">
        <v>1.9</v>
      </c>
    </row>
    <row r="260" spans="1:67" x14ac:dyDescent="0.2">
      <c r="A260" s="5" t="s">
        <v>67</v>
      </c>
      <c r="B260" s="25">
        <v>43360</v>
      </c>
      <c r="C260" s="26">
        <v>0.67708333333333304</v>
      </c>
      <c r="D260" s="5" t="s">
        <v>144</v>
      </c>
      <c r="E260" s="5"/>
      <c r="F260" s="32">
        <v>63</v>
      </c>
      <c r="G260" s="9">
        <v>2</v>
      </c>
      <c r="H260" s="6">
        <v>3.1746031746031744E-2</v>
      </c>
      <c r="I260" s="7">
        <v>6.83E-2</v>
      </c>
      <c r="J260" s="9">
        <v>314.15899999999999</v>
      </c>
      <c r="K260" s="9">
        <v>0.68300000000000005</v>
      </c>
      <c r="L260" s="9">
        <v>10</v>
      </c>
      <c r="M260" s="14">
        <v>229.98462664714492</v>
      </c>
      <c r="N260" s="9">
        <v>1037</v>
      </c>
      <c r="O260" s="12" t="s">
        <v>86</v>
      </c>
      <c r="P260" s="12" t="s">
        <v>82</v>
      </c>
      <c r="Q260" s="9" t="s">
        <v>87</v>
      </c>
      <c r="R260" s="9" t="s">
        <v>84</v>
      </c>
      <c r="S260" s="9"/>
      <c r="T260" s="18">
        <v>17</v>
      </c>
      <c r="U260" s="18">
        <v>17</v>
      </c>
      <c r="V260" s="9">
        <v>3.7</v>
      </c>
      <c r="Y260" s="9">
        <f t="shared" si="4"/>
        <v>3909.7386530014633</v>
      </c>
      <c r="Z260" s="19" t="s">
        <v>73</v>
      </c>
      <c r="AA260" s="8" t="s">
        <v>208</v>
      </c>
      <c r="AB260" s="8" t="s">
        <v>75</v>
      </c>
      <c r="AC260" s="11" t="s">
        <v>112</v>
      </c>
      <c r="AD260" s="9" t="s">
        <v>85</v>
      </c>
      <c r="AE260" s="14">
        <v>7.2382233599999992</v>
      </c>
      <c r="AF260" s="13"/>
      <c r="AO260" s="34" t="s">
        <v>78</v>
      </c>
      <c r="AP260" s="31">
        <v>2.44</v>
      </c>
      <c r="AQ260" s="31">
        <v>1.9</v>
      </c>
      <c r="AR260" s="31">
        <v>1.9</v>
      </c>
      <c r="AS260" s="31">
        <v>2.8</v>
      </c>
      <c r="AT260" s="31">
        <v>1.9</v>
      </c>
      <c r="AU260" s="31">
        <v>3.7</v>
      </c>
    </row>
    <row r="261" spans="1:67" x14ac:dyDescent="0.2">
      <c r="A261" s="5" t="s">
        <v>67</v>
      </c>
      <c r="B261" s="25">
        <v>43360</v>
      </c>
      <c r="C261" s="26">
        <v>0.67708333333333304</v>
      </c>
      <c r="D261" s="5" t="s">
        <v>144</v>
      </c>
      <c r="E261" s="5"/>
      <c r="F261" s="32">
        <v>63</v>
      </c>
      <c r="G261" s="9">
        <v>2</v>
      </c>
      <c r="H261" s="6">
        <v>3.1746031746031744E-2</v>
      </c>
      <c r="I261" s="7">
        <v>6.83E-2</v>
      </c>
      <c r="J261" s="9">
        <v>314.15899999999999</v>
      </c>
      <c r="K261" s="9">
        <v>0.68300000000000005</v>
      </c>
      <c r="L261" s="9">
        <v>10</v>
      </c>
      <c r="M261" s="14">
        <v>229.98462664714492</v>
      </c>
      <c r="N261" s="9">
        <v>1364</v>
      </c>
      <c r="O261" s="12" t="s">
        <v>88</v>
      </c>
      <c r="P261" s="12" t="s">
        <v>82</v>
      </c>
      <c r="Q261" s="9" t="s">
        <v>89</v>
      </c>
      <c r="R261" s="9" t="s">
        <v>90</v>
      </c>
      <c r="S261" s="9"/>
      <c r="T261" s="18">
        <v>2</v>
      </c>
      <c r="U261" s="18">
        <v>2</v>
      </c>
      <c r="V261" s="9">
        <v>9.3000000000000007</v>
      </c>
      <c r="Y261" s="9">
        <f t="shared" si="4"/>
        <v>459.96925329428984</v>
      </c>
      <c r="Z261" s="19" t="s">
        <v>73</v>
      </c>
      <c r="AA261" s="8" t="s">
        <v>208</v>
      </c>
      <c r="AB261" s="8" t="s">
        <v>75</v>
      </c>
      <c r="AC261" s="11" t="s">
        <v>112</v>
      </c>
      <c r="AD261" s="9" t="s">
        <v>91</v>
      </c>
      <c r="AE261" s="14">
        <v>337.38084788249995</v>
      </c>
      <c r="AF261" s="13"/>
      <c r="AO261" s="34" t="s">
        <v>78</v>
      </c>
      <c r="AP261" s="31">
        <v>9.3000000000000007</v>
      </c>
      <c r="AQ261" s="31">
        <v>9.3000000000000007</v>
      </c>
      <c r="AR261" s="31">
        <v>9.3000000000000007</v>
      </c>
    </row>
    <row r="262" spans="1:67" x14ac:dyDescent="0.2">
      <c r="A262" s="5"/>
      <c r="B262" s="25"/>
      <c r="C262" s="26"/>
      <c r="D262" s="5"/>
      <c r="E262" s="5"/>
      <c r="F262" s="32"/>
      <c r="G262" s="9"/>
      <c r="H262" s="6"/>
      <c r="I262" s="7"/>
      <c r="J262" s="9"/>
      <c r="N262" s="9"/>
      <c r="O262" s="12"/>
      <c r="P262" s="12"/>
      <c r="S262" s="9"/>
      <c r="T262" s="18"/>
      <c r="U262" s="18"/>
      <c r="Y262" s="9" t="e">
        <f t="shared" si="4"/>
        <v>#DIV/0!</v>
      </c>
      <c r="Z262" s="19"/>
      <c r="AC262" s="11"/>
      <c r="AD262" s="9"/>
      <c r="AE262" s="14"/>
      <c r="AF262" s="13"/>
      <c r="AO262" s="34" t="s">
        <v>79</v>
      </c>
      <c r="AP262" s="31">
        <v>5.6</v>
      </c>
      <c r="AQ262" s="31">
        <v>5.6</v>
      </c>
      <c r="AR262" s="31">
        <v>5.6</v>
      </c>
    </row>
    <row r="263" spans="1:67" x14ac:dyDescent="0.2">
      <c r="A263" s="5" t="s">
        <v>67</v>
      </c>
      <c r="B263" s="25">
        <v>43360</v>
      </c>
      <c r="C263" s="26">
        <v>0.67708333333333304</v>
      </c>
      <c r="D263" s="5" t="s">
        <v>144</v>
      </c>
      <c r="E263" s="5"/>
      <c r="F263" s="32">
        <v>63</v>
      </c>
      <c r="G263" s="9">
        <v>2</v>
      </c>
      <c r="H263" s="6">
        <v>3.1746031746031744E-2</v>
      </c>
      <c r="I263" s="7">
        <v>6.83E-2</v>
      </c>
      <c r="J263" s="9">
        <v>314.15899999999999</v>
      </c>
      <c r="K263" s="9">
        <v>0.68300000000000005</v>
      </c>
      <c r="L263" s="9">
        <v>10</v>
      </c>
      <c r="M263" s="14">
        <v>229.98462664714492</v>
      </c>
      <c r="N263" s="9">
        <v>1733</v>
      </c>
      <c r="O263" s="12" t="s">
        <v>92</v>
      </c>
      <c r="P263" s="12" t="s">
        <v>82</v>
      </c>
      <c r="Q263" s="9" t="s">
        <v>89</v>
      </c>
      <c r="R263" s="9" t="s">
        <v>93</v>
      </c>
      <c r="S263" s="9"/>
      <c r="T263" s="18">
        <v>1</v>
      </c>
      <c r="U263" s="18">
        <v>1</v>
      </c>
      <c r="V263" s="9">
        <v>7.4</v>
      </c>
      <c r="Y263" s="9">
        <f t="shared" si="4"/>
        <v>229.98462664714492</v>
      </c>
      <c r="Z263" s="19" t="s">
        <v>73</v>
      </c>
      <c r="AA263" s="8" t="s">
        <v>208</v>
      </c>
      <c r="AB263" s="8" t="s">
        <v>75</v>
      </c>
      <c r="AC263" s="11" t="s">
        <v>112</v>
      </c>
      <c r="AD263" s="9" t="s">
        <v>91</v>
      </c>
      <c r="AE263" s="14">
        <v>172.0334684</v>
      </c>
      <c r="AF263" s="13"/>
      <c r="AO263" s="34" t="s">
        <v>78</v>
      </c>
      <c r="AP263" s="31">
        <v>7.4</v>
      </c>
      <c r="AQ263" s="31">
        <v>7.4</v>
      </c>
    </row>
    <row r="264" spans="1:67" x14ac:dyDescent="0.2">
      <c r="A264" s="5"/>
      <c r="B264" s="25"/>
      <c r="C264" s="26"/>
      <c r="D264" s="5"/>
      <c r="E264" s="5"/>
      <c r="F264" s="32"/>
      <c r="G264" s="9"/>
      <c r="H264" s="6"/>
      <c r="I264" s="7"/>
      <c r="J264" s="9"/>
      <c r="N264" s="9"/>
      <c r="O264" s="12"/>
      <c r="P264" s="12"/>
      <c r="S264" s="9"/>
      <c r="T264" s="18"/>
      <c r="U264" s="18"/>
      <c r="Y264" s="9" t="e">
        <f t="shared" si="4"/>
        <v>#DIV/0!</v>
      </c>
      <c r="Z264" s="19"/>
      <c r="AC264" s="11"/>
      <c r="AD264" s="9"/>
      <c r="AE264" s="14"/>
      <c r="AF264" s="13"/>
      <c r="AO264" s="34" t="s">
        <v>79</v>
      </c>
      <c r="AP264" s="31">
        <v>4.5999999999999996</v>
      </c>
      <c r="AQ264" s="31">
        <v>4.5999999999999996</v>
      </c>
    </row>
    <row r="265" spans="1:67" x14ac:dyDescent="0.2">
      <c r="A265" s="5" t="s">
        <v>67</v>
      </c>
      <c r="B265" s="25">
        <v>43360</v>
      </c>
      <c r="C265" s="26">
        <v>0.67708333333333304</v>
      </c>
      <c r="D265" s="5" t="s">
        <v>144</v>
      </c>
      <c r="E265" s="5"/>
      <c r="F265" s="32">
        <v>63</v>
      </c>
      <c r="G265" s="9">
        <v>2</v>
      </c>
      <c r="H265" s="6">
        <v>3.1746031746031744E-2</v>
      </c>
      <c r="I265" s="7">
        <v>6.83E-2</v>
      </c>
      <c r="J265" s="9">
        <v>314.15899999999999</v>
      </c>
      <c r="K265" s="9">
        <v>0.68300000000000005</v>
      </c>
      <c r="L265" s="9">
        <v>10</v>
      </c>
      <c r="M265" s="14">
        <v>229.98462664714492</v>
      </c>
      <c r="N265" s="9">
        <v>1419</v>
      </c>
      <c r="O265" s="12" t="s">
        <v>94</v>
      </c>
      <c r="P265" s="12" t="s">
        <v>82</v>
      </c>
      <c r="Q265" s="9" t="s">
        <v>95</v>
      </c>
      <c r="R265" s="9" t="s">
        <v>96</v>
      </c>
      <c r="S265" s="9"/>
      <c r="T265" s="18">
        <v>389</v>
      </c>
      <c r="U265" s="18">
        <v>778</v>
      </c>
      <c r="V265" s="9">
        <v>0.8</v>
      </c>
      <c r="W265" s="9">
        <v>0.8</v>
      </c>
      <c r="X265" s="9">
        <v>0.8</v>
      </c>
      <c r="Y265" s="9">
        <f t="shared" si="4"/>
        <v>89464.019765739373</v>
      </c>
      <c r="Z265" s="19" t="s">
        <v>97</v>
      </c>
      <c r="AA265" s="8" t="s">
        <v>208</v>
      </c>
      <c r="AB265" s="8" t="s">
        <v>75</v>
      </c>
      <c r="AC265" s="11" t="s">
        <v>112</v>
      </c>
      <c r="AD265" s="9" t="s">
        <v>85</v>
      </c>
      <c r="AE265" s="14">
        <v>0.18</v>
      </c>
      <c r="AF265" s="14">
        <v>0.18</v>
      </c>
      <c r="AG265" s="14">
        <v>0.18</v>
      </c>
      <c r="AH265" s="14">
        <v>0.18</v>
      </c>
      <c r="AI265" s="14">
        <v>0.18</v>
      </c>
      <c r="AJ265" s="14">
        <v>0.18</v>
      </c>
      <c r="AK265" s="14">
        <v>0.18</v>
      </c>
      <c r="AL265" s="14">
        <v>0.18</v>
      </c>
      <c r="AM265" s="14">
        <v>0.18</v>
      </c>
      <c r="AN265" s="14">
        <v>0.18</v>
      </c>
      <c r="AO265" s="35" t="s">
        <v>78</v>
      </c>
      <c r="AP265" s="31">
        <v>0.75200000000000033</v>
      </c>
      <c r="AQ265" s="31">
        <v>0.7</v>
      </c>
      <c r="AR265" s="31">
        <v>0.7</v>
      </c>
      <c r="AS265" s="31">
        <v>0.7</v>
      </c>
      <c r="AT265" s="31">
        <v>0.7</v>
      </c>
      <c r="AU265" s="31">
        <v>0.7</v>
      </c>
      <c r="AV265" s="31">
        <v>0.7</v>
      </c>
      <c r="AW265" s="31">
        <v>0.7</v>
      </c>
      <c r="AX265" s="31">
        <v>0.7</v>
      </c>
      <c r="AY265" s="31">
        <v>0.7</v>
      </c>
      <c r="AZ265" s="31">
        <v>0.7</v>
      </c>
      <c r="BA265" s="31">
        <v>0.7</v>
      </c>
      <c r="BB265" s="31">
        <v>0.7</v>
      </c>
      <c r="BC265" s="31">
        <v>0.8</v>
      </c>
      <c r="BD265" s="31">
        <v>0.8</v>
      </c>
      <c r="BE265" s="31">
        <v>0.8</v>
      </c>
      <c r="BF265" s="31">
        <v>0.8</v>
      </c>
      <c r="BG265" s="31">
        <v>0.8</v>
      </c>
      <c r="BH265" s="31">
        <v>0.8</v>
      </c>
      <c r="BI265" s="31">
        <v>0.8</v>
      </c>
      <c r="BJ265" s="31">
        <v>0.8</v>
      </c>
      <c r="BK265" s="31">
        <v>0.8</v>
      </c>
      <c r="BL265" s="31">
        <v>0.8</v>
      </c>
      <c r="BM265" s="31">
        <v>0.8</v>
      </c>
      <c r="BN265" s="31">
        <v>0.8</v>
      </c>
      <c r="BO265" s="31">
        <v>0.8</v>
      </c>
    </row>
    <row r="266" spans="1:67" x14ac:dyDescent="0.2">
      <c r="A266" s="5" t="s">
        <v>67</v>
      </c>
      <c r="B266" s="25">
        <v>43360</v>
      </c>
      <c r="C266" s="26">
        <v>0.71875</v>
      </c>
      <c r="D266" s="5" t="s">
        <v>209</v>
      </c>
      <c r="E266" s="5">
        <v>3</v>
      </c>
      <c r="F266" s="32">
        <v>59.5</v>
      </c>
      <c r="G266" s="9">
        <v>2</v>
      </c>
      <c r="H266" s="6">
        <v>3.3613445378151259E-2</v>
      </c>
      <c r="I266" s="7">
        <v>6.83E-2</v>
      </c>
      <c r="J266" s="9">
        <v>314.15899999999999</v>
      </c>
      <c r="K266" s="9">
        <v>1.5709</v>
      </c>
      <c r="L266" s="9">
        <v>23</v>
      </c>
      <c r="M266" s="14">
        <v>99.993315933541282</v>
      </c>
      <c r="N266" s="9">
        <v>145</v>
      </c>
      <c r="O266" s="12" t="s">
        <v>69</v>
      </c>
      <c r="P266" s="8" t="s">
        <v>70</v>
      </c>
      <c r="Q266" s="9" t="s">
        <v>71</v>
      </c>
      <c r="R266" s="9" t="s">
        <v>72</v>
      </c>
      <c r="S266" s="9"/>
      <c r="T266" s="18">
        <v>1</v>
      </c>
      <c r="U266" s="18">
        <v>1</v>
      </c>
      <c r="V266" s="9">
        <v>22.2</v>
      </c>
      <c r="Y266" s="9">
        <f t="shared" si="4"/>
        <v>99.993315933541282</v>
      </c>
      <c r="Z266" s="19" t="s">
        <v>73</v>
      </c>
      <c r="AA266" s="8" t="s">
        <v>210</v>
      </c>
      <c r="AB266" s="8" t="s">
        <v>75</v>
      </c>
      <c r="AC266" s="11" t="s">
        <v>112</v>
      </c>
      <c r="AD266" s="9" t="s">
        <v>77</v>
      </c>
      <c r="AE266" s="14">
        <v>838.66315845000008</v>
      </c>
      <c r="AF266" s="13"/>
      <c r="AO266" s="34" t="s">
        <v>78</v>
      </c>
      <c r="AP266" s="31">
        <v>22.2</v>
      </c>
      <c r="AQ266" s="31">
        <v>22.2</v>
      </c>
    </row>
    <row r="267" spans="1:67" x14ac:dyDescent="0.2">
      <c r="A267" s="5"/>
      <c r="B267" s="25"/>
      <c r="C267" s="26"/>
      <c r="D267" s="5"/>
      <c r="E267" s="5"/>
      <c r="F267" s="32"/>
      <c r="G267" s="9"/>
      <c r="H267" s="6"/>
      <c r="I267" s="7"/>
      <c r="J267" s="9"/>
      <c r="N267" s="9"/>
      <c r="O267" s="12"/>
      <c r="S267" s="9"/>
      <c r="T267" s="18"/>
      <c r="U267" s="18"/>
      <c r="Y267" s="9" t="e">
        <f t="shared" si="4"/>
        <v>#DIV/0!</v>
      </c>
      <c r="Z267" s="19"/>
      <c r="AC267" s="11"/>
      <c r="AD267" s="9"/>
      <c r="AE267" s="14"/>
      <c r="AF267" s="13"/>
      <c r="AO267" s="34" t="s">
        <v>79</v>
      </c>
      <c r="AP267" s="31">
        <v>13</v>
      </c>
      <c r="AQ267" s="31">
        <v>13</v>
      </c>
    </row>
    <row r="268" spans="1:67" x14ac:dyDescent="0.2">
      <c r="A268" s="5"/>
      <c r="B268" s="25"/>
      <c r="C268" s="26"/>
      <c r="D268" s="5"/>
      <c r="E268" s="5"/>
      <c r="F268" s="32"/>
      <c r="G268" s="9"/>
      <c r="H268" s="6"/>
      <c r="I268" s="7"/>
      <c r="J268" s="9"/>
      <c r="N268" s="9"/>
      <c r="O268" s="12"/>
      <c r="S268" s="9"/>
      <c r="T268" s="18"/>
      <c r="U268" s="18"/>
      <c r="Y268" s="9" t="e">
        <f t="shared" si="4"/>
        <v>#DIV/0!</v>
      </c>
      <c r="Z268" s="19"/>
      <c r="AC268" s="11"/>
      <c r="AD268" s="9"/>
      <c r="AE268" s="14"/>
      <c r="AF268" s="13"/>
      <c r="AO268" s="34" t="s">
        <v>80</v>
      </c>
      <c r="AP268" s="31">
        <v>3.7</v>
      </c>
      <c r="AQ268" s="31">
        <v>3.7</v>
      </c>
    </row>
    <row r="269" spans="1:67" x14ac:dyDescent="0.2">
      <c r="A269" s="5" t="s">
        <v>67</v>
      </c>
      <c r="B269" s="25">
        <v>43360</v>
      </c>
      <c r="C269" s="26">
        <v>0.71875</v>
      </c>
      <c r="D269" s="5" t="s">
        <v>209</v>
      </c>
      <c r="E269" s="5">
        <v>3</v>
      </c>
      <c r="F269" s="32">
        <v>59.5</v>
      </c>
      <c r="G269" s="9">
        <v>2</v>
      </c>
      <c r="H269" s="6">
        <v>3.3613445378151259E-2</v>
      </c>
      <c r="I269" s="7">
        <v>6.83E-2</v>
      </c>
      <c r="J269" s="9">
        <v>314.15899999999999</v>
      </c>
      <c r="K269" s="9">
        <v>1.5709</v>
      </c>
      <c r="L269" s="9">
        <v>23</v>
      </c>
      <c r="M269" s="14">
        <v>99.993315933541282</v>
      </c>
      <c r="N269" s="9">
        <v>1037</v>
      </c>
      <c r="O269" s="12" t="s">
        <v>86</v>
      </c>
      <c r="P269" s="12" t="s">
        <v>82</v>
      </c>
      <c r="Q269" s="9" t="s">
        <v>87</v>
      </c>
      <c r="R269" s="9" t="s">
        <v>84</v>
      </c>
      <c r="S269" s="9"/>
      <c r="T269" s="18">
        <v>17</v>
      </c>
      <c r="U269" s="18">
        <v>17</v>
      </c>
      <c r="V269" s="9">
        <v>2.8</v>
      </c>
      <c r="Y269" s="9">
        <f t="shared" si="4"/>
        <v>1699.8863708702017</v>
      </c>
      <c r="Z269" s="19" t="s">
        <v>73</v>
      </c>
      <c r="AA269" s="8" t="s">
        <v>210</v>
      </c>
      <c r="AB269" s="8" t="s">
        <v>75</v>
      </c>
      <c r="AC269" s="11" t="s">
        <v>112</v>
      </c>
      <c r="AD269" s="9" t="s">
        <v>85</v>
      </c>
      <c r="AE269" s="14">
        <v>6.3706209216666645</v>
      </c>
      <c r="AF269" s="13"/>
      <c r="AO269" s="34" t="s">
        <v>78</v>
      </c>
      <c r="AP269" s="31">
        <v>2.2599999999999998</v>
      </c>
      <c r="AQ269" s="31">
        <v>2.8</v>
      </c>
      <c r="AR269" s="31">
        <v>1.9</v>
      </c>
      <c r="AS269" s="31">
        <v>2.8</v>
      </c>
      <c r="AT269" s="31">
        <v>1.9</v>
      </c>
      <c r="AU269" s="31">
        <v>1.9</v>
      </c>
    </row>
    <row r="270" spans="1:67" x14ac:dyDescent="0.2">
      <c r="A270" s="5" t="s">
        <v>67</v>
      </c>
      <c r="B270" s="25">
        <v>43360</v>
      </c>
      <c r="C270" s="26">
        <v>0.71875</v>
      </c>
      <c r="D270" s="5" t="s">
        <v>209</v>
      </c>
      <c r="E270" s="5">
        <v>3</v>
      </c>
      <c r="F270" s="32">
        <v>59.5</v>
      </c>
      <c r="G270" s="9">
        <v>2</v>
      </c>
      <c r="H270" s="6">
        <v>3.3613445378151259E-2</v>
      </c>
      <c r="I270" s="7">
        <v>6.83E-2</v>
      </c>
      <c r="J270" s="9">
        <v>314.15899999999999</v>
      </c>
      <c r="K270" s="9">
        <v>1.5709</v>
      </c>
      <c r="L270" s="9">
        <v>23</v>
      </c>
      <c r="M270" s="14">
        <v>99.993315933541282</v>
      </c>
      <c r="N270" s="9">
        <v>1733</v>
      </c>
      <c r="O270" s="12" t="s">
        <v>92</v>
      </c>
      <c r="P270" s="12" t="s">
        <v>82</v>
      </c>
      <c r="Q270" s="9" t="s">
        <v>89</v>
      </c>
      <c r="R270" s="9" t="s">
        <v>93</v>
      </c>
      <c r="S270" s="9"/>
      <c r="T270" s="18">
        <v>3</v>
      </c>
      <c r="U270" s="18">
        <v>3</v>
      </c>
      <c r="V270" s="9">
        <v>7.4</v>
      </c>
      <c r="Y270" s="9">
        <f t="shared" si="4"/>
        <v>299.97994780062385</v>
      </c>
      <c r="Z270" s="19" t="s">
        <v>73</v>
      </c>
      <c r="AA270" s="8" t="s">
        <v>210</v>
      </c>
      <c r="AB270" s="8" t="s">
        <v>75</v>
      </c>
      <c r="AC270" s="11" t="s">
        <v>112</v>
      </c>
      <c r="AD270" s="9" t="s">
        <v>91</v>
      </c>
      <c r="AE270" s="14">
        <v>99.629243670000008</v>
      </c>
      <c r="AF270" s="13"/>
      <c r="AO270" s="34" t="s">
        <v>78</v>
      </c>
      <c r="AP270" s="31">
        <v>6.2</v>
      </c>
      <c r="AQ270" s="31">
        <v>5.6</v>
      </c>
      <c r="AR270" s="31">
        <v>7.4</v>
      </c>
      <c r="AS270" s="31">
        <v>5.6</v>
      </c>
    </row>
    <row r="271" spans="1:67" x14ac:dyDescent="0.2">
      <c r="A271" s="5"/>
      <c r="B271" s="25"/>
      <c r="C271" s="26"/>
      <c r="D271" s="5"/>
      <c r="E271" s="5"/>
      <c r="F271" s="32"/>
      <c r="G271" s="9"/>
      <c r="H271" s="6"/>
      <c r="I271" s="7"/>
      <c r="J271" s="9"/>
      <c r="N271" s="9"/>
      <c r="O271" s="12"/>
      <c r="P271" s="12"/>
      <c r="S271" s="9"/>
      <c r="T271" s="18"/>
      <c r="U271" s="18"/>
      <c r="Y271" s="9" t="e">
        <f t="shared" si="4"/>
        <v>#DIV/0!</v>
      </c>
      <c r="Z271" s="19"/>
      <c r="AC271" s="11"/>
      <c r="AD271" s="9"/>
      <c r="AE271" s="14"/>
      <c r="AF271" s="13"/>
      <c r="AO271" s="34" t="s">
        <v>79</v>
      </c>
      <c r="AP271" s="31">
        <v>3.7000000000000006</v>
      </c>
      <c r="AQ271" s="31">
        <v>3.7</v>
      </c>
      <c r="AR271" s="31">
        <v>3.7</v>
      </c>
      <c r="AS271" s="31">
        <v>3.7</v>
      </c>
    </row>
    <row r="272" spans="1:67" x14ac:dyDescent="0.2">
      <c r="A272" s="5" t="s">
        <v>67</v>
      </c>
      <c r="B272" s="25">
        <v>43360</v>
      </c>
      <c r="C272" s="26">
        <v>0.71875</v>
      </c>
      <c r="D272" s="5" t="s">
        <v>209</v>
      </c>
      <c r="E272" s="5">
        <v>3</v>
      </c>
      <c r="F272" s="32">
        <v>59.5</v>
      </c>
      <c r="G272" s="9">
        <v>2</v>
      </c>
      <c r="H272" s="6">
        <v>3.3613445378151259E-2</v>
      </c>
      <c r="I272" s="7">
        <v>6.83E-2</v>
      </c>
      <c r="J272" s="9">
        <v>314.15899999999999</v>
      </c>
      <c r="K272" s="9">
        <v>1.5709</v>
      </c>
      <c r="L272" s="9">
        <v>23</v>
      </c>
      <c r="M272" s="14">
        <v>99.993315933541282</v>
      </c>
      <c r="N272" s="9">
        <v>1365</v>
      </c>
      <c r="O272" s="8" t="s">
        <v>121</v>
      </c>
      <c r="P272" s="12" t="s">
        <v>82</v>
      </c>
      <c r="Q272" s="9" t="s">
        <v>122</v>
      </c>
      <c r="R272" s="9" t="s">
        <v>123</v>
      </c>
      <c r="S272" s="9"/>
      <c r="T272" s="18">
        <v>1</v>
      </c>
      <c r="U272" s="18">
        <v>1</v>
      </c>
      <c r="V272" s="9">
        <v>13</v>
      </c>
      <c r="Y272" s="9">
        <f t="shared" si="4"/>
        <v>99.993315933541282</v>
      </c>
      <c r="Z272" s="19" t="s">
        <v>73</v>
      </c>
      <c r="AA272" s="8" t="s">
        <v>210</v>
      </c>
      <c r="AB272" s="8" t="s">
        <v>75</v>
      </c>
      <c r="AC272" s="11" t="s">
        <v>112</v>
      </c>
      <c r="AD272" s="9" t="s">
        <v>91</v>
      </c>
      <c r="AE272" s="14">
        <v>902.57880699999998</v>
      </c>
      <c r="AF272" s="13"/>
      <c r="AO272" s="34" t="s">
        <v>78</v>
      </c>
      <c r="AP272" s="31">
        <v>13</v>
      </c>
      <c r="AQ272" s="31">
        <v>13</v>
      </c>
    </row>
    <row r="273" spans="1:67" x14ac:dyDescent="0.2">
      <c r="A273" s="5"/>
      <c r="B273" s="25"/>
      <c r="C273" s="26"/>
      <c r="D273" s="5"/>
      <c r="E273" s="5"/>
      <c r="F273" s="32"/>
      <c r="G273" s="9"/>
      <c r="H273" s="6"/>
      <c r="I273" s="7"/>
      <c r="J273" s="9"/>
      <c r="N273" s="9"/>
      <c r="P273" s="12"/>
      <c r="S273" s="9"/>
      <c r="T273" s="18"/>
      <c r="U273" s="18"/>
      <c r="Y273" s="9" t="e">
        <f t="shared" si="4"/>
        <v>#DIV/0!</v>
      </c>
      <c r="Z273" s="19"/>
      <c r="AC273" s="11"/>
      <c r="AD273" s="9"/>
      <c r="AE273" s="14"/>
      <c r="AF273" s="13"/>
      <c r="AO273" s="34" t="s">
        <v>79</v>
      </c>
      <c r="AP273" s="31">
        <v>7.4</v>
      </c>
      <c r="AQ273" s="31">
        <v>7.4</v>
      </c>
    </row>
    <row r="274" spans="1:67" x14ac:dyDescent="0.2">
      <c r="A274" s="5" t="s">
        <v>67</v>
      </c>
      <c r="B274" s="25">
        <v>43360</v>
      </c>
      <c r="C274" s="26">
        <v>0.71875</v>
      </c>
      <c r="D274" s="5" t="s">
        <v>209</v>
      </c>
      <c r="E274" s="5">
        <v>3</v>
      </c>
      <c r="F274" s="32">
        <v>59.5</v>
      </c>
      <c r="G274" s="9">
        <v>2</v>
      </c>
      <c r="H274" s="6">
        <v>3.3613445378151259E-2</v>
      </c>
      <c r="I274" s="7">
        <v>6.83E-2</v>
      </c>
      <c r="J274" s="9">
        <v>314.15899999999999</v>
      </c>
      <c r="K274" s="9">
        <v>1.5709</v>
      </c>
      <c r="L274" s="9">
        <v>23</v>
      </c>
      <c r="M274" s="14">
        <v>99.993315933541282</v>
      </c>
      <c r="N274" s="9">
        <v>1419</v>
      </c>
      <c r="O274" s="12" t="s">
        <v>94</v>
      </c>
      <c r="P274" s="12" t="s">
        <v>82</v>
      </c>
      <c r="Q274" s="9" t="s">
        <v>95</v>
      </c>
      <c r="R274" s="9" t="s">
        <v>96</v>
      </c>
      <c r="S274" s="9"/>
      <c r="T274" s="18">
        <v>389</v>
      </c>
      <c r="U274" s="18">
        <v>783</v>
      </c>
      <c r="V274" s="9">
        <v>0.8</v>
      </c>
      <c r="W274" s="9">
        <v>0.8</v>
      </c>
      <c r="X274" s="9">
        <v>0.8</v>
      </c>
      <c r="Y274" s="9">
        <f t="shared" si="4"/>
        <v>38897.39989814756</v>
      </c>
      <c r="Z274" s="19" t="s">
        <v>97</v>
      </c>
      <c r="AA274" s="8" t="s">
        <v>210</v>
      </c>
      <c r="AB274" s="8" t="s">
        <v>75</v>
      </c>
      <c r="AC274" s="11" t="s">
        <v>112</v>
      </c>
      <c r="AD274" s="9" t="s">
        <v>85</v>
      </c>
      <c r="AE274" s="14">
        <v>0.18</v>
      </c>
      <c r="AF274" s="14">
        <v>0.18</v>
      </c>
      <c r="AG274" s="14">
        <v>0.18</v>
      </c>
      <c r="AH274" s="14">
        <v>0.18</v>
      </c>
      <c r="AI274" s="14">
        <v>0.18</v>
      </c>
      <c r="AJ274" s="14">
        <v>0.18</v>
      </c>
      <c r="AK274" s="14">
        <v>0.18</v>
      </c>
      <c r="AL274" s="14">
        <v>0.18</v>
      </c>
      <c r="AM274" s="14">
        <v>0.18</v>
      </c>
      <c r="AN274" s="14">
        <v>0.18</v>
      </c>
      <c r="AO274" s="35" t="s">
        <v>78</v>
      </c>
      <c r="AP274" s="31">
        <v>0.75200000000000033</v>
      </c>
      <c r="AQ274" s="31">
        <v>0.7</v>
      </c>
      <c r="AR274" s="31">
        <v>0.7</v>
      </c>
      <c r="AS274" s="31">
        <v>0.7</v>
      </c>
      <c r="AT274" s="31">
        <v>0.7</v>
      </c>
      <c r="AU274" s="31">
        <v>0.7</v>
      </c>
      <c r="AV274" s="31">
        <v>0.7</v>
      </c>
      <c r="AW274" s="31">
        <v>0.7</v>
      </c>
      <c r="AX274" s="31">
        <v>0.7</v>
      </c>
      <c r="AY274" s="31">
        <v>0.7</v>
      </c>
      <c r="AZ274" s="31">
        <v>0.7</v>
      </c>
      <c r="BA274" s="31">
        <v>0.7</v>
      </c>
      <c r="BB274" s="31">
        <v>0.7</v>
      </c>
      <c r="BC274" s="31">
        <v>0.8</v>
      </c>
      <c r="BD274" s="31">
        <v>0.8</v>
      </c>
      <c r="BE274" s="31">
        <v>0.8</v>
      </c>
      <c r="BF274" s="31">
        <v>0.8</v>
      </c>
      <c r="BG274" s="31">
        <v>0.8</v>
      </c>
      <c r="BH274" s="31">
        <v>0.8</v>
      </c>
      <c r="BI274" s="31">
        <v>0.8</v>
      </c>
      <c r="BJ274" s="31">
        <v>0.8</v>
      </c>
      <c r="BK274" s="31">
        <v>0.8</v>
      </c>
      <c r="BL274" s="31">
        <v>0.8</v>
      </c>
      <c r="BM274" s="31">
        <v>0.8</v>
      </c>
      <c r="BN274" s="31">
        <v>0.8</v>
      </c>
      <c r="BO274" s="31">
        <v>0.8</v>
      </c>
    </row>
    <row r="275" spans="1:67" x14ac:dyDescent="0.2">
      <c r="A275" s="5" t="s">
        <v>67</v>
      </c>
      <c r="B275" s="25">
        <v>43360</v>
      </c>
      <c r="C275" s="26">
        <v>0.66319444444444398</v>
      </c>
      <c r="D275" s="5" t="s">
        <v>108</v>
      </c>
      <c r="E275" s="5">
        <v>3</v>
      </c>
      <c r="F275" s="32">
        <v>62</v>
      </c>
      <c r="G275" s="9">
        <v>2</v>
      </c>
      <c r="H275" s="6">
        <v>3.2258064516129031E-2</v>
      </c>
      <c r="I275" s="7">
        <v>6.83E-2</v>
      </c>
      <c r="J275" s="9">
        <v>314.15899999999999</v>
      </c>
      <c r="K275" s="9">
        <v>0.68300000000000005</v>
      </c>
      <c r="L275" s="9">
        <v>10</v>
      </c>
      <c r="M275" s="14">
        <v>229.98462664714492</v>
      </c>
      <c r="N275" s="9">
        <v>145</v>
      </c>
      <c r="O275" s="12" t="s">
        <v>69</v>
      </c>
      <c r="P275" s="8" t="s">
        <v>70</v>
      </c>
      <c r="Q275" s="9" t="s">
        <v>71</v>
      </c>
      <c r="R275" s="9" t="s">
        <v>72</v>
      </c>
      <c r="S275" s="9"/>
      <c r="T275" s="18">
        <v>1</v>
      </c>
      <c r="U275" s="18">
        <v>1</v>
      </c>
      <c r="V275" s="9">
        <v>14.8</v>
      </c>
      <c r="Y275" s="9">
        <f t="shared" si="4"/>
        <v>229.98462664714492</v>
      </c>
      <c r="Z275" s="19" t="s">
        <v>73</v>
      </c>
      <c r="AA275" s="8" t="s">
        <v>211</v>
      </c>
      <c r="AB275" s="8" t="s">
        <v>75</v>
      </c>
      <c r="AC275" s="11" t="s">
        <v>76</v>
      </c>
      <c r="AD275" s="9" t="s">
        <v>77</v>
      </c>
      <c r="AE275" s="14">
        <v>399.97781402999999</v>
      </c>
      <c r="AF275" s="13"/>
      <c r="AO275" s="34" t="s">
        <v>78</v>
      </c>
      <c r="AP275" s="31">
        <v>14.8</v>
      </c>
      <c r="AQ275" s="31">
        <v>14.8</v>
      </c>
    </row>
    <row r="276" spans="1:67" x14ac:dyDescent="0.2">
      <c r="A276" s="5"/>
      <c r="B276" s="25"/>
      <c r="C276" s="26"/>
      <c r="D276" s="5"/>
      <c r="E276" s="5"/>
      <c r="F276" s="32"/>
      <c r="G276" s="9"/>
      <c r="H276" s="6"/>
      <c r="I276" s="7"/>
      <c r="J276" s="9"/>
      <c r="N276" s="9"/>
      <c r="O276" s="12"/>
      <c r="S276" s="9"/>
      <c r="T276" s="18"/>
      <c r="U276" s="18"/>
      <c r="Y276" s="9" t="e">
        <f t="shared" si="4"/>
        <v>#DIV/0!</v>
      </c>
      <c r="Z276" s="19"/>
      <c r="AC276" s="11"/>
      <c r="AD276" s="9"/>
      <c r="AE276" s="14"/>
      <c r="AF276" s="13"/>
      <c r="AO276" s="34" t="s">
        <v>79</v>
      </c>
      <c r="AP276" s="31">
        <v>9.3000000000000007</v>
      </c>
      <c r="AQ276" s="31">
        <v>9.3000000000000007</v>
      </c>
    </row>
    <row r="277" spans="1:67" x14ac:dyDescent="0.2">
      <c r="A277" s="5"/>
      <c r="B277" s="25"/>
      <c r="C277" s="26"/>
      <c r="D277" s="5"/>
      <c r="E277" s="5"/>
      <c r="F277" s="32"/>
      <c r="G277" s="9"/>
      <c r="H277" s="6"/>
      <c r="I277" s="7"/>
      <c r="J277" s="9"/>
      <c r="N277" s="9"/>
      <c r="O277" s="12"/>
      <c r="S277" s="9"/>
      <c r="T277" s="18"/>
      <c r="U277" s="18"/>
      <c r="Y277" s="9" t="e">
        <f t="shared" si="4"/>
        <v>#DIV/0!</v>
      </c>
      <c r="Z277" s="19"/>
      <c r="AC277" s="11"/>
      <c r="AD277" s="9"/>
      <c r="AE277" s="14"/>
      <c r="AF277" s="13"/>
      <c r="AO277" s="34" t="s">
        <v>80</v>
      </c>
      <c r="AP277" s="31">
        <v>3.7</v>
      </c>
      <c r="AQ277" s="31">
        <v>3.7</v>
      </c>
    </row>
    <row r="278" spans="1:67" x14ac:dyDescent="0.2">
      <c r="A278" s="5" t="s">
        <v>67</v>
      </c>
      <c r="B278" s="25">
        <v>43360</v>
      </c>
      <c r="C278" s="26">
        <v>0.66319444444444398</v>
      </c>
      <c r="D278" s="5" t="s">
        <v>108</v>
      </c>
      <c r="E278" s="5">
        <v>3</v>
      </c>
      <c r="F278" s="32">
        <v>62</v>
      </c>
      <c r="G278" s="9">
        <v>2</v>
      </c>
      <c r="H278" s="6">
        <v>3.2258064516129031E-2</v>
      </c>
      <c r="I278" s="7">
        <v>6.83E-2</v>
      </c>
      <c r="J278" s="9">
        <v>314.15899999999999</v>
      </c>
      <c r="K278" s="9">
        <v>0.68300000000000005</v>
      </c>
      <c r="L278" s="9">
        <v>10</v>
      </c>
      <c r="M278" s="14">
        <v>229.98462664714492</v>
      </c>
      <c r="N278" s="9">
        <v>1010</v>
      </c>
      <c r="O278" s="8" t="s">
        <v>212</v>
      </c>
      <c r="P278" s="12" t="s">
        <v>82</v>
      </c>
      <c r="Q278" s="9" t="s">
        <v>213</v>
      </c>
      <c r="R278" s="9" t="s">
        <v>214</v>
      </c>
      <c r="S278" s="9"/>
      <c r="T278" s="18">
        <v>1</v>
      </c>
      <c r="U278" s="18">
        <v>6</v>
      </c>
      <c r="V278" s="9">
        <v>2.8</v>
      </c>
      <c r="Y278" s="9">
        <f t="shared" si="4"/>
        <v>229.98462664714492</v>
      </c>
      <c r="Z278" s="19" t="s">
        <v>97</v>
      </c>
      <c r="AA278" s="8" t="s">
        <v>211</v>
      </c>
      <c r="AB278" s="8" t="s">
        <v>75</v>
      </c>
      <c r="AC278" s="11" t="s">
        <v>76</v>
      </c>
      <c r="AD278" s="9" t="s">
        <v>215</v>
      </c>
      <c r="AE278" s="14">
        <v>2.0675589187500001</v>
      </c>
      <c r="AF278" s="13"/>
      <c r="AO278" s="34" t="s">
        <v>78</v>
      </c>
      <c r="AP278" s="31">
        <v>2.8</v>
      </c>
      <c r="AQ278" s="31">
        <v>2.8</v>
      </c>
      <c r="AR278" s="31">
        <v>2.8</v>
      </c>
      <c r="AS278" s="31">
        <v>2.8</v>
      </c>
      <c r="AT278" s="31">
        <v>2.8</v>
      </c>
      <c r="AU278" s="31">
        <v>2.8</v>
      </c>
    </row>
    <row r="279" spans="1:67" x14ac:dyDescent="0.2">
      <c r="A279" s="5"/>
      <c r="B279" s="25"/>
      <c r="C279" s="26"/>
      <c r="D279" s="5"/>
      <c r="E279" s="5"/>
      <c r="F279" s="32"/>
      <c r="G279" s="9"/>
      <c r="H279" s="6"/>
      <c r="I279" s="7"/>
      <c r="J279" s="9"/>
      <c r="N279" s="9"/>
      <c r="P279" s="12"/>
      <c r="S279" s="9"/>
      <c r="T279" s="18"/>
      <c r="U279" s="18"/>
      <c r="Y279" s="9" t="e">
        <f t="shared" si="4"/>
        <v>#DIV/0!</v>
      </c>
      <c r="Z279" s="19"/>
      <c r="AC279" s="11"/>
      <c r="AD279" s="9"/>
      <c r="AE279" s="14"/>
      <c r="AF279" s="13"/>
      <c r="AO279" s="34" t="s">
        <v>79</v>
      </c>
      <c r="AP279" s="31">
        <v>0.9</v>
      </c>
      <c r="AQ279" s="31">
        <v>0.9</v>
      </c>
      <c r="AR279" s="31">
        <v>0.9</v>
      </c>
      <c r="AS279" s="31">
        <v>0.9</v>
      </c>
      <c r="AT279" s="31">
        <v>0.9</v>
      </c>
      <c r="AU279" s="31">
        <v>0.9</v>
      </c>
    </row>
    <row r="280" spans="1:67" x14ac:dyDescent="0.2">
      <c r="A280" s="5"/>
      <c r="B280" s="25"/>
      <c r="C280" s="26"/>
      <c r="D280" s="5"/>
      <c r="E280" s="5"/>
      <c r="F280" s="32"/>
      <c r="G280" s="9"/>
      <c r="H280" s="6"/>
      <c r="I280" s="7"/>
      <c r="J280" s="9"/>
      <c r="N280" s="9"/>
      <c r="P280" s="12"/>
      <c r="S280" s="9"/>
      <c r="T280" s="18"/>
      <c r="U280" s="18"/>
      <c r="Y280" s="9" t="e">
        <f t="shared" si="4"/>
        <v>#DIV/0!</v>
      </c>
      <c r="Z280" s="19"/>
      <c r="AC280" s="11"/>
      <c r="AD280" s="9"/>
      <c r="AE280" s="14"/>
      <c r="AF280" s="13"/>
      <c r="AO280" s="34" t="s">
        <v>80</v>
      </c>
      <c r="AP280" s="31">
        <v>0.9</v>
      </c>
      <c r="AQ280" s="31">
        <v>0.9</v>
      </c>
      <c r="AR280" s="31">
        <v>0.9</v>
      </c>
      <c r="AS280" s="31">
        <v>0.9</v>
      </c>
      <c r="AT280" s="31">
        <v>0.9</v>
      </c>
      <c r="AU280" s="31">
        <v>0.9</v>
      </c>
    </row>
    <row r="281" spans="1:67" x14ac:dyDescent="0.2">
      <c r="A281" s="5" t="s">
        <v>67</v>
      </c>
      <c r="B281" s="25">
        <v>43360</v>
      </c>
      <c r="C281" s="26">
        <v>0.66319444444444398</v>
      </c>
      <c r="D281" s="5" t="s">
        <v>108</v>
      </c>
      <c r="E281" s="5">
        <v>3</v>
      </c>
      <c r="F281" s="32">
        <v>62</v>
      </c>
      <c r="G281" s="9">
        <v>2</v>
      </c>
      <c r="H281" s="6">
        <v>3.2258064516129031E-2</v>
      </c>
      <c r="I281" s="7">
        <v>6.83E-2</v>
      </c>
      <c r="J281" s="9">
        <v>314.15899999999999</v>
      </c>
      <c r="K281" s="9">
        <v>0.68300000000000005</v>
      </c>
      <c r="L281" s="9">
        <v>10</v>
      </c>
      <c r="M281" s="14">
        <v>229.98462664714492</v>
      </c>
      <c r="N281" s="9">
        <v>1037</v>
      </c>
      <c r="O281" s="12" t="s">
        <v>86</v>
      </c>
      <c r="P281" s="12" t="s">
        <v>82</v>
      </c>
      <c r="Q281" s="9" t="s">
        <v>87</v>
      </c>
      <c r="R281" s="9" t="s">
        <v>84</v>
      </c>
      <c r="S281" s="9"/>
      <c r="T281" s="18">
        <v>26</v>
      </c>
      <c r="U281" s="18">
        <v>26</v>
      </c>
      <c r="V281" s="9">
        <v>3.7</v>
      </c>
      <c r="Y281" s="9">
        <f t="shared" si="4"/>
        <v>5979.6002928257685</v>
      </c>
      <c r="Z281" s="19" t="s">
        <v>73</v>
      </c>
      <c r="AA281" s="8" t="s">
        <v>211</v>
      </c>
      <c r="AB281" s="8" t="s">
        <v>75</v>
      </c>
      <c r="AC281" s="11" t="s">
        <v>76</v>
      </c>
      <c r="AD281" s="9" t="s">
        <v>85</v>
      </c>
      <c r="AE281" s="14">
        <v>11.494030613333329</v>
      </c>
      <c r="AF281" s="13"/>
      <c r="AO281" s="34" t="s">
        <v>78</v>
      </c>
      <c r="AP281" s="31">
        <v>2.8</v>
      </c>
      <c r="AQ281" s="31">
        <v>2.8</v>
      </c>
      <c r="AR281" s="31">
        <v>3.7</v>
      </c>
      <c r="AS281" s="31">
        <v>2.8</v>
      </c>
      <c r="AT281" s="31">
        <v>1.9</v>
      </c>
      <c r="AU281" s="31">
        <v>2.8</v>
      </c>
    </row>
    <row r="282" spans="1:67" x14ac:dyDescent="0.2">
      <c r="A282" s="5" t="s">
        <v>67</v>
      </c>
      <c r="B282" s="25">
        <v>43360</v>
      </c>
      <c r="C282" s="26">
        <v>0.66319444444444398</v>
      </c>
      <c r="D282" s="5" t="s">
        <v>108</v>
      </c>
      <c r="E282" s="5">
        <v>3</v>
      </c>
      <c r="F282" s="32">
        <v>62</v>
      </c>
      <c r="G282" s="9">
        <v>2</v>
      </c>
      <c r="H282" s="6">
        <v>3.2258064516129031E-2</v>
      </c>
      <c r="I282" s="7">
        <v>6.83E-2</v>
      </c>
      <c r="J282" s="9">
        <v>314.15899999999999</v>
      </c>
      <c r="K282" s="9">
        <v>0.68300000000000005</v>
      </c>
      <c r="L282" s="9">
        <v>10</v>
      </c>
      <c r="M282" s="14">
        <v>229.98462664714492</v>
      </c>
      <c r="N282" s="9">
        <v>1235</v>
      </c>
      <c r="O282" s="12" t="s">
        <v>216</v>
      </c>
      <c r="P282" s="12" t="s">
        <v>82</v>
      </c>
      <c r="Q282" s="9" t="s">
        <v>217</v>
      </c>
      <c r="R282" s="9" t="s">
        <v>84</v>
      </c>
      <c r="S282" s="9"/>
      <c r="T282" s="18">
        <v>1</v>
      </c>
      <c r="U282" s="18">
        <v>2</v>
      </c>
      <c r="V282" s="9">
        <v>4.5999999999999996</v>
      </c>
      <c r="Y282" s="9">
        <f t="shared" si="4"/>
        <v>229.98462664714492</v>
      </c>
      <c r="Z282" s="19" t="s">
        <v>97</v>
      </c>
      <c r="AA282" s="8" t="s">
        <v>211</v>
      </c>
      <c r="AB282" s="8" t="s">
        <v>75</v>
      </c>
      <c r="AC282" s="11" t="s">
        <v>76</v>
      </c>
      <c r="AD282" s="9" t="s">
        <v>120</v>
      </c>
      <c r="AE282" s="14">
        <v>8.694873923333331</v>
      </c>
      <c r="AF282" s="13"/>
      <c r="AO282" s="34" t="s">
        <v>78</v>
      </c>
      <c r="AP282" s="31">
        <v>4.5999999999999996</v>
      </c>
      <c r="AQ282" s="31">
        <v>4.5999999999999996</v>
      </c>
      <c r="AR282" s="31">
        <v>4.5999999999999996</v>
      </c>
    </row>
    <row r="283" spans="1:67" s="41" customFormat="1" x14ac:dyDescent="0.2">
      <c r="A283" s="5"/>
      <c r="B283" s="25"/>
      <c r="C283" s="26"/>
      <c r="D283" s="5"/>
      <c r="E283" s="5"/>
      <c r="F283" s="32"/>
      <c r="G283" s="9"/>
      <c r="H283" s="6"/>
      <c r="I283" s="7"/>
      <c r="J283" s="9"/>
      <c r="K283" s="9"/>
      <c r="L283" s="9"/>
      <c r="M283" s="14"/>
      <c r="N283" s="9"/>
      <c r="O283" s="40"/>
      <c r="P283" s="40"/>
      <c r="Q283" s="38"/>
      <c r="R283" s="38"/>
      <c r="S283" s="38"/>
      <c r="T283" s="42"/>
      <c r="U283" s="42"/>
      <c r="V283" s="38"/>
      <c r="W283" s="38"/>
      <c r="X283" s="38"/>
      <c r="Y283" s="9" t="e">
        <f t="shared" si="4"/>
        <v>#DIV/0!</v>
      </c>
      <c r="Z283" s="43"/>
      <c r="AC283" s="44"/>
      <c r="AD283" s="38"/>
      <c r="AE283" s="39"/>
      <c r="AF283" s="45"/>
      <c r="AG283" s="46"/>
      <c r="AH283" s="44"/>
      <c r="AO283" s="47" t="s">
        <v>79</v>
      </c>
      <c r="AP283" s="48">
        <v>1.9</v>
      </c>
      <c r="AQ283" s="48">
        <v>1.9</v>
      </c>
      <c r="AR283" s="48">
        <v>1.9</v>
      </c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</row>
    <row r="284" spans="1:67" x14ac:dyDescent="0.2">
      <c r="A284" s="5" t="s">
        <v>67</v>
      </c>
      <c r="B284" s="25">
        <v>43360</v>
      </c>
      <c r="C284" s="26">
        <v>0.66319444444444398</v>
      </c>
      <c r="D284" s="5" t="s">
        <v>108</v>
      </c>
      <c r="E284" s="5">
        <v>3</v>
      </c>
      <c r="F284" s="32">
        <v>62</v>
      </c>
      <c r="G284" s="9">
        <v>2</v>
      </c>
      <c r="H284" s="6">
        <v>3.2258064516129031E-2</v>
      </c>
      <c r="I284" s="7">
        <v>6.83E-2</v>
      </c>
      <c r="J284" s="9">
        <v>314.15899999999999</v>
      </c>
      <c r="K284" s="9">
        <v>0.68300000000000005</v>
      </c>
      <c r="L284" s="9">
        <v>10</v>
      </c>
      <c r="M284" s="14">
        <v>229.98462664714492</v>
      </c>
      <c r="N284" s="9">
        <v>1806</v>
      </c>
      <c r="O284" s="12" t="s">
        <v>206</v>
      </c>
      <c r="P284" s="12" t="s">
        <v>82</v>
      </c>
      <c r="Q284" s="9" t="s">
        <v>207</v>
      </c>
      <c r="R284" s="9" t="s">
        <v>84</v>
      </c>
      <c r="S284" s="9"/>
      <c r="T284" s="18">
        <v>1</v>
      </c>
      <c r="U284" s="18">
        <v>1</v>
      </c>
      <c r="V284" s="9">
        <v>3.7</v>
      </c>
      <c r="Y284" s="9">
        <f t="shared" si="4"/>
        <v>229.98462664714492</v>
      </c>
      <c r="Z284" s="19" t="s">
        <v>73</v>
      </c>
      <c r="AA284" s="8" t="s">
        <v>211</v>
      </c>
      <c r="AB284" s="8" t="s">
        <v>75</v>
      </c>
      <c r="AC284" s="11" t="s">
        <v>76</v>
      </c>
      <c r="AD284" s="9" t="s">
        <v>120</v>
      </c>
      <c r="AE284" s="14">
        <v>26.521826378333333</v>
      </c>
      <c r="AF284" s="13"/>
      <c r="AO284" s="34" t="s">
        <v>78</v>
      </c>
      <c r="AP284" s="31">
        <v>3.7</v>
      </c>
      <c r="AQ284" s="31">
        <v>3.7</v>
      </c>
    </row>
    <row r="285" spans="1:67" x14ac:dyDescent="0.2">
      <c r="A285" s="5"/>
      <c r="B285" s="25"/>
      <c r="C285" s="26"/>
      <c r="D285" s="5"/>
      <c r="E285" s="5"/>
      <c r="F285" s="32"/>
      <c r="G285" s="9"/>
      <c r="H285" s="6"/>
      <c r="I285" s="7"/>
      <c r="J285" s="9"/>
      <c r="N285" s="9"/>
      <c r="O285" s="12"/>
      <c r="P285" s="12"/>
      <c r="S285" s="9"/>
      <c r="T285" s="18"/>
      <c r="U285" s="18"/>
      <c r="Y285" s="9" t="e">
        <f t="shared" si="4"/>
        <v>#DIV/0!</v>
      </c>
      <c r="Z285" s="19"/>
      <c r="AC285" s="11"/>
      <c r="AD285" s="9"/>
      <c r="AE285" s="14"/>
      <c r="AF285" s="13"/>
      <c r="AO285" s="34" t="s">
        <v>79</v>
      </c>
      <c r="AP285" s="31">
        <v>3.7</v>
      </c>
      <c r="AQ285" s="31">
        <v>3.7</v>
      </c>
    </row>
    <row r="286" spans="1:67" x14ac:dyDescent="0.2">
      <c r="A286" s="5" t="s">
        <v>67</v>
      </c>
      <c r="B286" s="25">
        <v>43360</v>
      </c>
      <c r="C286" s="26">
        <v>0.66319444444444398</v>
      </c>
      <c r="D286" s="5" t="s">
        <v>108</v>
      </c>
      <c r="E286" s="5">
        <v>3</v>
      </c>
      <c r="F286" s="32">
        <v>62</v>
      </c>
      <c r="G286" s="9">
        <v>2</v>
      </c>
      <c r="H286" s="6">
        <v>3.2258064516129031E-2</v>
      </c>
      <c r="I286" s="7">
        <v>6.83E-2</v>
      </c>
      <c r="J286" s="9">
        <v>314.15899999999999</v>
      </c>
      <c r="K286" s="9">
        <v>0.68300000000000005</v>
      </c>
      <c r="L286" s="9">
        <v>10</v>
      </c>
      <c r="M286" s="14">
        <v>229.98462664714492</v>
      </c>
      <c r="N286" s="9">
        <v>1692</v>
      </c>
      <c r="O286" s="8" t="s">
        <v>179</v>
      </c>
      <c r="P286" s="12" t="s">
        <v>82</v>
      </c>
      <c r="Q286" s="9" t="s">
        <v>180</v>
      </c>
      <c r="R286" s="9" t="s">
        <v>84</v>
      </c>
      <c r="S286" s="9"/>
      <c r="T286" s="18">
        <v>1</v>
      </c>
      <c r="U286" s="18">
        <v>1</v>
      </c>
      <c r="V286" s="9">
        <v>5.6</v>
      </c>
      <c r="Y286" s="9">
        <f t="shared" si="4"/>
        <v>229.98462664714492</v>
      </c>
      <c r="Z286" s="19" t="s">
        <v>73</v>
      </c>
      <c r="AA286" s="8" t="s">
        <v>211</v>
      </c>
      <c r="AB286" s="8" t="s">
        <v>75</v>
      </c>
      <c r="AC286" s="11" t="s">
        <v>76</v>
      </c>
      <c r="AD286" s="9" t="s">
        <v>120</v>
      </c>
      <c r="AE286" s="14">
        <v>40.141142626666664</v>
      </c>
      <c r="AF286" s="13"/>
      <c r="AO286" s="34" t="s">
        <v>78</v>
      </c>
      <c r="AP286" s="31">
        <v>5.6</v>
      </c>
      <c r="AQ286" s="31">
        <v>5.6</v>
      </c>
    </row>
    <row r="287" spans="1:67" x14ac:dyDescent="0.2">
      <c r="A287" s="5"/>
      <c r="B287" s="25"/>
      <c r="C287" s="26"/>
      <c r="D287" s="5"/>
      <c r="E287" s="5"/>
      <c r="F287" s="32"/>
      <c r="G287" s="9"/>
      <c r="H287" s="6"/>
      <c r="I287" s="7"/>
      <c r="J287" s="9"/>
      <c r="N287" s="9"/>
      <c r="P287" s="12"/>
      <c r="S287" s="9"/>
      <c r="T287" s="18"/>
      <c r="U287" s="18"/>
      <c r="Y287" s="9" t="e">
        <f t="shared" si="4"/>
        <v>#DIV/0!</v>
      </c>
      <c r="Z287" s="19"/>
      <c r="AC287" s="11"/>
      <c r="AD287" s="9"/>
      <c r="AE287" s="14"/>
      <c r="AF287" s="13"/>
      <c r="AO287" s="34" t="s">
        <v>79</v>
      </c>
      <c r="AP287" s="31">
        <v>3.7</v>
      </c>
      <c r="AQ287" s="31">
        <v>3.7</v>
      </c>
    </row>
    <row r="288" spans="1:67" x14ac:dyDescent="0.2">
      <c r="A288" s="5" t="s">
        <v>67</v>
      </c>
      <c r="B288" s="25">
        <v>43360</v>
      </c>
      <c r="C288" s="26">
        <v>0.66319444444444398</v>
      </c>
      <c r="D288" s="5" t="s">
        <v>108</v>
      </c>
      <c r="E288" s="5">
        <v>3</v>
      </c>
      <c r="F288" s="32">
        <v>62</v>
      </c>
      <c r="G288" s="9">
        <v>2</v>
      </c>
      <c r="H288" s="6">
        <v>3.2258064516129031E-2</v>
      </c>
      <c r="I288" s="7">
        <v>6.83E-2</v>
      </c>
      <c r="J288" s="9">
        <v>314.15899999999999</v>
      </c>
      <c r="K288" s="9">
        <v>0.68300000000000005</v>
      </c>
      <c r="L288" s="9">
        <v>10</v>
      </c>
      <c r="M288" s="14">
        <v>229.98462664714492</v>
      </c>
      <c r="N288" s="9">
        <v>1364</v>
      </c>
      <c r="O288" s="12" t="s">
        <v>88</v>
      </c>
      <c r="P288" s="12" t="s">
        <v>82</v>
      </c>
      <c r="Q288" s="9" t="s">
        <v>89</v>
      </c>
      <c r="R288" s="9" t="s">
        <v>90</v>
      </c>
      <c r="S288" s="9"/>
      <c r="T288" s="18">
        <v>4</v>
      </c>
      <c r="U288" s="18">
        <v>4</v>
      </c>
      <c r="V288" s="9">
        <v>11.1</v>
      </c>
      <c r="Y288" s="9">
        <f t="shared" si="4"/>
        <v>919.93850658857968</v>
      </c>
      <c r="Z288" s="19" t="s">
        <v>73</v>
      </c>
      <c r="AA288" s="8" t="s">
        <v>211</v>
      </c>
      <c r="AB288" s="8" t="s">
        <v>75</v>
      </c>
      <c r="AC288" s="11" t="s">
        <v>76</v>
      </c>
      <c r="AD288" s="9" t="s">
        <v>91</v>
      </c>
      <c r="AE288" s="14">
        <v>430.35384773999982</v>
      </c>
      <c r="AF288" s="13"/>
      <c r="AO288" s="34" t="s">
        <v>78</v>
      </c>
      <c r="AP288" s="31">
        <v>10.199999999999999</v>
      </c>
      <c r="AQ288" s="31">
        <v>9.3000000000000007</v>
      </c>
      <c r="AR288" s="31">
        <v>11.1</v>
      </c>
      <c r="AS288" s="31">
        <v>9.3000000000000007</v>
      </c>
      <c r="AT288" s="31">
        <v>11.1</v>
      </c>
    </row>
    <row r="289" spans="1:67" x14ac:dyDescent="0.2">
      <c r="A289" s="5"/>
      <c r="B289" s="25"/>
      <c r="C289" s="26"/>
      <c r="D289" s="5"/>
      <c r="E289" s="5"/>
      <c r="F289" s="32"/>
      <c r="G289" s="9"/>
      <c r="H289" s="6"/>
      <c r="I289" s="7"/>
      <c r="J289" s="9"/>
      <c r="N289" s="9"/>
      <c r="O289" s="12"/>
      <c r="P289" s="12"/>
      <c r="S289" s="9"/>
      <c r="T289" s="18"/>
      <c r="U289" s="18"/>
      <c r="Y289" s="9" t="e">
        <f t="shared" si="4"/>
        <v>#DIV/0!</v>
      </c>
      <c r="Z289" s="19"/>
      <c r="AC289" s="11"/>
      <c r="AD289" s="9"/>
      <c r="AE289" s="14"/>
      <c r="AF289" s="13"/>
      <c r="AO289" s="34" t="s">
        <v>79</v>
      </c>
      <c r="AP289" s="31">
        <v>5.6</v>
      </c>
      <c r="AQ289" s="31">
        <v>5.6</v>
      </c>
      <c r="AR289" s="31">
        <v>5.6</v>
      </c>
      <c r="AS289" s="31">
        <v>5.6</v>
      </c>
      <c r="AT289" s="31">
        <v>5.6</v>
      </c>
    </row>
    <row r="290" spans="1:67" x14ac:dyDescent="0.2">
      <c r="A290" s="5" t="s">
        <v>67</v>
      </c>
      <c r="B290" s="25">
        <v>43360</v>
      </c>
      <c r="C290" s="26">
        <v>0.66319444444444398</v>
      </c>
      <c r="D290" s="5" t="s">
        <v>108</v>
      </c>
      <c r="E290" s="5">
        <v>3</v>
      </c>
      <c r="F290" s="32">
        <v>62</v>
      </c>
      <c r="G290" s="9">
        <v>2</v>
      </c>
      <c r="H290" s="6">
        <v>3.2258064516129031E-2</v>
      </c>
      <c r="I290" s="7">
        <v>6.83E-2</v>
      </c>
      <c r="J290" s="9">
        <v>314.15899999999999</v>
      </c>
      <c r="K290" s="9">
        <v>0.68300000000000005</v>
      </c>
      <c r="L290" s="9">
        <v>10</v>
      </c>
      <c r="M290" s="14">
        <v>229.98462664714492</v>
      </c>
      <c r="N290" s="9">
        <v>1419</v>
      </c>
      <c r="O290" s="12" t="s">
        <v>94</v>
      </c>
      <c r="P290" s="12" t="s">
        <v>82</v>
      </c>
      <c r="Q290" s="9" t="s">
        <v>95</v>
      </c>
      <c r="R290" s="9" t="s">
        <v>96</v>
      </c>
      <c r="S290" s="9"/>
      <c r="T290" s="18">
        <v>383</v>
      </c>
      <c r="U290" s="18">
        <v>773</v>
      </c>
      <c r="V290" s="9">
        <v>0.8</v>
      </c>
      <c r="W290" s="9">
        <v>0.8</v>
      </c>
      <c r="X290" s="9">
        <v>0.8</v>
      </c>
      <c r="Y290" s="9">
        <f t="shared" si="4"/>
        <v>88084.112005856514</v>
      </c>
      <c r="Z290" s="19" t="s">
        <v>97</v>
      </c>
      <c r="AA290" s="8" t="s">
        <v>211</v>
      </c>
      <c r="AB290" s="8" t="s">
        <v>75</v>
      </c>
      <c r="AC290" s="11" t="s">
        <v>76</v>
      </c>
      <c r="AD290" s="9" t="s">
        <v>85</v>
      </c>
      <c r="AE290" s="14">
        <v>0.18</v>
      </c>
      <c r="AF290" s="14">
        <v>0.18</v>
      </c>
      <c r="AG290" s="14">
        <v>0.18</v>
      </c>
      <c r="AH290" s="14">
        <v>0.18</v>
      </c>
      <c r="AI290" s="14">
        <v>0.18</v>
      </c>
      <c r="AJ290" s="14">
        <v>0.18</v>
      </c>
      <c r="AK290" s="14">
        <v>0.18</v>
      </c>
      <c r="AL290" s="14">
        <v>0.18</v>
      </c>
      <c r="AM290" s="14">
        <v>0.18</v>
      </c>
      <c r="AN290" s="14">
        <v>0.18</v>
      </c>
      <c r="AO290" s="35" t="s">
        <v>78</v>
      </c>
      <c r="AP290" s="31">
        <v>0.75200000000000033</v>
      </c>
      <c r="AQ290" s="31">
        <v>0.7</v>
      </c>
      <c r="AR290" s="31">
        <v>0.7</v>
      </c>
      <c r="AS290" s="31">
        <v>0.7</v>
      </c>
      <c r="AT290" s="31">
        <v>0.7</v>
      </c>
      <c r="AU290" s="31">
        <v>0.7</v>
      </c>
      <c r="AV290" s="31">
        <v>0.7</v>
      </c>
      <c r="AW290" s="31">
        <v>0.7</v>
      </c>
      <c r="AX290" s="31">
        <v>0.7</v>
      </c>
      <c r="AY290" s="31">
        <v>0.7</v>
      </c>
      <c r="AZ290" s="31">
        <v>0.7</v>
      </c>
      <c r="BA290" s="31">
        <v>0.7</v>
      </c>
      <c r="BB290" s="31">
        <v>0.7</v>
      </c>
      <c r="BC290" s="31">
        <v>0.8</v>
      </c>
      <c r="BD290" s="31">
        <v>0.8</v>
      </c>
      <c r="BE290" s="31">
        <v>0.8</v>
      </c>
      <c r="BF290" s="31">
        <v>0.8</v>
      </c>
      <c r="BG290" s="31">
        <v>0.8</v>
      </c>
      <c r="BH290" s="31">
        <v>0.8</v>
      </c>
      <c r="BI290" s="31">
        <v>0.8</v>
      </c>
      <c r="BJ290" s="31">
        <v>0.8</v>
      </c>
      <c r="BK290" s="31">
        <v>0.8</v>
      </c>
      <c r="BL290" s="31">
        <v>0.8</v>
      </c>
      <c r="BM290" s="31">
        <v>0.8</v>
      </c>
      <c r="BN290" s="31">
        <v>0.8</v>
      </c>
      <c r="BO290" s="31">
        <v>0.8</v>
      </c>
    </row>
    <row r="291" spans="1:67" x14ac:dyDescent="0.2">
      <c r="A291" s="5" t="s">
        <v>67</v>
      </c>
      <c r="B291" s="25">
        <v>43360</v>
      </c>
      <c r="C291" s="26">
        <v>0.6875</v>
      </c>
      <c r="D291" s="5" t="s">
        <v>113</v>
      </c>
      <c r="E291" s="5"/>
      <c r="F291" s="32">
        <v>63</v>
      </c>
      <c r="G291" s="9">
        <v>2</v>
      </c>
      <c r="H291" s="6">
        <v>3.1746031746031744E-2</v>
      </c>
      <c r="I291" s="7">
        <v>6.83E-2</v>
      </c>
      <c r="J291" s="9">
        <v>314.15899999999999</v>
      </c>
      <c r="K291" s="9">
        <v>1.0245</v>
      </c>
      <c r="L291" s="9">
        <v>15</v>
      </c>
      <c r="M291" s="14">
        <v>153.32308443142998</v>
      </c>
      <c r="N291" s="9">
        <v>145</v>
      </c>
      <c r="O291" s="12" t="s">
        <v>69</v>
      </c>
      <c r="P291" s="8" t="s">
        <v>70</v>
      </c>
      <c r="Q291" s="9" t="s">
        <v>71</v>
      </c>
      <c r="R291" s="9" t="s">
        <v>72</v>
      </c>
      <c r="S291" s="9"/>
      <c r="T291" s="18">
        <v>1</v>
      </c>
      <c r="U291" s="18">
        <v>1</v>
      </c>
      <c r="V291" s="9">
        <v>27.8</v>
      </c>
      <c r="Y291" s="9">
        <f t="shared" si="4"/>
        <v>153.32308443142998</v>
      </c>
      <c r="Z291" s="19" t="s">
        <v>73</v>
      </c>
      <c r="AA291" s="8" t="s">
        <v>218</v>
      </c>
      <c r="AB291" s="8" t="s">
        <v>75</v>
      </c>
      <c r="AC291" s="11" t="s">
        <v>112</v>
      </c>
      <c r="AD291" s="9" t="s">
        <v>77</v>
      </c>
      <c r="AE291" s="14">
        <v>1494.5407567249999</v>
      </c>
      <c r="AF291" s="13"/>
      <c r="AO291" s="34" t="s">
        <v>78</v>
      </c>
      <c r="AP291" s="31">
        <v>27.8</v>
      </c>
      <c r="AQ291" s="31">
        <v>27.8</v>
      </c>
    </row>
    <row r="292" spans="1:67" x14ac:dyDescent="0.2">
      <c r="A292" s="5"/>
      <c r="B292" s="25"/>
      <c r="C292" s="26"/>
      <c r="D292" s="5"/>
      <c r="E292" s="5"/>
      <c r="F292" s="32"/>
      <c r="G292" s="9"/>
      <c r="H292" s="6"/>
      <c r="I292" s="7"/>
      <c r="J292" s="9"/>
      <c r="N292" s="9"/>
      <c r="O292" s="12"/>
      <c r="S292" s="9"/>
      <c r="T292" s="18"/>
      <c r="U292" s="18"/>
      <c r="Y292" s="9" t="e">
        <f t="shared" si="4"/>
        <v>#DIV/0!</v>
      </c>
      <c r="Z292" s="19"/>
      <c r="AC292" s="11"/>
      <c r="AD292" s="9"/>
      <c r="AE292" s="14"/>
      <c r="AF292" s="13"/>
      <c r="AO292" s="34" t="s">
        <v>79</v>
      </c>
      <c r="AP292" s="31">
        <v>18.5</v>
      </c>
      <c r="AQ292" s="31">
        <v>18.5</v>
      </c>
    </row>
    <row r="293" spans="1:67" x14ac:dyDescent="0.2">
      <c r="A293" s="5"/>
      <c r="B293" s="25"/>
      <c r="C293" s="26"/>
      <c r="D293" s="5"/>
      <c r="E293" s="5"/>
      <c r="F293" s="32"/>
      <c r="G293" s="9"/>
      <c r="H293" s="6"/>
      <c r="I293" s="7"/>
      <c r="J293" s="9"/>
      <c r="N293" s="9"/>
      <c r="O293" s="12"/>
      <c r="S293" s="9"/>
      <c r="T293" s="18"/>
      <c r="U293" s="18"/>
      <c r="Y293" s="9" t="e">
        <f t="shared" si="4"/>
        <v>#DIV/0!</v>
      </c>
      <c r="Z293" s="19"/>
      <c r="AC293" s="11"/>
      <c r="AD293" s="9"/>
      <c r="AE293" s="14"/>
      <c r="AF293" s="13"/>
      <c r="AO293" s="34" t="s">
        <v>80</v>
      </c>
      <c r="AP293" s="31">
        <v>3.7</v>
      </c>
      <c r="AQ293" s="31">
        <v>3.7</v>
      </c>
    </row>
    <row r="294" spans="1:67" x14ac:dyDescent="0.2">
      <c r="A294" s="5" t="s">
        <v>67</v>
      </c>
      <c r="B294" s="25">
        <v>43360</v>
      </c>
      <c r="C294" s="26">
        <v>0.6875</v>
      </c>
      <c r="D294" s="5" t="s">
        <v>113</v>
      </c>
      <c r="E294" s="5"/>
      <c r="F294" s="32">
        <v>63</v>
      </c>
      <c r="G294" s="9">
        <v>2</v>
      </c>
      <c r="H294" s="6">
        <v>3.1746031746031744E-2</v>
      </c>
      <c r="I294" s="7">
        <v>6.83E-2</v>
      </c>
      <c r="J294" s="9">
        <v>314.15899999999999</v>
      </c>
      <c r="K294" s="9">
        <v>1.0245</v>
      </c>
      <c r="L294" s="9">
        <v>15</v>
      </c>
      <c r="M294" s="14">
        <v>153.32308443142998</v>
      </c>
      <c r="N294" s="9">
        <v>190</v>
      </c>
      <c r="O294" s="12" t="s">
        <v>102</v>
      </c>
      <c r="P294" s="8" t="s">
        <v>70</v>
      </c>
      <c r="Q294" s="9" t="s">
        <v>103</v>
      </c>
      <c r="R294" s="9" t="s">
        <v>84</v>
      </c>
      <c r="S294" s="9"/>
      <c r="T294" s="18">
        <v>2</v>
      </c>
      <c r="U294" s="18">
        <v>2</v>
      </c>
      <c r="V294" s="9">
        <v>4.5999999999999996</v>
      </c>
      <c r="Y294" s="9">
        <f t="shared" si="4"/>
        <v>306.64616886285995</v>
      </c>
      <c r="Z294" s="19" t="s">
        <v>73</v>
      </c>
      <c r="AA294" s="8" t="s">
        <v>218</v>
      </c>
      <c r="AB294" s="8" t="s">
        <v>75</v>
      </c>
      <c r="AC294" s="11" t="s">
        <v>112</v>
      </c>
      <c r="AD294" s="9" t="s">
        <v>104</v>
      </c>
      <c r="AE294" s="14">
        <v>46.533231079999993</v>
      </c>
      <c r="AF294" s="13"/>
      <c r="AO294" s="34" t="s">
        <v>78</v>
      </c>
      <c r="AP294" s="31">
        <v>2.8</v>
      </c>
      <c r="AQ294" s="31">
        <v>2.8</v>
      </c>
      <c r="AR294" s="31">
        <v>2.8</v>
      </c>
    </row>
    <row r="295" spans="1:67" x14ac:dyDescent="0.2">
      <c r="A295" s="5"/>
      <c r="B295" s="25"/>
      <c r="C295" s="26"/>
      <c r="D295" s="5"/>
      <c r="E295" s="5"/>
      <c r="F295" s="32"/>
      <c r="G295" s="9"/>
      <c r="H295" s="6"/>
      <c r="I295" s="7"/>
      <c r="J295" s="9"/>
      <c r="N295" s="9"/>
      <c r="O295" s="12"/>
      <c r="S295" s="9"/>
      <c r="T295" s="18"/>
      <c r="U295" s="18"/>
      <c r="Y295" s="9" t="e">
        <f t="shared" si="4"/>
        <v>#DIV/0!</v>
      </c>
      <c r="Z295" s="19"/>
      <c r="AC295" s="11"/>
      <c r="AD295" s="9"/>
      <c r="AE295" s="14"/>
      <c r="AF295" s="13"/>
      <c r="AO295" s="34" t="s">
        <v>79</v>
      </c>
      <c r="AP295" s="31">
        <v>4.5999999999999996</v>
      </c>
      <c r="AQ295" s="31">
        <v>4.5999999999999996</v>
      </c>
      <c r="AR295" s="31">
        <v>4.5999999999999996</v>
      </c>
    </row>
    <row r="296" spans="1:67" x14ac:dyDescent="0.2">
      <c r="A296" s="5" t="s">
        <v>67</v>
      </c>
      <c r="B296" s="25">
        <v>43360</v>
      </c>
      <c r="C296" s="26">
        <v>0.6875</v>
      </c>
      <c r="D296" s="5" t="s">
        <v>113</v>
      </c>
      <c r="E296" s="5"/>
      <c r="F296" s="32">
        <v>63</v>
      </c>
      <c r="G296" s="9">
        <v>2</v>
      </c>
      <c r="H296" s="6">
        <v>3.1746031746031744E-2</v>
      </c>
      <c r="I296" s="7">
        <v>6.83E-2</v>
      </c>
      <c r="J296" s="9">
        <v>314.15899999999999</v>
      </c>
      <c r="K296" s="9">
        <v>1.0245</v>
      </c>
      <c r="L296" s="9">
        <v>15</v>
      </c>
      <c r="M296" s="14">
        <v>153.32308443142998</v>
      </c>
      <c r="N296" s="9">
        <v>1031</v>
      </c>
      <c r="O296" s="12" t="s">
        <v>81</v>
      </c>
      <c r="P296" s="12" t="s">
        <v>82</v>
      </c>
      <c r="Q296" s="9" t="s">
        <v>83</v>
      </c>
      <c r="R296" s="9" t="s">
        <v>84</v>
      </c>
      <c r="S296" s="9"/>
      <c r="T296" s="18">
        <v>3</v>
      </c>
      <c r="U296" s="18">
        <v>3</v>
      </c>
      <c r="V296" s="9">
        <v>5.6</v>
      </c>
      <c r="Y296" s="9">
        <f t="shared" si="4"/>
        <v>459.9692532942899</v>
      </c>
      <c r="Z296" s="19" t="s">
        <v>73</v>
      </c>
      <c r="AA296" s="8" t="s">
        <v>218</v>
      </c>
      <c r="AB296" s="8" t="s">
        <v>75</v>
      </c>
      <c r="AC296" s="11" t="s">
        <v>112</v>
      </c>
      <c r="AD296" s="9" t="s">
        <v>85</v>
      </c>
      <c r="AE296" s="14">
        <v>50.286383933333333</v>
      </c>
      <c r="AF296" s="13"/>
      <c r="AO296" s="34" t="s">
        <v>78</v>
      </c>
      <c r="AP296" s="31">
        <v>4.9333333333333327</v>
      </c>
      <c r="AQ296" s="31">
        <v>4.5999999999999996</v>
      </c>
      <c r="AR296" s="31">
        <v>4.5999999999999996</v>
      </c>
      <c r="AS296" s="31">
        <v>5.6</v>
      </c>
    </row>
    <row r="297" spans="1:67" x14ac:dyDescent="0.2">
      <c r="A297" s="5"/>
      <c r="B297" s="25"/>
      <c r="C297" s="26"/>
      <c r="D297" s="5"/>
      <c r="E297" s="5"/>
      <c r="F297" s="32"/>
      <c r="G297" s="9"/>
      <c r="H297" s="6"/>
      <c r="I297" s="7"/>
      <c r="J297" s="9"/>
      <c r="N297" s="9"/>
      <c r="O297" s="12"/>
      <c r="P297" s="12"/>
      <c r="S297" s="9"/>
      <c r="T297" s="18"/>
      <c r="U297" s="18"/>
      <c r="Y297" s="9" t="e">
        <f t="shared" si="4"/>
        <v>#DIV/0!</v>
      </c>
      <c r="Z297" s="19"/>
      <c r="AC297" s="11"/>
      <c r="AD297" s="9"/>
      <c r="AE297" s="14"/>
      <c r="AF297" s="13"/>
      <c r="AO297" s="34" t="s">
        <v>79</v>
      </c>
      <c r="AP297" s="31">
        <v>4.919999999999999</v>
      </c>
      <c r="AQ297" s="31">
        <v>4.5999999999999996</v>
      </c>
      <c r="AR297" s="31">
        <v>4.5999999999999996</v>
      </c>
      <c r="AS297" s="31">
        <v>5.56</v>
      </c>
    </row>
    <row r="298" spans="1:67" x14ac:dyDescent="0.2">
      <c r="A298" s="5"/>
      <c r="B298" s="25"/>
      <c r="C298" s="26"/>
      <c r="D298" s="5"/>
      <c r="E298" s="5"/>
      <c r="F298" s="32"/>
      <c r="G298" s="9"/>
      <c r="H298" s="6"/>
      <c r="I298" s="7"/>
      <c r="J298" s="9"/>
      <c r="N298" s="9"/>
      <c r="O298" s="12"/>
      <c r="P298" s="12"/>
      <c r="S298" s="9"/>
      <c r="T298" s="18"/>
      <c r="U298" s="18"/>
      <c r="Y298" s="9" t="e">
        <f t="shared" si="4"/>
        <v>#DIV/0!</v>
      </c>
      <c r="Z298" s="19"/>
      <c r="AC298" s="11"/>
      <c r="AD298" s="9"/>
      <c r="AE298" s="14"/>
      <c r="AF298" s="13"/>
      <c r="AO298" s="34" t="s">
        <v>80</v>
      </c>
      <c r="AP298" s="31">
        <v>4</v>
      </c>
      <c r="AQ298" s="31">
        <v>3.7</v>
      </c>
      <c r="AR298" s="31">
        <v>3.7</v>
      </c>
      <c r="AS298" s="31">
        <v>4.5999999999999996</v>
      </c>
    </row>
    <row r="299" spans="1:67" x14ac:dyDescent="0.2">
      <c r="A299" s="5" t="s">
        <v>67</v>
      </c>
      <c r="B299" s="25">
        <v>43360</v>
      </c>
      <c r="C299" s="26">
        <v>0.6875</v>
      </c>
      <c r="D299" s="5" t="s">
        <v>113</v>
      </c>
      <c r="E299" s="5"/>
      <c r="F299" s="32">
        <v>63</v>
      </c>
      <c r="G299" s="9">
        <v>2</v>
      </c>
      <c r="H299" s="6">
        <v>3.1746031746031744E-2</v>
      </c>
      <c r="I299" s="7">
        <v>6.83E-2</v>
      </c>
      <c r="J299" s="9">
        <v>314.15899999999999</v>
      </c>
      <c r="K299" s="9">
        <v>1.0245</v>
      </c>
      <c r="L299" s="9">
        <v>15</v>
      </c>
      <c r="M299" s="14">
        <v>153.32308443142998</v>
      </c>
      <c r="N299" s="9">
        <v>1037</v>
      </c>
      <c r="O299" s="12" t="s">
        <v>86</v>
      </c>
      <c r="P299" s="12" t="s">
        <v>82</v>
      </c>
      <c r="Q299" s="9" t="s">
        <v>87</v>
      </c>
      <c r="R299" s="9" t="s">
        <v>84</v>
      </c>
      <c r="S299" s="9"/>
      <c r="T299" s="18">
        <v>28</v>
      </c>
      <c r="U299" s="18">
        <v>28</v>
      </c>
      <c r="V299" s="9">
        <v>3.7</v>
      </c>
      <c r="Y299" s="9">
        <f t="shared" si="4"/>
        <v>4293.046364080039</v>
      </c>
      <c r="Z299" s="19" t="s">
        <v>73</v>
      </c>
      <c r="AA299" s="8" t="s">
        <v>218</v>
      </c>
      <c r="AB299" s="8" t="s">
        <v>75</v>
      </c>
      <c r="AC299" s="11" t="s">
        <v>112</v>
      </c>
      <c r="AD299" s="9" t="s">
        <v>85</v>
      </c>
      <c r="AE299" s="14">
        <v>11.494030613333329</v>
      </c>
      <c r="AF299" s="13"/>
      <c r="AO299" s="34" t="s">
        <v>78</v>
      </c>
      <c r="AP299" s="31">
        <v>2.8</v>
      </c>
      <c r="AQ299" s="31">
        <v>2.8</v>
      </c>
      <c r="AR299" s="31">
        <v>2.8</v>
      </c>
      <c r="AS299" s="31">
        <v>2.8</v>
      </c>
      <c r="AT299" s="31">
        <v>1.9</v>
      </c>
      <c r="AU299" s="31">
        <v>3.7</v>
      </c>
    </row>
    <row r="300" spans="1:67" x14ac:dyDescent="0.2">
      <c r="A300" s="5" t="s">
        <v>67</v>
      </c>
      <c r="B300" s="25">
        <v>43360</v>
      </c>
      <c r="C300" s="26">
        <v>0.6875</v>
      </c>
      <c r="D300" s="5" t="s">
        <v>113</v>
      </c>
      <c r="E300" s="5"/>
      <c r="F300" s="32">
        <v>63</v>
      </c>
      <c r="G300" s="9">
        <v>2</v>
      </c>
      <c r="H300" s="6">
        <v>3.1746031746031744E-2</v>
      </c>
      <c r="I300" s="7">
        <v>6.83E-2</v>
      </c>
      <c r="J300" s="9">
        <v>314.15899999999999</v>
      </c>
      <c r="K300" s="9">
        <v>1.0245</v>
      </c>
      <c r="L300" s="9">
        <v>15</v>
      </c>
      <c r="M300" s="14">
        <v>153.32308443142998</v>
      </c>
      <c r="N300" s="9">
        <v>1733</v>
      </c>
      <c r="O300" s="12" t="s">
        <v>92</v>
      </c>
      <c r="P300" s="12" t="s">
        <v>82</v>
      </c>
      <c r="Q300" s="9" t="s">
        <v>89</v>
      </c>
      <c r="R300" s="9" t="s">
        <v>93</v>
      </c>
      <c r="S300" s="9"/>
      <c r="T300" s="18">
        <v>1</v>
      </c>
      <c r="U300" s="18">
        <v>1</v>
      </c>
      <c r="V300" s="9">
        <v>5.6</v>
      </c>
      <c r="Y300" s="9">
        <f t="shared" si="4"/>
        <v>153.32308443142998</v>
      </c>
      <c r="Z300" s="19" t="s">
        <v>73</v>
      </c>
      <c r="AA300" s="8" t="s">
        <v>218</v>
      </c>
      <c r="AB300" s="8" t="s">
        <v>75</v>
      </c>
      <c r="AC300" s="11" t="s">
        <v>112</v>
      </c>
      <c r="AD300" s="9" t="s">
        <v>91</v>
      </c>
      <c r="AE300" s="14">
        <v>76.353203359999995</v>
      </c>
      <c r="AF300" s="13"/>
      <c r="AO300" s="34" t="s">
        <v>78</v>
      </c>
      <c r="AP300" s="31">
        <v>5.6</v>
      </c>
      <c r="AQ300" s="31">
        <v>5.6</v>
      </c>
    </row>
    <row r="301" spans="1:67" x14ac:dyDescent="0.2">
      <c r="A301" s="5"/>
      <c r="B301" s="25"/>
      <c r="C301" s="26"/>
      <c r="D301" s="5"/>
      <c r="E301" s="5"/>
      <c r="F301" s="32"/>
      <c r="G301" s="9"/>
      <c r="H301" s="6"/>
      <c r="I301" s="7"/>
      <c r="J301" s="9"/>
      <c r="N301" s="9"/>
      <c r="O301" s="12"/>
      <c r="P301" s="12"/>
      <c r="S301" s="9"/>
      <c r="T301" s="18"/>
      <c r="U301" s="18"/>
      <c r="Y301" s="9" t="e">
        <f t="shared" si="4"/>
        <v>#DIV/0!</v>
      </c>
      <c r="Z301" s="19"/>
      <c r="AC301" s="11"/>
      <c r="AD301" s="9"/>
      <c r="AE301" s="14"/>
      <c r="AF301" s="13"/>
      <c r="AO301" s="34" t="s">
        <v>79</v>
      </c>
      <c r="AP301" s="31">
        <v>3.7</v>
      </c>
      <c r="AQ301" s="31">
        <v>3.7</v>
      </c>
    </row>
    <row r="302" spans="1:67" x14ac:dyDescent="0.2">
      <c r="A302" s="5" t="s">
        <v>67</v>
      </c>
      <c r="B302" s="25">
        <v>43360</v>
      </c>
      <c r="C302" s="26">
        <v>0.6875</v>
      </c>
      <c r="D302" s="5" t="s">
        <v>113</v>
      </c>
      <c r="E302" s="5"/>
      <c r="F302" s="32">
        <v>63</v>
      </c>
      <c r="G302" s="9">
        <v>2</v>
      </c>
      <c r="H302" s="6">
        <v>3.1746031746031744E-2</v>
      </c>
      <c r="I302" s="7">
        <v>6.83E-2</v>
      </c>
      <c r="J302" s="9">
        <v>314.15899999999999</v>
      </c>
      <c r="K302" s="9">
        <v>1.0245</v>
      </c>
      <c r="L302" s="9">
        <v>15</v>
      </c>
      <c r="M302" s="14">
        <v>153.32308443142998</v>
      </c>
      <c r="N302" s="9">
        <v>1419</v>
      </c>
      <c r="O302" s="12" t="s">
        <v>94</v>
      </c>
      <c r="P302" s="12" t="s">
        <v>82</v>
      </c>
      <c r="Q302" s="9" t="s">
        <v>95</v>
      </c>
      <c r="R302" s="9" t="s">
        <v>96</v>
      </c>
      <c r="S302" s="9"/>
      <c r="T302" s="18">
        <v>377</v>
      </c>
      <c r="U302" s="18">
        <v>755</v>
      </c>
      <c r="V302" s="9">
        <v>0.8</v>
      </c>
      <c r="W302" s="9">
        <v>0.8</v>
      </c>
      <c r="X302" s="9">
        <v>0.8</v>
      </c>
      <c r="Y302" s="9">
        <f t="shared" si="4"/>
        <v>57802.802830649096</v>
      </c>
      <c r="Z302" s="19" t="s">
        <v>97</v>
      </c>
      <c r="AA302" s="8" t="s">
        <v>218</v>
      </c>
      <c r="AB302" s="8" t="s">
        <v>75</v>
      </c>
      <c r="AC302" s="11" t="s">
        <v>112</v>
      </c>
      <c r="AD302" s="9" t="s">
        <v>85</v>
      </c>
      <c r="AE302" s="14">
        <v>0.18</v>
      </c>
      <c r="AF302" s="14">
        <v>0.18</v>
      </c>
      <c r="AG302" s="14">
        <v>0.18</v>
      </c>
      <c r="AH302" s="14">
        <v>0.18</v>
      </c>
      <c r="AI302" s="14">
        <v>0.18</v>
      </c>
      <c r="AJ302" s="14">
        <v>0.18</v>
      </c>
      <c r="AK302" s="14">
        <v>0.18</v>
      </c>
      <c r="AL302" s="14">
        <v>0.18</v>
      </c>
      <c r="AM302" s="14">
        <v>0.18</v>
      </c>
      <c r="AN302" s="14">
        <v>0.18</v>
      </c>
      <c r="AO302" s="35" t="s">
        <v>78</v>
      </c>
      <c r="AP302" s="31">
        <v>0.75200000000000033</v>
      </c>
      <c r="AQ302" s="31">
        <v>0.7</v>
      </c>
      <c r="AR302" s="31">
        <v>0.7</v>
      </c>
      <c r="AS302" s="31">
        <v>0.7</v>
      </c>
      <c r="AT302" s="31">
        <v>0.7</v>
      </c>
      <c r="AU302" s="31">
        <v>0.7</v>
      </c>
      <c r="AV302" s="31">
        <v>0.7</v>
      </c>
      <c r="AW302" s="31">
        <v>0.7</v>
      </c>
      <c r="AX302" s="31">
        <v>0.7</v>
      </c>
      <c r="AY302" s="31">
        <v>0.7</v>
      </c>
      <c r="AZ302" s="31">
        <v>0.7</v>
      </c>
      <c r="BA302" s="31">
        <v>0.7</v>
      </c>
      <c r="BB302" s="31">
        <v>0.7</v>
      </c>
      <c r="BC302" s="31">
        <v>0.8</v>
      </c>
      <c r="BD302" s="31">
        <v>0.8</v>
      </c>
      <c r="BE302" s="31">
        <v>0.8</v>
      </c>
      <c r="BF302" s="31">
        <v>0.8</v>
      </c>
      <c r="BG302" s="31">
        <v>0.8</v>
      </c>
      <c r="BH302" s="31">
        <v>0.8</v>
      </c>
      <c r="BI302" s="31">
        <v>0.8</v>
      </c>
      <c r="BJ302" s="31">
        <v>0.8</v>
      </c>
      <c r="BK302" s="31">
        <v>0.8</v>
      </c>
      <c r="BL302" s="31">
        <v>0.8</v>
      </c>
      <c r="BM302" s="31">
        <v>0.8</v>
      </c>
      <c r="BN302" s="31">
        <v>0.8</v>
      </c>
      <c r="BO302" s="31">
        <v>0.8</v>
      </c>
    </row>
    <row r="303" spans="1:67" x14ac:dyDescent="0.2">
      <c r="A303" s="5" t="s">
        <v>67</v>
      </c>
      <c r="B303" s="25">
        <v>43320</v>
      </c>
      <c r="C303" s="26">
        <v>0.74305555555555503</v>
      </c>
      <c r="D303" s="5" t="s">
        <v>219</v>
      </c>
      <c r="E303" s="5"/>
      <c r="F303" s="32">
        <v>64.5</v>
      </c>
      <c r="G303" s="9">
        <v>2</v>
      </c>
      <c r="H303" s="6">
        <v>3.1007751937984496E-2</v>
      </c>
      <c r="I303" s="7">
        <v>6.83E-2</v>
      </c>
      <c r="J303" s="9">
        <v>314.15899999999999</v>
      </c>
      <c r="K303" s="9">
        <v>0.4098</v>
      </c>
      <c r="L303" s="9">
        <v>6</v>
      </c>
      <c r="M303" s="14">
        <v>383.30771107857493</v>
      </c>
      <c r="N303" s="9">
        <v>190</v>
      </c>
      <c r="O303" s="12" t="s">
        <v>102</v>
      </c>
      <c r="P303" s="8" t="s">
        <v>70</v>
      </c>
      <c r="Q303" s="9" t="s">
        <v>103</v>
      </c>
      <c r="R303" s="9" t="s">
        <v>84</v>
      </c>
      <c r="S303" s="9"/>
      <c r="T303" s="18">
        <v>1</v>
      </c>
      <c r="U303" s="18">
        <v>1</v>
      </c>
      <c r="V303" s="9">
        <v>3.7</v>
      </c>
      <c r="Y303" s="9">
        <f t="shared" si="4"/>
        <v>383.30771107857493</v>
      </c>
      <c r="Z303" s="19" t="s">
        <v>73</v>
      </c>
      <c r="AA303" s="8" t="s">
        <v>220</v>
      </c>
      <c r="AB303" s="8" t="s">
        <v>75</v>
      </c>
      <c r="AC303" s="11" t="s">
        <v>221</v>
      </c>
      <c r="AD303" s="9" t="s">
        <v>104</v>
      </c>
      <c r="AE303" s="14">
        <v>39.782739567500002</v>
      </c>
      <c r="AF303" s="13"/>
      <c r="AO303" s="34" t="s">
        <v>78</v>
      </c>
      <c r="AP303" s="31">
        <v>3.7</v>
      </c>
      <c r="AQ303" s="31">
        <v>3.7</v>
      </c>
    </row>
    <row r="304" spans="1:67" x14ac:dyDescent="0.2">
      <c r="A304" s="5"/>
      <c r="B304" s="25"/>
      <c r="C304" s="26"/>
      <c r="D304" s="5"/>
      <c r="E304" s="5"/>
      <c r="F304" s="32"/>
      <c r="G304" s="9"/>
      <c r="H304" s="6"/>
      <c r="I304" s="7"/>
      <c r="J304" s="9"/>
      <c r="N304" s="9"/>
      <c r="O304" s="12"/>
      <c r="S304" s="9"/>
      <c r="T304" s="18"/>
      <c r="U304" s="18"/>
      <c r="Y304" s="9" t="e">
        <f t="shared" si="4"/>
        <v>#DIV/0!</v>
      </c>
      <c r="Z304" s="19"/>
      <c r="AC304" s="11"/>
      <c r="AD304" s="9"/>
      <c r="AE304" s="14"/>
      <c r="AF304" s="13"/>
      <c r="AO304" s="34" t="s">
        <v>79</v>
      </c>
      <c r="AP304" s="31">
        <v>3.7</v>
      </c>
      <c r="AQ304" s="31">
        <v>3.7</v>
      </c>
    </row>
    <row r="305" spans="1:67" x14ac:dyDescent="0.2">
      <c r="A305" s="5" t="s">
        <v>67</v>
      </c>
      <c r="B305" s="25">
        <v>43320</v>
      </c>
      <c r="C305" s="26">
        <v>0.74305555555555503</v>
      </c>
      <c r="D305" s="5" t="s">
        <v>219</v>
      </c>
      <c r="E305" s="5"/>
      <c r="F305" s="32">
        <v>64.5</v>
      </c>
      <c r="G305" s="9">
        <v>2</v>
      </c>
      <c r="H305" s="6">
        <v>3.1007751937984496E-2</v>
      </c>
      <c r="I305" s="7">
        <v>6.83E-2</v>
      </c>
      <c r="J305" s="9">
        <v>314.15899999999999</v>
      </c>
      <c r="K305" s="9">
        <v>0.4098</v>
      </c>
      <c r="L305" s="9">
        <v>6</v>
      </c>
      <c r="M305" s="14">
        <v>383.30771107857493</v>
      </c>
      <c r="N305" s="9">
        <v>1037</v>
      </c>
      <c r="O305" s="12" t="s">
        <v>86</v>
      </c>
      <c r="P305" s="12" t="s">
        <v>82</v>
      </c>
      <c r="Q305" s="9" t="s">
        <v>87</v>
      </c>
      <c r="R305" s="9" t="s">
        <v>84</v>
      </c>
      <c r="S305" s="9"/>
      <c r="T305" s="18">
        <v>17</v>
      </c>
      <c r="U305" s="18">
        <v>17</v>
      </c>
      <c r="V305" s="9">
        <v>2.8</v>
      </c>
      <c r="Y305" s="9">
        <f t="shared" si="4"/>
        <v>6516.2310883357732</v>
      </c>
      <c r="Z305" s="19" t="s">
        <v>73</v>
      </c>
      <c r="AA305" s="8" t="s">
        <v>220</v>
      </c>
      <c r="AB305" s="8" t="s">
        <v>75</v>
      </c>
      <c r="AC305" s="11" t="s">
        <v>221</v>
      </c>
      <c r="AD305" s="9" t="s">
        <v>85</v>
      </c>
      <c r="AE305" s="14">
        <v>6.3706209216666645</v>
      </c>
      <c r="AF305" s="13"/>
      <c r="AO305" s="34" t="s">
        <v>78</v>
      </c>
      <c r="AP305" s="31">
        <v>2.2600000000000002</v>
      </c>
      <c r="AQ305" s="31">
        <v>1.9</v>
      </c>
      <c r="AR305" s="31">
        <v>1.9</v>
      </c>
      <c r="AS305" s="31">
        <v>1.9</v>
      </c>
      <c r="AT305" s="31">
        <v>2.8</v>
      </c>
      <c r="AU305" s="31">
        <v>2.8</v>
      </c>
    </row>
    <row r="306" spans="1:67" x14ac:dyDescent="0.2">
      <c r="A306" s="5" t="s">
        <v>67</v>
      </c>
      <c r="B306" s="25">
        <v>43320</v>
      </c>
      <c r="C306" s="26">
        <v>0.74305555555555503</v>
      </c>
      <c r="D306" s="5" t="s">
        <v>219</v>
      </c>
      <c r="E306" s="5"/>
      <c r="F306" s="32">
        <v>64.5</v>
      </c>
      <c r="G306" s="9">
        <v>2</v>
      </c>
      <c r="H306" s="6">
        <v>3.1007751937984496E-2</v>
      </c>
      <c r="I306" s="7">
        <v>6.83E-2</v>
      </c>
      <c r="J306" s="9">
        <v>314.15899999999999</v>
      </c>
      <c r="K306" s="9">
        <v>0.4098</v>
      </c>
      <c r="L306" s="9">
        <v>6</v>
      </c>
      <c r="M306" s="14">
        <v>383.30771107857493</v>
      </c>
      <c r="N306" s="9">
        <v>1364</v>
      </c>
      <c r="O306" s="12" t="s">
        <v>88</v>
      </c>
      <c r="P306" s="12" t="s">
        <v>82</v>
      </c>
      <c r="Q306" s="9" t="s">
        <v>89</v>
      </c>
      <c r="R306" s="9" t="s">
        <v>90</v>
      </c>
      <c r="S306" s="9"/>
      <c r="T306" s="18">
        <v>1</v>
      </c>
      <c r="U306" s="18">
        <v>1</v>
      </c>
      <c r="V306" s="9">
        <v>8.1999999999999993</v>
      </c>
      <c r="Y306" s="9">
        <f t="shared" si="4"/>
        <v>383.30771107857493</v>
      </c>
      <c r="Z306" s="19" t="s">
        <v>73</v>
      </c>
      <c r="AA306" s="8" t="s">
        <v>220</v>
      </c>
      <c r="AB306" s="8" t="s">
        <v>75</v>
      </c>
      <c r="AC306" s="11" t="s">
        <v>221</v>
      </c>
      <c r="AD306" s="9" t="s">
        <v>91</v>
      </c>
      <c r="AE306" s="14">
        <v>242.92658833999991</v>
      </c>
      <c r="AF306" s="13"/>
      <c r="AO306" s="34" t="s">
        <v>78</v>
      </c>
      <c r="AP306" s="31">
        <v>8.1999999999999993</v>
      </c>
      <c r="AQ306" s="31">
        <v>8.1999999999999993</v>
      </c>
    </row>
    <row r="307" spans="1:67" x14ac:dyDescent="0.2">
      <c r="A307" s="5"/>
      <c r="B307" s="25"/>
      <c r="C307" s="26"/>
      <c r="D307" s="5"/>
      <c r="E307" s="5"/>
      <c r="F307" s="32"/>
      <c r="G307" s="9"/>
      <c r="H307" s="6"/>
      <c r="I307" s="7"/>
      <c r="J307" s="9"/>
      <c r="N307" s="9"/>
      <c r="O307" s="12"/>
      <c r="P307" s="12"/>
      <c r="S307" s="9"/>
      <c r="T307" s="18"/>
      <c r="U307" s="18"/>
      <c r="Y307" s="9" t="e">
        <f t="shared" si="4"/>
        <v>#DIV/0!</v>
      </c>
      <c r="Z307" s="19"/>
      <c r="AC307" s="11"/>
      <c r="AD307" s="9"/>
      <c r="AE307" s="14"/>
      <c r="AF307" s="13"/>
      <c r="AO307" s="34" t="s">
        <v>79</v>
      </c>
      <c r="AP307" s="31">
        <v>5.6</v>
      </c>
      <c r="AQ307" s="31">
        <v>5.6</v>
      </c>
    </row>
    <row r="308" spans="1:67" x14ac:dyDescent="0.2">
      <c r="A308" s="5" t="s">
        <v>67</v>
      </c>
      <c r="B308" s="25">
        <v>43320</v>
      </c>
      <c r="C308" s="26">
        <v>0.74305555555555503</v>
      </c>
      <c r="D308" s="5" t="s">
        <v>219</v>
      </c>
      <c r="E308" s="5"/>
      <c r="F308" s="32">
        <v>64.5</v>
      </c>
      <c r="G308" s="9">
        <v>2</v>
      </c>
      <c r="H308" s="6">
        <v>3.1007751937984496E-2</v>
      </c>
      <c r="I308" s="7">
        <v>6.83E-2</v>
      </c>
      <c r="J308" s="9">
        <v>314.15899999999999</v>
      </c>
      <c r="K308" s="9">
        <v>0.4098</v>
      </c>
      <c r="L308" s="9">
        <v>6</v>
      </c>
      <c r="M308" s="14">
        <v>383.30771107857493</v>
      </c>
      <c r="N308" s="9">
        <v>1733</v>
      </c>
      <c r="O308" s="12" t="s">
        <v>92</v>
      </c>
      <c r="P308" s="12" t="s">
        <v>82</v>
      </c>
      <c r="Q308" s="9" t="s">
        <v>89</v>
      </c>
      <c r="R308" s="9" t="s">
        <v>93</v>
      </c>
      <c r="S308" s="9"/>
      <c r="T308" s="18">
        <v>1</v>
      </c>
      <c r="U308" s="18">
        <v>1</v>
      </c>
      <c r="V308" s="9">
        <v>6.5</v>
      </c>
      <c r="Y308" s="9">
        <f t="shared" si="4"/>
        <v>383.30771107857493</v>
      </c>
      <c r="Z308" s="19" t="s">
        <v>73</v>
      </c>
      <c r="AA308" s="8" t="s">
        <v>220</v>
      </c>
      <c r="AB308" s="8" t="s">
        <v>75</v>
      </c>
      <c r="AC308" s="11" t="s">
        <v>221</v>
      </c>
      <c r="AD308" s="9" t="s">
        <v>91</v>
      </c>
      <c r="AE308" s="14">
        <v>112.822350875</v>
      </c>
      <c r="AF308" s="13"/>
      <c r="AO308" s="34" t="s">
        <v>78</v>
      </c>
      <c r="AP308" s="31">
        <v>6.5</v>
      </c>
      <c r="AQ308" s="31">
        <v>6.5</v>
      </c>
    </row>
    <row r="309" spans="1:67" x14ac:dyDescent="0.2">
      <c r="A309" s="5"/>
      <c r="B309" s="25"/>
      <c r="C309" s="26"/>
      <c r="D309" s="5"/>
      <c r="E309" s="5"/>
      <c r="F309" s="32"/>
      <c r="G309" s="9"/>
      <c r="H309" s="6"/>
      <c r="I309" s="7"/>
      <c r="J309" s="9"/>
      <c r="N309" s="9"/>
      <c r="O309" s="12"/>
      <c r="P309" s="12"/>
      <c r="S309" s="9"/>
      <c r="T309" s="18"/>
      <c r="U309" s="18"/>
      <c r="Y309" s="9" t="e">
        <f t="shared" si="4"/>
        <v>#DIV/0!</v>
      </c>
      <c r="Z309" s="19"/>
      <c r="AC309" s="11"/>
      <c r="AD309" s="9"/>
      <c r="AE309" s="14"/>
      <c r="AF309" s="13"/>
      <c r="AO309" s="34" t="s">
        <v>79</v>
      </c>
      <c r="AP309" s="31">
        <v>3.7</v>
      </c>
      <c r="AQ309" s="31">
        <v>3.7</v>
      </c>
    </row>
    <row r="310" spans="1:67" x14ac:dyDescent="0.2">
      <c r="A310" s="5" t="s">
        <v>67</v>
      </c>
      <c r="B310" s="25">
        <v>43320</v>
      </c>
      <c r="C310" s="26">
        <v>0.74305555555555503</v>
      </c>
      <c r="D310" s="5" t="s">
        <v>219</v>
      </c>
      <c r="E310" s="5"/>
      <c r="F310" s="32">
        <v>64.5</v>
      </c>
      <c r="G310" s="9">
        <v>2</v>
      </c>
      <c r="H310" s="6">
        <v>3.1007751937984496E-2</v>
      </c>
      <c r="I310" s="7">
        <v>6.83E-2</v>
      </c>
      <c r="J310" s="9">
        <v>314.15899999999999</v>
      </c>
      <c r="K310" s="9">
        <v>0.4098</v>
      </c>
      <c r="L310" s="9">
        <v>6</v>
      </c>
      <c r="M310" s="14">
        <v>383.30771107857493</v>
      </c>
      <c r="N310" s="9">
        <v>1419</v>
      </c>
      <c r="O310" s="12" t="s">
        <v>94</v>
      </c>
      <c r="P310" s="12" t="s">
        <v>82</v>
      </c>
      <c r="Q310" s="9" t="s">
        <v>95</v>
      </c>
      <c r="R310" s="9" t="s">
        <v>96</v>
      </c>
      <c r="S310" s="9"/>
      <c r="T310" s="18">
        <v>430</v>
      </c>
      <c r="U310" s="18">
        <v>865</v>
      </c>
      <c r="V310" s="9">
        <v>0.8</v>
      </c>
      <c r="W310" s="9">
        <v>0.8</v>
      </c>
      <c r="X310" s="9">
        <v>0.8</v>
      </c>
      <c r="Y310" s="9">
        <f t="shared" si="4"/>
        <v>164822.31576378722</v>
      </c>
      <c r="Z310" s="19" t="s">
        <v>97</v>
      </c>
      <c r="AA310" s="8" t="s">
        <v>220</v>
      </c>
      <c r="AB310" s="8" t="s">
        <v>75</v>
      </c>
      <c r="AC310" s="11" t="s">
        <v>221</v>
      </c>
      <c r="AD310" s="9" t="s">
        <v>85</v>
      </c>
      <c r="AE310" s="14">
        <v>0.18</v>
      </c>
      <c r="AF310" s="14">
        <v>0.18</v>
      </c>
      <c r="AG310" s="14">
        <v>0.18</v>
      </c>
      <c r="AH310" s="14">
        <v>0.18</v>
      </c>
      <c r="AI310" s="14">
        <v>0.18</v>
      </c>
      <c r="AJ310" s="14">
        <v>0.18</v>
      </c>
      <c r="AK310" s="14">
        <v>0.18</v>
      </c>
      <c r="AL310" s="14">
        <v>0.18</v>
      </c>
      <c r="AM310" s="14">
        <v>0.18</v>
      </c>
      <c r="AN310" s="14">
        <v>0.18</v>
      </c>
      <c r="AO310" s="35" t="s">
        <v>78</v>
      </c>
      <c r="AP310" s="31">
        <v>0.75200000000000033</v>
      </c>
      <c r="AQ310" s="31">
        <v>0.7</v>
      </c>
      <c r="AR310" s="31">
        <v>0.7</v>
      </c>
      <c r="AS310" s="31">
        <v>0.7</v>
      </c>
      <c r="AT310" s="31">
        <v>0.7</v>
      </c>
      <c r="AU310" s="31">
        <v>0.7</v>
      </c>
      <c r="AV310" s="31">
        <v>0.7</v>
      </c>
      <c r="AW310" s="31">
        <v>0.7</v>
      </c>
      <c r="AX310" s="31">
        <v>0.7</v>
      </c>
      <c r="AY310" s="31">
        <v>0.7</v>
      </c>
      <c r="AZ310" s="31">
        <v>0.7</v>
      </c>
      <c r="BA310" s="31">
        <v>0.7</v>
      </c>
      <c r="BB310" s="31">
        <v>0.7</v>
      </c>
      <c r="BC310" s="31">
        <v>0.8</v>
      </c>
      <c r="BD310" s="31">
        <v>0.8</v>
      </c>
      <c r="BE310" s="31">
        <v>0.8</v>
      </c>
      <c r="BF310" s="31">
        <v>0.8</v>
      </c>
      <c r="BG310" s="31">
        <v>0.8</v>
      </c>
      <c r="BH310" s="31">
        <v>0.8</v>
      </c>
      <c r="BI310" s="31">
        <v>0.8</v>
      </c>
      <c r="BJ310" s="31">
        <v>0.8</v>
      </c>
      <c r="BK310" s="31">
        <v>0.8</v>
      </c>
      <c r="BL310" s="31">
        <v>0.8</v>
      </c>
      <c r="BM310" s="31">
        <v>0.8</v>
      </c>
      <c r="BN310" s="31">
        <v>0.8</v>
      </c>
      <c r="BO310" s="31">
        <v>0.8</v>
      </c>
    </row>
    <row r="311" spans="1:67" x14ac:dyDescent="0.2">
      <c r="A311" s="5" t="s">
        <v>67</v>
      </c>
      <c r="B311" s="25">
        <v>43320</v>
      </c>
      <c r="C311" s="26">
        <v>0.74305555555555503</v>
      </c>
      <c r="D311" s="5" t="s">
        <v>219</v>
      </c>
      <c r="E311" s="5"/>
      <c r="F311" s="32">
        <v>64.5</v>
      </c>
      <c r="G311" s="9">
        <v>2</v>
      </c>
      <c r="H311" s="6">
        <v>3.1007751937984496E-2</v>
      </c>
      <c r="I311" s="7">
        <v>6.83E-2</v>
      </c>
      <c r="J311" s="9">
        <v>314.15899999999999</v>
      </c>
      <c r="K311" s="9">
        <v>0.4098</v>
      </c>
      <c r="L311" s="9">
        <v>6</v>
      </c>
      <c r="M311" s="14">
        <v>383.30771107857493</v>
      </c>
      <c r="N311" s="9">
        <v>1508</v>
      </c>
      <c r="O311" s="12" t="s">
        <v>132</v>
      </c>
      <c r="P311" s="12" t="s">
        <v>82</v>
      </c>
      <c r="Q311" s="9" t="s">
        <v>133</v>
      </c>
      <c r="R311" s="9" t="s">
        <v>84</v>
      </c>
      <c r="S311" s="9"/>
      <c r="T311" s="18">
        <v>1</v>
      </c>
      <c r="U311" s="18">
        <v>3</v>
      </c>
      <c r="V311" s="9">
        <v>1.9</v>
      </c>
      <c r="Y311" s="9">
        <f t="shared" si="4"/>
        <v>383.30771107857493</v>
      </c>
      <c r="Z311" s="19" t="s">
        <v>134</v>
      </c>
      <c r="AA311" s="8" t="s">
        <v>220</v>
      </c>
      <c r="AB311" s="8" t="s">
        <v>75</v>
      </c>
      <c r="AC311" s="11" t="s">
        <v>221</v>
      </c>
      <c r="AD311" s="9" t="s">
        <v>104</v>
      </c>
      <c r="AE311" s="14">
        <v>1.2087267524999998</v>
      </c>
      <c r="AF311" s="13"/>
      <c r="AO311" s="34" t="s">
        <v>78</v>
      </c>
      <c r="AP311" s="31">
        <v>1.8999999999999997</v>
      </c>
      <c r="AQ311" s="31">
        <v>1.9</v>
      </c>
      <c r="AR311" s="31">
        <v>1.9</v>
      </c>
      <c r="AS311" s="31">
        <v>1.9</v>
      </c>
    </row>
    <row r="312" spans="1:67" x14ac:dyDescent="0.2">
      <c r="A312" s="5"/>
      <c r="B312" s="25"/>
      <c r="C312" s="26"/>
      <c r="D312" s="5"/>
      <c r="E312" s="5"/>
      <c r="F312" s="32"/>
      <c r="G312" s="9"/>
      <c r="H312" s="6"/>
      <c r="I312" s="7"/>
      <c r="J312" s="9"/>
      <c r="N312" s="9"/>
      <c r="O312" s="12"/>
      <c r="P312" s="12"/>
      <c r="S312" s="9"/>
      <c r="T312" s="18"/>
      <c r="U312" s="18"/>
      <c r="Y312" s="9" t="e">
        <f t="shared" si="4"/>
        <v>#DIV/0!</v>
      </c>
      <c r="Z312" s="19"/>
      <c r="AC312" s="11"/>
      <c r="AD312" s="9"/>
      <c r="AE312" s="14"/>
      <c r="AF312" s="13"/>
      <c r="AO312" s="34" t="s">
        <v>79</v>
      </c>
      <c r="AP312" s="31">
        <v>0.9</v>
      </c>
      <c r="AQ312" s="31">
        <v>0.9</v>
      </c>
      <c r="AR312" s="31">
        <v>0.9</v>
      </c>
      <c r="AS312" s="31">
        <v>0.9</v>
      </c>
    </row>
    <row r="313" spans="1:67" x14ac:dyDescent="0.2">
      <c r="A313" s="5" t="s">
        <v>67</v>
      </c>
      <c r="B313" s="25">
        <v>43320</v>
      </c>
      <c r="C313" s="26">
        <v>0.72013888888888899</v>
      </c>
      <c r="D313" s="5" t="s">
        <v>222</v>
      </c>
      <c r="E313" s="5">
        <v>3</v>
      </c>
      <c r="F313" s="32">
        <v>61.5</v>
      </c>
      <c r="G313" s="9">
        <v>2</v>
      </c>
      <c r="H313" s="6">
        <v>3.2520325203252036E-2</v>
      </c>
      <c r="I313" s="7">
        <v>6.83E-2</v>
      </c>
      <c r="J313" s="9">
        <v>314.15899999999999</v>
      </c>
      <c r="K313" s="9">
        <v>0.47809999999999997</v>
      </c>
      <c r="L313" s="9">
        <v>7</v>
      </c>
      <c r="M313" s="14">
        <v>328.54946663877848</v>
      </c>
      <c r="N313" s="9">
        <v>190</v>
      </c>
      <c r="O313" s="12" t="s">
        <v>102</v>
      </c>
      <c r="P313" s="8" t="s">
        <v>70</v>
      </c>
      <c r="Q313" s="9" t="s">
        <v>103</v>
      </c>
      <c r="R313" s="9" t="s">
        <v>84</v>
      </c>
      <c r="S313" s="9"/>
      <c r="T313" s="18">
        <v>5</v>
      </c>
      <c r="U313" s="18">
        <v>5</v>
      </c>
      <c r="V313" s="9">
        <v>5.6</v>
      </c>
      <c r="Y313" s="9">
        <f t="shared" si="4"/>
        <v>1642.7473331938927</v>
      </c>
      <c r="Z313" s="19" t="s">
        <v>73</v>
      </c>
      <c r="AA313" s="8" t="s">
        <v>223</v>
      </c>
      <c r="AB313" s="8" t="s">
        <v>75</v>
      </c>
      <c r="AC313" s="11" t="s">
        <v>76</v>
      </c>
      <c r="AD313" s="9" t="s">
        <v>104</v>
      </c>
      <c r="AE313" s="14">
        <v>50.177475479999998</v>
      </c>
      <c r="AF313" s="13"/>
      <c r="AO313" s="34" t="s">
        <v>78</v>
      </c>
      <c r="AP313" s="31">
        <v>3.34</v>
      </c>
      <c r="AQ313" s="31">
        <v>2.8</v>
      </c>
      <c r="AR313" s="31">
        <v>2.8</v>
      </c>
      <c r="AS313" s="31">
        <v>3.7</v>
      </c>
      <c r="AT313" s="31">
        <v>3.7</v>
      </c>
      <c r="AU313" s="31">
        <v>3.7</v>
      </c>
    </row>
    <row r="314" spans="1:67" x14ac:dyDescent="0.2">
      <c r="A314" s="5"/>
      <c r="B314" s="25"/>
      <c r="C314" s="26"/>
      <c r="D314" s="5"/>
      <c r="E314" s="5"/>
      <c r="F314" s="32"/>
      <c r="G314" s="9"/>
      <c r="H314" s="6"/>
      <c r="I314" s="7"/>
      <c r="J314" s="9"/>
      <c r="N314" s="9"/>
      <c r="O314" s="12"/>
      <c r="S314" s="9"/>
      <c r="T314" s="18"/>
      <c r="U314" s="18"/>
      <c r="Y314" s="9" t="e">
        <f t="shared" si="4"/>
        <v>#DIV/0!</v>
      </c>
      <c r="Z314" s="19"/>
      <c r="AC314" s="11"/>
      <c r="AD314" s="9"/>
      <c r="AE314" s="14"/>
      <c r="AF314" s="13"/>
      <c r="AO314" s="34" t="s">
        <v>79</v>
      </c>
      <c r="AP314" s="31">
        <v>4.4400000000000004</v>
      </c>
      <c r="AQ314" s="31">
        <v>3.7</v>
      </c>
      <c r="AR314" s="31">
        <v>3.7</v>
      </c>
      <c r="AS314" s="31">
        <v>4.5999999999999996</v>
      </c>
      <c r="AT314" s="31">
        <v>5.6</v>
      </c>
      <c r="AU314" s="31">
        <v>4.5999999999999996</v>
      </c>
    </row>
    <row r="315" spans="1:67" x14ac:dyDescent="0.2">
      <c r="A315" s="5" t="s">
        <v>67</v>
      </c>
      <c r="B315" s="25">
        <v>43320</v>
      </c>
      <c r="C315" s="26">
        <v>0.72013888888888899</v>
      </c>
      <c r="D315" s="5" t="s">
        <v>222</v>
      </c>
      <c r="E315" s="5">
        <v>3</v>
      </c>
      <c r="F315" s="32">
        <v>61.5</v>
      </c>
      <c r="G315" s="9">
        <v>2</v>
      </c>
      <c r="H315" s="6">
        <v>3.2520325203252036E-2</v>
      </c>
      <c r="I315" s="7">
        <v>6.83E-2</v>
      </c>
      <c r="J315" s="9">
        <v>314.15899999999999</v>
      </c>
      <c r="K315" s="9">
        <v>0.47809999999999997</v>
      </c>
      <c r="L315" s="9">
        <v>7</v>
      </c>
      <c r="M315" s="14">
        <v>328.54946663877848</v>
      </c>
      <c r="N315" s="9">
        <v>1037</v>
      </c>
      <c r="O315" s="12" t="s">
        <v>86</v>
      </c>
      <c r="P315" s="12" t="s">
        <v>82</v>
      </c>
      <c r="Q315" s="9" t="s">
        <v>87</v>
      </c>
      <c r="R315" s="9" t="s">
        <v>84</v>
      </c>
      <c r="S315" s="9"/>
      <c r="T315" s="18">
        <v>19</v>
      </c>
      <c r="U315" s="18">
        <v>19</v>
      </c>
      <c r="V315" s="9">
        <v>3.7</v>
      </c>
      <c r="Y315" s="9">
        <f t="shared" si="4"/>
        <v>6242.4398661367914</v>
      </c>
      <c r="Z315" s="19" t="s">
        <v>73</v>
      </c>
      <c r="AA315" s="8" t="s">
        <v>223</v>
      </c>
      <c r="AB315" s="8" t="s">
        <v>75</v>
      </c>
      <c r="AC315" s="11" t="s">
        <v>76</v>
      </c>
      <c r="AD315" s="9" t="s">
        <v>85</v>
      </c>
      <c r="AE315" s="14">
        <v>11.494030613333329</v>
      </c>
      <c r="AF315" s="13"/>
      <c r="AO315" s="34" t="s">
        <v>78</v>
      </c>
      <c r="AP315" s="31">
        <v>2.8</v>
      </c>
      <c r="AQ315" s="31">
        <v>2.8</v>
      </c>
      <c r="AR315" s="31">
        <v>2.8</v>
      </c>
      <c r="AS315" s="31">
        <v>1.9</v>
      </c>
      <c r="AT315" s="31">
        <v>3.7</v>
      </c>
      <c r="AU315" s="31">
        <v>2.8</v>
      </c>
    </row>
    <row r="316" spans="1:67" x14ac:dyDescent="0.2">
      <c r="A316" s="5" t="s">
        <v>67</v>
      </c>
      <c r="B316" s="25">
        <v>43320</v>
      </c>
      <c r="C316" s="26">
        <v>0.72013888888888899</v>
      </c>
      <c r="D316" s="5" t="s">
        <v>222</v>
      </c>
      <c r="E316" s="5">
        <v>3</v>
      </c>
      <c r="F316" s="32">
        <v>61.5</v>
      </c>
      <c r="G316" s="9">
        <v>2</v>
      </c>
      <c r="H316" s="6">
        <v>3.2520325203252036E-2</v>
      </c>
      <c r="I316" s="7">
        <v>6.83E-2</v>
      </c>
      <c r="J316" s="9">
        <v>314.15899999999999</v>
      </c>
      <c r="K316" s="9">
        <v>0.47809999999999997</v>
      </c>
      <c r="L316" s="9">
        <v>7</v>
      </c>
      <c r="M316" s="14">
        <v>328.54946663877848</v>
      </c>
      <c r="N316" s="9">
        <v>1364</v>
      </c>
      <c r="O316" s="12" t="s">
        <v>88</v>
      </c>
      <c r="P316" s="12" t="s">
        <v>82</v>
      </c>
      <c r="Q316" s="9" t="s">
        <v>89</v>
      </c>
      <c r="R316" s="9" t="s">
        <v>90</v>
      </c>
      <c r="S316" s="9"/>
      <c r="T316" s="18">
        <v>1</v>
      </c>
      <c r="U316" s="18">
        <v>1</v>
      </c>
      <c r="V316" s="9">
        <v>11.1</v>
      </c>
      <c r="Y316" s="9">
        <f t="shared" si="4"/>
        <v>328.54946663877848</v>
      </c>
      <c r="Z316" s="19" t="s">
        <v>73</v>
      </c>
      <c r="AA316" s="8" t="s">
        <v>223</v>
      </c>
      <c r="AB316" s="8" t="s">
        <v>75</v>
      </c>
      <c r="AC316" s="11" t="s">
        <v>76</v>
      </c>
      <c r="AD316" s="9" t="s">
        <v>91</v>
      </c>
      <c r="AE316" s="14">
        <v>538.67979792749986</v>
      </c>
      <c r="AF316" s="13"/>
      <c r="AO316" s="34" t="s">
        <v>78</v>
      </c>
      <c r="AP316" s="31">
        <v>11.1</v>
      </c>
      <c r="AQ316" s="31">
        <v>11.1</v>
      </c>
    </row>
    <row r="317" spans="1:67" x14ac:dyDescent="0.2">
      <c r="A317" s="5"/>
      <c r="B317" s="25"/>
      <c r="C317" s="26"/>
      <c r="D317" s="5"/>
      <c r="E317" s="5"/>
      <c r="F317" s="32"/>
      <c r="G317" s="9"/>
      <c r="H317" s="6"/>
      <c r="I317" s="7"/>
      <c r="J317" s="9"/>
      <c r="N317" s="9"/>
      <c r="O317" s="12"/>
      <c r="P317" s="12"/>
      <c r="S317" s="9"/>
      <c r="T317" s="18"/>
      <c r="U317" s="18"/>
      <c r="Y317" s="9" t="e">
        <f t="shared" si="4"/>
        <v>#DIV/0!</v>
      </c>
      <c r="Z317" s="19"/>
      <c r="AC317" s="11"/>
      <c r="AD317" s="9"/>
      <c r="AE317" s="14"/>
      <c r="AF317" s="13"/>
      <c r="AO317" s="34" t="s">
        <v>79</v>
      </c>
      <c r="AP317" s="31">
        <v>5.6</v>
      </c>
      <c r="AQ317" s="31">
        <v>5.6</v>
      </c>
    </row>
    <row r="318" spans="1:67" x14ac:dyDescent="0.2">
      <c r="A318" s="5" t="s">
        <v>67</v>
      </c>
      <c r="B318" s="25">
        <v>43320</v>
      </c>
      <c r="C318" s="26">
        <v>0.72013888888888899</v>
      </c>
      <c r="D318" s="5" t="s">
        <v>222</v>
      </c>
      <c r="E318" s="5">
        <v>3</v>
      </c>
      <c r="F318" s="32">
        <v>61.5</v>
      </c>
      <c r="G318" s="9">
        <v>2</v>
      </c>
      <c r="H318" s="6">
        <v>3.2520325203252036E-2</v>
      </c>
      <c r="I318" s="7">
        <v>6.83E-2</v>
      </c>
      <c r="J318" s="9">
        <v>314.15899999999999</v>
      </c>
      <c r="K318" s="9">
        <v>0.47809999999999997</v>
      </c>
      <c r="L318" s="9">
        <v>7</v>
      </c>
      <c r="M318" s="14">
        <v>328.54946663877848</v>
      </c>
      <c r="N318" s="9">
        <v>1733</v>
      </c>
      <c r="O318" s="12" t="s">
        <v>92</v>
      </c>
      <c r="P318" s="12" t="s">
        <v>82</v>
      </c>
      <c r="Q318" s="9" t="s">
        <v>89</v>
      </c>
      <c r="R318" s="9" t="s">
        <v>93</v>
      </c>
      <c r="S318" s="9"/>
      <c r="T318" s="18">
        <v>1</v>
      </c>
      <c r="U318" s="18">
        <v>1</v>
      </c>
      <c r="V318" s="9">
        <v>5.6</v>
      </c>
      <c r="Y318" s="9">
        <f t="shared" si="4"/>
        <v>328.54946663877848</v>
      </c>
      <c r="Z318" s="19" t="s">
        <v>73</v>
      </c>
      <c r="AA318" s="8" t="s">
        <v>223</v>
      </c>
      <c r="AB318" s="8" t="s">
        <v>75</v>
      </c>
      <c r="AC318" s="11" t="s">
        <v>76</v>
      </c>
      <c r="AD318" s="9" t="s">
        <v>91</v>
      </c>
      <c r="AE318" s="14">
        <v>76.353203359999995</v>
      </c>
      <c r="AF318" s="13"/>
      <c r="AO318" s="34" t="s">
        <v>78</v>
      </c>
      <c r="AP318" s="31">
        <v>5.6</v>
      </c>
      <c r="AQ318" s="31">
        <v>5.6</v>
      </c>
    </row>
    <row r="319" spans="1:67" x14ac:dyDescent="0.2">
      <c r="A319" s="5"/>
      <c r="B319" s="25"/>
      <c r="C319" s="26"/>
      <c r="D319" s="5"/>
      <c r="E319" s="5"/>
      <c r="F319" s="32"/>
      <c r="G319" s="9"/>
      <c r="H319" s="6"/>
      <c r="I319" s="7"/>
      <c r="J319" s="9"/>
      <c r="N319" s="9"/>
      <c r="O319" s="12"/>
      <c r="P319" s="12"/>
      <c r="S319" s="9"/>
      <c r="T319" s="18"/>
      <c r="U319" s="18"/>
      <c r="Y319" s="9" t="e">
        <f t="shared" si="4"/>
        <v>#DIV/0!</v>
      </c>
      <c r="Z319" s="19"/>
      <c r="AC319" s="11"/>
      <c r="AD319" s="9"/>
      <c r="AE319" s="14"/>
      <c r="AF319" s="13"/>
      <c r="AO319" s="34" t="s">
        <v>79</v>
      </c>
      <c r="AP319" s="31">
        <v>3.7</v>
      </c>
      <c r="AQ319" s="31">
        <v>3.7</v>
      </c>
    </row>
    <row r="320" spans="1:67" x14ac:dyDescent="0.2">
      <c r="A320" s="5" t="s">
        <v>67</v>
      </c>
      <c r="B320" s="25">
        <v>43320</v>
      </c>
      <c r="C320" s="26">
        <v>0.72013888888888899</v>
      </c>
      <c r="D320" s="5" t="s">
        <v>222</v>
      </c>
      <c r="E320" s="5">
        <v>3</v>
      </c>
      <c r="F320" s="32">
        <v>61.5</v>
      </c>
      <c r="G320" s="9">
        <v>2</v>
      </c>
      <c r="H320" s="6">
        <v>3.2520325203252036E-2</v>
      </c>
      <c r="I320" s="7">
        <v>6.83E-2</v>
      </c>
      <c r="J320" s="9">
        <v>314.15899999999999</v>
      </c>
      <c r="K320" s="9">
        <v>0.47809999999999997</v>
      </c>
      <c r="L320" s="9">
        <v>7</v>
      </c>
      <c r="M320" s="14">
        <v>328.54946663877848</v>
      </c>
      <c r="N320" s="9">
        <v>1419</v>
      </c>
      <c r="O320" s="12" t="s">
        <v>94</v>
      </c>
      <c r="P320" s="12" t="s">
        <v>82</v>
      </c>
      <c r="Q320" s="9" t="s">
        <v>95</v>
      </c>
      <c r="R320" s="9" t="s">
        <v>96</v>
      </c>
      <c r="S320" s="9"/>
      <c r="T320" s="18">
        <v>395</v>
      </c>
      <c r="U320" s="18">
        <v>797</v>
      </c>
      <c r="V320" s="9">
        <v>0.8</v>
      </c>
      <c r="W320" s="9">
        <v>0.8</v>
      </c>
      <c r="X320" s="9">
        <v>0.8</v>
      </c>
      <c r="Y320" s="9">
        <f t="shared" si="4"/>
        <v>129777.03932231751</v>
      </c>
      <c r="Z320" s="19" t="s">
        <v>97</v>
      </c>
      <c r="AA320" s="8" t="s">
        <v>223</v>
      </c>
      <c r="AB320" s="8" t="s">
        <v>75</v>
      </c>
      <c r="AC320" s="11" t="s">
        <v>76</v>
      </c>
      <c r="AD320" s="9" t="s">
        <v>85</v>
      </c>
      <c r="AE320" s="14">
        <v>0.18</v>
      </c>
      <c r="AF320" s="14">
        <v>0.18</v>
      </c>
      <c r="AG320" s="14">
        <v>0.18</v>
      </c>
      <c r="AH320" s="14">
        <v>0.18</v>
      </c>
      <c r="AI320" s="14">
        <v>0.18</v>
      </c>
      <c r="AJ320" s="14">
        <v>0.18</v>
      </c>
      <c r="AK320" s="14">
        <v>0.18</v>
      </c>
      <c r="AL320" s="14">
        <v>0.18</v>
      </c>
      <c r="AM320" s="14">
        <v>0.18</v>
      </c>
      <c r="AN320" s="14">
        <v>0.18</v>
      </c>
      <c r="AO320" s="35" t="s">
        <v>78</v>
      </c>
      <c r="AP320" s="31">
        <v>0.75200000000000033</v>
      </c>
      <c r="AQ320" s="31">
        <v>0.7</v>
      </c>
      <c r="AR320" s="31">
        <v>0.7</v>
      </c>
      <c r="AS320" s="31">
        <v>0.7</v>
      </c>
      <c r="AT320" s="31">
        <v>0.7</v>
      </c>
      <c r="AU320" s="31">
        <v>0.7</v>
      </c>
      <c r="AV320" s="31">
        <v>0.7</v>
      </c>
      <c r="AW320" s="31">
        <v>0.7</v>
      </c>
      <c r="AX320" s="31">
        <v>0.7</v>
      </c>
      <c r="AY320" s="31">
        <v>0.7</v>
      </c>
      <c r="AZ320" s="31">
        <v>0.7</v>
      </c>
      <c r="BA320" s="31">
        <v>0.7</v>
      </c>
      <c r="BB320" s="31">
        <v>0.7</v>
      </c>
      <c r="BC320" s="31">
        <v>0.8</v>
      </c>
      <c r="BD320" s="31">
        <v>0.8</v>
      </c>
      <c r="BE320" s="31">
        <v>0.8</v>
      </c>
      <c r="BF320" s="31">
        <v>0.8</v>
      </c>
      <c r="BG320" s="31">
        <v>0.8</v>
      </c>
      <c r="BH320" s="31">
        <v>0.8</v>
      </c>
      <c r="BI320" s="31">
        <v>0.8</v>
      </c>
      <c r="BJ320" s="31">
        <v>0.8</v>
      </c>
      <c r="BK320" s="31">
        <v>0.8</v>
      </c>
      <c r="BL320" s="31">
        <v>0.8</v>
      </c>
      <c r="BM320" s="31">
        <v>0.8</v>
      </c>
      <c r="BN320" s="31">
        <v>0.8</v>
      </c>
      <c r="BO320" s="31">
        <v>0.8</v>
      </c>
    </row>
    <row r="321" spans="1:67" x14ac:dyDescent="0.2">
      <c r="A321" s="5" t="s">
        <v>67</v>
      </c>
      <c r="B321" s="25">
        <v>43320</v>
      </c>
      <c r="C321" s="26">
        <v>0.72013888888888899</v>
      </c>
      <c r="D321" s="5" t="s">
        <v>222</v>
      </c>
      <c r="E321" s="5">
        <v>3</v>
      </c>
      <c r="F321" s="32">
        <v>61.5</v>
      </c>
      <c r="G321" s="9">
        <v>2</v>
      </c>
      <c r="H321" s="6">
        <v>3.2520325203252036E-2</v>
      </c>
      <c r="I321" s="7">
        <v>6.83E-2</v>
      </c>
      <c r="J321" s="9">
        <v>314.15899999999999</v>
      </c>
      <c r="K321" s="9">
        <v>0.47809999999999997</v>
      </c>
      <c r="L321" s="9">
        <v>7</v>
      </c>
      <c r="M321" s="14">
        <v>328.54946663877848</v>
      </c>
      <c r="N321" s="9">
        <v>1420</v>
      </c>
      <c r="O321" s="12" t="s">
        <v>98</v>
      </c>
      <c r="P321" s="12" t="s">
        <v>82</v>
      </c>
      <c r="Q321" s="9" t="s">
        <v>95</v>
      </c>
      <c r="R321" s="9" t="s">
        <v>99</v>
      </c>
      <c r="S321" s="9"/>
      <c r="T321" s="18">
        <v>1</v>
      </c>
      <c r="U321" s="18">
        <v>2</v>
      </c>
      <c r="V321" s="9">
        <v>1.9</v>
      </c>
      <c r="Y321" s="9">
        <f t="shared" si="4"/>
        <v>328.54946663877848</v>
      </c>
      <c r="Z321" s="19" t="s">
        <v>97</v>
      </c>
      <c r="AA321" s="8" t="s">
        <v>223</v>
      </c>
      <c r="AB321" s="8" t="s">
        <v>75</v>
      </c>
      <c r="AC321" s="11" t="s">
        <v>76</v>
      </c>
      <c r="AD321" s="9" t="s">
        <v>85</v>
      </c>
      <c r="AE321" s="14">
        <v>3.5913609683333325</v>
      </c>
      <c r="AF321" s="13"/>
      <c r="AO321" s="34" t="s">
        <v>78</v>
      </c>
      <c r="AP321" s="31">
        <v>1.9</v>
      </c>
      <c r="AQ321" s="31">
        <v>1.9</v>
      </c>
      <c r="AR321" s="31">
        <v>1.9</v>
      </c>
    </row>
    <row r="322" spans="1:67" x14ac:dyDescent="0.2">
      <c r="A322" s="5" t="s">
        <v>67</v>
      </c>
      <c r="B322" s="25">
        <v>43320</v>
      </c>
      <c r="C322" s="26">
        <v>0.73333333333333295</v>
      </c>
      <c r="D322" s="5" t="s">
        <v>224</v>
      </c>
      <c r="E322" s="5"/>
      <c r="F322" s="32">
        <v>62</v>
      </c>
      <c r="G322" s="9">
        <v>2</v>
      </c>
      <c r="H322" s="6">
        <v>3.2258064516129031E-2</v>
      </c>
      <c r="I322" s="7">
        <v>6.83E-2</v>
      </c>
      <c r="J322" s="9">
        <v>314.15899999999999</v>
      </c>
      <c r="K322" s="9">
        <v>0.47809999999999997</v>
      </c>
      <c r="L322" s="9">
        <v>7</v>
      </c>
      <c r="M322" s="14">
        <v>328.54946663877848</v>
      </c>
      <c r="N322" s="9">
        <v>749</v>
      </c>
      <c r="O322" s="12" t="s">
        <v>190</v>
      </c>
      <c r="P322" s="8" t="s">
        <v>70</v>
      </c>
      <c r="Q322" s="9" t="s">
        <v>191</v>
      </c>
      <c r="R322" s="9" t="s">
        <v>84</v>
      </c>
      <c r="S322" s="9"/>
      <c r="T322" s="18">
        <v>2</v>
      </c>
      <c r="U322" s="18">
        <v>2</v>
      </c>
      <c r="V322" s="9">
        <v>22.2</v>
      </c>
      <c r="Y322" s="9">
        <f t="shared" si="4"/>
        <v>657.09893327755697</v>
      </c>
      <c r="Z322" s="19" t="s">
        <v>73</v>
      </c>
      <c r="AA322" s="8" t="s">
        <v>225</v>
      </c>
      <c r="AB322" s="8" t="s">
        <v>75</v>
      </c>
      <c r="AC322" s="11" t="s">
        <v>76</v>
      </c>
      <c r="AD322" s="9" t="s">
        <v>193</v>
      </c>
      <c r="AE322" s="14">
        <v>102.56399999999998</v>
      </c>
      <c r="AF322" s="13"/>
      <c r="AO322" s="34" t="s">
        <v>78</v>
      </c>
      <c r="AP322" s="31">
        <v>22.2</v>
      </c>
      <c r="AQ322" s="31">
        <v>22.2</v>
      </c>
      <c r="AR322" s="31">
        <v>22.2</v>
      </c>
    </row>
    <row r="323" spans="1:67" x14ac:dyDescent="0.2">
      <c r="A323" s="5"/>
      <c r="B323" s="25"/>
      <c r="C323" s="26"/>
      <c r="D323" s="5"/>
      <c r="E323" s="5"/>
      <c r="F323" s="32"/>
      <c r="G323" s="9"/>
      <c r="H323" s="6"/>
      <c r="I323" s="7"/>
      <c r="J323" s="9"/>
      <c r="N323" s="9"/>
      <c r="O323" s="12"/>
      <c r="S323" s="9"/>
      <c r="T323" s="18"/>
      <c r="U323" s="18"/>
      <c r="Y323" s="9" t="e">
        <f t="shared" ref="Y323:Y386" si="5">(T323*J323)/(G323*I323*L323)</f>
        <v>#DIV/0!</v>
      </c>
      <c r="Z323" s="19"/>
      <c r="AC323" s="11"/>
      <c r="AD323" s="9"/>
      <c r="AE323" s="14"/>
      <c r="AF323" s="13"/>
      <c r="AO323" s="34" t="s">
        <v>79</v>
      </c>
      <c r="AP323" s="31">
        <v>3.25</v>
      </c>
      <c r="AQ323" s="31">
        <v>3.7</v>
      </c>
      <c r="AR323" s="31">
        <v>2.8</v>
      </c>
    </row>
    <row r="324" spans="1:67" x14ac:dyDescent="0.2">
      <c r="A324" s="5"/>
      <c r="B324" s="25"/>
      <c r="C324" s="26"/>
      <c r="D324" s="5"/>
      <c r="E324" s="5"/>
      <c r="F324" s="32"/>
      <c r="G324" s="9"/>
      <c r="H324" s="6"/>
      <c r="I324" s="7"/>
      <c r="J324" s="9"/>
      <c r="N324" s="9"/>
      <c r="O324" s="12"/>
      <c r="S324" s="9"/>
      <c r="T324" s="18"/>
      <c r="U324" s="18"/>
      <c r="Y324" s="9" t="e">
        <f t="shared" si="5"/>
        <v>#DIV/0!</v>
      </c>
      <c r="Z324" s="19"/>
      <c r="AC324" s="11"/>
      <c r="AD324" s="9"/>
      <c r="AE324" s="14"/>
      <c r="AF324" s="13"/>
      <c r="AO324" s="34" t="s">
        <v>80</v>
      </c>
      <c r="AP324" s="31">
        <v>2.8</v>
      </c>
      <c r="AQ324" s="31">
        <v>2.8</v>
      </c>
      <c r="AR324" s="31">
        <v>2.8</v>
      </c>
    </row>
    <row r="325" spans="1:67" x14ac:dyDescent="0.2">
      <c r="A325" s="5" t="s">
        <v>67</v>
      </c>
      <c r="B325" s="25">
        <v>43320</v>
      </c>
      <c r="C325" s="26">
        <v>0.73333333333333295</v>
      </c>
      <c r="D325" s="5" t="s">
        <v>224</v>
      </c>
      <c r="E325" s="5"/>
      <c r="F325" s="32">
        <v>62</v>
      </c>
      <c r="G325" s="9">
        <v>2</v>
      </c>
      <c r="H325" s="6">
        <v>3.2258064516129031E-2</v>
      </c>
      <c r="I325" s="7">
        <v>6.83E-2</v>
      </c>
      <c r="J325" s="9">
        <v>314.15899999999999</v>
      </c>
      <c r="K325" s="9">
        <v>0.47809999999999997</v>
      </c>
      <c r="L325" s="9">
        <v>7</v>
      </c>
      <c r="M325" s="14">
        <v>328.54946663877848</v>
      </c>
      <c r="N325" s="9">
        <v>1031</v>
      </c>
      <c r="O325" s="12" t="s">
        <v>172</v>
      </c>
      <c r="P325" s="12" t="s">
        <v>82</v>
      </c>
      <c r="Q325" s="9" t="s">
        <v>83</v>
      </c>
      <c r="R325" s="9" t="s">
        <v>84</v>
      </c>
      <c r="S325" s="9"/>
      <c r="T325" s="18">
        <v>1</v>
      </c>
      <c r="U325" s="18">
        <v>1</v>
      </c>
      <c r="V325" s="9">
        <v>9.3000000000000007</v>
      </c>
      <c r="Y325" s="9">
        <f t="shared" si="5"/>
        <v>328.54946663877848</v>
      </c>
      <c r="Z325" s="19" t="s">
        <v>73</v>
      </c>
      <c r="AA325" s="8" t="s">
        <v>225</v>
      </c>
      <c r="AB325" s="8" t="s">
        <v>75</v>
      </c>
      <c r="AC325" s="11" t="s">
        <v>76</v>
      </c>
      <c r="AD325" s="9" t="s">
        <v>85</v>
      </c>
      <c r="AE325" s="14">
        <v>201.79060887999995</v>
      </c>
      <c r="AF325" s="13"/>
      <c r="AO325" s="34" t="s">
        <v>78</v>
      </c>
      <c r="AP325" s="31">
        <v>9.3000000000000007</v>
      </c>
      <c r="AQ325" s="31">
        <v>9.3000000000000007</v>
      </c>
    </row>
    <row r="326" spans="1:67" x14ac:dyDescent="0.2">
      <c r="A326" s="5"/>
      <c r="B326" s="25"/>
      <c r="C326" s="26"/>
      <c r="D326" s="5"/>
      <c r="E326" s="5"/>
      <c r="F326" s="32"/>
      <c r="G326" s="9"/>
      <c r="H326" s="6"/>
      <c r="I326" s="7"/>
      <c r="J326" s="9"/>
      <c r="N326" s="9"/>
      <c r="O326" s="12"/>
      <c r="P326" s="12"/>
      <c r="S326" s="9"/>
      <c r="T326" s="18"/>
      <c r="U326" s="18"/>
      <c r="Y326" s="9" t="e">
        <f t="shared" si="5"/>
        <v>#DIV/0!</v>
      </c>
      <c r="Z326" s="19"/>
      <c r="AC326" s="11"/>
      <c r="AD326" s="9"/>
      <c r="AE326" s="14"/>
      <c r="AF326" s="13"/>
      <c r="AO326" s="34" t="s">
        <v>79</v>
      </c>
      <c r="AP326" s="31">
        <v>7.4</v>
      </c>
      <c r="AQ326" s="31">
        <v>7.4</v>
      </c>
    </row>
    <row r="327" spans="1:67" x14ac:dyDescent="0.2">
      <c r="A327" s="5"/>
      <c r="B327" s="25"/>
      <c r="C327" s="26"/>
      <c r="D327" s="5"/>
      <c r="E327" s="5"/>
      <c r="F327" s="32"/>
      <c r="G327" s="9"/>
      <c r="H327" s="6"/>
      <c r="I327" s="7"/>
      <c r="J327" s="9"/>
      <c r="N327" s="9"/>
      <c r="O327" s="12"/>
      <c r="P327" s="12"/>
      <c r="S327" s="9"/>
      <c r="T327" s="18"/>
      <c r="U327" s="18"/>
      <c r="Y327" s="9" t="e">
        <f t="shared" si="5"/>
        <v>#DIV/0!</v>
      </c>
      <c r="Z327" s="19"/>
      <c r="AC327" s="11"/>
      <c r="AD327" s="9"/>
      <c r="AE327" s="14"/>
      <c r="AF327" s="13"/>
      <c r="AO327" s="34" t="s">
        <v>80</v>
      </c>
      <c r="AP327" s="31">
        <v>5.6</v>
      </c>
      <c r="AQ327" s="31">
        <v>5.6</v>
      </c>
    </row>
    <row r="328" spans="1:67" x14ac:dyDescent="0.2">
      <c r="A328" s="5" t="s">
        <v>67</v>
      </c>
      <c r="B328" s="25">
        <v>43320</v>
      </c>
      <c r="C328" s="26">
        <v>0.73333333333333295</v>
      </c>
      <c r="D328" s="5" t="s">
        <v>224</v>
      </c>
      <c r="E328" s="5"/>
      <c r="F328" s="32">
        <v>62</v>
      </c>
      <c r="G328" s="9">
        <v>2</v>
      </c>
      <c r="H328" s="6">
        <v>3.2258064516129031E-2</v>
      </c>
      <c r="I328" s="7">
        <v>6.83E-2</v>
      </c>
      <c r="J328" s="9">
        <v>314.15899999999999</v>
      </c>
      <c r="K328" s="9">
        <v>0.47809999999999997</v>
      </c>
      <c r="L328" s="9">
        <v>7</v>
      </c>
      <c r="M328" s="14">
        <v>328.54946663877848</v>
      </c>
      <c r="N328" s="9">
        <v>1037</v>
      </c>
      <c r="O328" s="12" t="s">
        <v>86</v>
      </c>
      <c r="P328" s="12" t="s">
        <v>82</v>
      </c>
      <c r="Q328" s="9" t="s">
        <v>87</v>
      </c>
      <c r="R328" s="9" t="s">
        <v>84</v>
      </c>
      <c r="S328" s="9"/>
      <c r="T328" s="18">
        <v>9</v>
      </c>
      <c r="U328" s="18">
        <v>9</v>
      </c>
      <c r="V328" s="9">
        <v>2.8</v>
      </c>
      <c r="Y328" s="9">
        <f t="shared" si="5"/>
        <v>2956.9451997490069</v>
      </c>
      <c r="Z328" s="19" t="s">
        <v>73</v>
      </c>
      <c r="AA328" s="8" t="s">
        <v>225</v>
      </c>
      <c r="AB328" s="8" t="s">
        <v>75</v>
      </c>
      <c r="AC328" s="11" t="s">
        <v>76</v>
      </c>
      <c r="AD328" s="9" t="s">
        <v>85</v>
      </c>
      <c r="AE328" s="14">
        <v>9.2027643066666673</v>
      </c>
      <c r="AF328" s="13"/>
      <c r="AO328" s="34" t="s">
        <v>78</v>
      </c>
      <c r="AP328" s="31">
        <v>2.6199999999999997</v>
      </c>
      <c r="AQ328" s="31">
        <v>1.9</v>
      </c>
      <c r="AR328" s="31">
        <v>2.8</v>
      </c>
      <c r="AS328" s="31">
        <v>2.8</v>
      </c>
      <c r="AT328" s="31">
        <v>2.8</v>
      </c>
      <c r="AU328" s="31">
        <v>2.8</v>
      </c>
    </row>
    <row r="329" spans="1:67" x14ac:dyDescent="0.2">
      <c r="A329" s="5" t="s">
        <v>67</v>
      </c>
      <c r="B329" s="25">
        <v>43320</v>
      </c>
      <c r="C329" s="26">
        <v>0.73333333333333295</v>
      </c>
      <c r="D329" s="5" t="s">
        <v>224</v>
      </c>
      <c r="E329" s="5"/>
      <c r="F329" s="32">
        <v>62</v>
      </c>
      <c r="G329" s="9">
        <v>2</v>
      </c>
      <c r="H329" s="6">
        <v>3.2258064516129031E-2</v>
      </c>
      <c r="I329" s="7">
        <v>6.83E-2</v>
      </c>
      <c r="J329" s="9">
        <v>314.15899999999999</v>
      </c>
      <c r="K329" s="9">
        <v>0.47809999999999997</v>
      </c>
      <c r="L329" s="9">
        <v>7</v>
      </c>
      <c r="M329" s="14">
        <v>328.54946663877848</v>
      </c>
      <c r="N329" s="9">
        <v>1419</v>
      </c>
      <c r="O329" s="12" t="s">
        <v>94</v>
      </c>
      <c r="P329" s="12" t="s">
        <v>82</v>
      </c>
      <c r="Q329" s="9" t="s">
        <v>95</v>
      </c>
      <c r="R329" s="9" t="s">
        <v>96</v>
      </c>
      <c r="S329" s="9"/>
      <c r="T329" s="18">
        <v>441</v>
      </c>
      <c r="U329" s="18">
        <v>882</v>
      </c>
      <c r="V329" s="9">
        <v>0.8</v>
      </c>
      <c r="W329" s="9">
        <v>0.8</v>
      </c>
      <c r="X329" s="9">
        <v>0.8</v>
      </c>
      <c r="Y329" s="9">
        <f t="shared" si="5"/>
        <v>144890.31478770133</v>
      </c>
      <c r="Z329" s="19" t="s">
        <v>97</v>
      </c>
      <c r="AA329" s="8" t="s">
        <v>225</v>
      </c>
      <c r="AB329" s="8" t="s">
        <v>75</v>
      </c>
      <c r="AC329" s="11" t="s">
        <v>76</v>
      </c>
      <c r="AD329" s="9" t="s">
        <v>85</v>
      </c>
      <c r="AE329" s="14">
        <v>0.18</v>
      </c>
      <c r="AF329" s="14">
        <v>0.18</v>
      </c>
      <c r="AG329" s="14">
        <v>0.18</v>
      </c>
      <c r="AH329" s="14">
        <v>0.18</v>
      </c>
      <c r="AI329" s="14">
        <v>0.18</v>
      </c>
      <c r="AJ329" s="14">
        <v>0.18</v>
      </c>
      <c r="AK329" s="14">
        <v>0.18</v>
      </c>
      <c r="AL329" s="14">
        <v>0.18</v>
      </c>
      <c r="AM329" s="14">
        <v>0.18</v>
      </c>
      <c r="AN329" s="14">
        <v>0.18</v>
      </c>
      <c r="AO329" s="35" t="s">
        <v>78</v>
      </c>
      <c r="AP329" s="31">
        <v>0.75200000000000033</v>
      </c>
      <c r="AQ329" s="31">
        <v>0.7</v>
      </c>
      <c r="AR329" s="31">
        <v>0.7</v>
      </c>
      <c r="AS329" s="31">
        <v>0.7</v>
      </c>
      <c r="AT329" s="31">
        <v>0.7</v>
      </c>
      <c r="AU329" s="31">
        <v>0.7</v>
      </c>
      <c r="AV329" s="31">
        <v>0.7</v>
      </c>
      <c r="AW329" s="31">
        <v>0.7</v>
      </c>
      <c r="AX329" s="31">
        <v>0.7</v>
      </c>
      <c r="AY329" s="31">
        <v>0.7</v>
      </c>
      <c r="AZ329" s="31">
        <v>0.7</v>
      </c>
      <c r="BA329" s="31">
        <v>0.7</v>
      </c>
      <c r="BB329" s="31">
        <v>0.7</v>
      </c>
      <c r="BC329" s="31">
        <v>0.8</v>
      </c>
      <c r="BD329" s="31">
        <v>0.8</v>
      </c>
      <c r="BE329" s="31">
        <v>0.8</v>
      </c>
      <c r="BF329" s="31">
        <v>0.8</v>
      </c>
      <c r="BG329" s="31">
        <v>0.8</v>
      </c>
      <c r="BH329" s="31">
        <v>0.8</v>
      </c>
      <c r="BI329" s="31">
        <v>0.8</v>
      </c>
      <c r="BJ329" s="31">
        <v>0.8</v>
      </c>
      <c r="BK329" s="31">
        <v>0.8</v>
      </c>
      <c r="BL329" s="31">
        <v>0.8</v>
      </c>
      <c r="BM329" s="31">
        <v>0.8</v>
      </c>
      <c r="BN329" s="31">
        <v>0.8</v>
      </c>
      <c r="BO329" s="31">
        <v>0.8</v>
      </c>
    </row>
    <row r="330" spans="1:67" x14ac:dyDescent="0.2">
      <c r="A330" s="5" t="s">
        <v>67</v>
      </c>
      <c r="B330" s="25">
        <v>43320</v>
      </c>
      <c r="C330" s="26">
        <v>0.73333333333333295</v>
      </c>
      <c r="D330" s="5" t="s">
        <v>224</v>
      </c>
      <c r="E330" s="5"/>
      <c r="F330" s="32">
        <v>62</v>
      </c>
      <c r="G330" s="9">
        <v>2</v>
      </c>
      <c r="H330" s="6">
        <v>3.2258064516129031E-2</v>
      </c>
      <c r="I330" s="7">
        <v>6.83E-2</v>
      </c>
      <c r="J330" s="9">
        <v>314.15899999999999</v>
      </c>
      <c r="K330" s="9">
        <v>0.47809999999999997</v>
      </c>
      <c r="L330" s="9">
        <v>7</v>
      </c>
      <c r="M330" s="14">
        <v>328.54946663877848</v>
      </c>
      <c r="N330" s="9">
        <v>1420</v>
      </c>
      <c r="O330" s="12" t="s">
        <v>98</v>
      </c>
      <c r="P330" s="12" t="s">
        <v>82</v>
      </c>
      <c r="Q330" s="9" t="s">
        <v>95</v>
      </c>
      <c r="R330" s="9" t="s">
        <v>99</v>
      </c>
      <c r="S330" s="9"/>
      <c r="T330" s="18">
        <v>1</v>
      </c>
      <c r="U330" s="18">
        <v>2</v>
      </c>
      <c r="V330" s="9">
        <v>1.9</v>
      </c>
      <c r="Y330" s="9">
        <f t="shared" si="5"/>
        <v>328.54946663877848</v>
      </c>
      <c r="Z330" s="19" t="s">
        <v>97</v>
      </c>
      <c r="AA330" s="8" t="s">
        <v>225</v>
      </c>
      <c r="AB330" s="8" t="s">
        <v>75</v>
      </c>
      <c r="AC330" s="11" t="s">
        <v>76</v>
      </c>
      <c r="AD330" s="9" t="s">
        <v>85</v>
      </c>
      <c r="AE330" s="14">
        <v>3.5913609683333325</v>
      </c>
      <c r="AF330" s="13"/>
      <c r="AO330" s="34" t="s">
        <v>78</v>
      </c>
      <c r="AP330" s="31">
        <v>1.9</v>
      </c>
      <c r="AQ330" s="31">
        <v>1.9</v>
      </c>
      <c r="AR330" s="31">
        <v>1.9</v>
      </c>
    </row>
    <row r="331" spans="1:67" x14ac:dyDescent="0.2">
      <c r="A331" s="5" t="s">
        <v>67</v>
      </c>
      <c r="B331" s="25">
        <v>43320</v>
      </c>
      <c r="C331" s="26">
        <v>0.69444444444444497</v>
      </c>
      <c r="D331" s="5" t="s">
        <v>226</v>
      </c>
      <c r="E331" s="5">
        <v>3</v>
      </c>
      <c r="F331" s="32">
        <v>62</v>
      </c>
      <c r="G331" s="9">
        <v>2</v>
      </c>
      <c r="H331" s="6">
        <v>3.2258064516129031E-2</v>
      </c>
      <c r="I331" s="7">
        <v>6.83E-2</v>
      </c>
      <c r="J331" s="9">
        <v>314.15899999999999</v>
      </c>
      <c r="K331" s="9">
        <v>0.47809999999999997</v>
      </c>
      <c r="L331" s="9">
        <v>7</v>
      </c>
      <c r="M331" s="14">
        <v>328.54946663877848</v>
      </c>
      <c r="N331" s="9">
        <v>46</v>
      </c>
      <c r="O331" s="12" t="s">
        <v>109</v>
      </c>
      <c r="P331" s="8" t="s">
        <v>70</v>
      </c>
      <c r="Q331" s="9" t="s">
        <v>110</v>
      </c>
      <c r="R331" s="9" t="s">
        <v>84</v>
      </c>
      <c r="S331" s="9"/>
      <c r="T331" s="18">
        <v>1</v>
      </c>
      <c r="U331" s="18">
        <v>1</v>
      </c>
      <c r="V331" s="9">
        <v>9.3000000000000007</v>
      </c>
      <c r="Y331" s="9">
        <f t="shared" si="5"/>
        <v>328.54946663877848</v>
      </c>
      <c r="Z331" s="19" t="s">
        <v>73</v>
      </c>
      <c r="AA331" s="8" t="s">
        <v>227</v>
      </c>
      <c r="AB331" s="8" t="s">
        <v>75</v>
      </c>
      <c r="AC331" s="11" t="s">
        <v>76</v>
      </c>
      <c r="AD331" s="9" t="s">
        <v>77</v>
      </c>
      <c r="AE331" s="14">
        <v>75.671478329999999</v>
      </c>
      <c r="AF331" s="13"/>
      <c r="AO331" s="34" t="s">
        <v>78</v>
      </c>
      <c r="AP331" s="31">
        <v>9.3000000000000007</v>
      </c>
      <c r="AQ331" s="31">
        <v>9.3000000000000007</v>
      </c>
    </row>
    <row r="332" spans="1:67" x14ac:dyDescent="0.2">
      <c r="A332" s="5"/>
      <c r="B332" s="25"/>
      <c r="C332" s="26"/>
      <c r="D332" s="5"/>
      <c r="E332" s="5"/>
      <c r="F332" s="32"/>
      <c r="G332" s="9"/>
      <c r="H332" s="6"/>
      <c r="I332" s="7"/>
      <c r="J332" s="9"/>
      <c r="N332" s="9"/>
      <c r="O332" s="12"/>
      <c r="S332" s="9"/>
      <c r="T332" s="18"/>
      <c r="U332" s="18"/>
      <c r="Y332" s="9" t="e">
        <f t="shared" si="5"/>
        <v>#DIV/0!</v>
      </c>
      <c r="Z332" s="19"/>
      <c r="AC332" s="11"/>
      <c r="AD332" s="9"/>
      <c r="AE332" s="14"/>
      <c r="AF332" s="13"/>
      <c r="AO332" s="34" t="s">
        <v>79</v>
      </c>
      <c r="AP332" s="31">
        <v>3.7</v>
      </c>
      <c r="AQ332" s="31">
        <v>3.7</v>
      </c>
    </row>
    <row r="333" spans="1:67" x14ac:dyDescent="0.2">
      <c r="A333" s="5"/>
      <c r="B333" s="25"/>
      <c r="C333" s="26"/>
      <c r="D333" s="5"/>
      <c r="E333" s="5"/>
      <c r="F333" s="32"/>
      <c r="G333" s="9"/>
      <c r="H333" s="6"/>
      <c r="I333" s="7"/>
      <c r="J333" s="9"/>
      <c r="N333" s="9"/>
      <c r="O333" s="12"/>
      <c r="S333" s="9"/>
      <c r="T333" s="18"/>
      <c r="U333" s="18"/>
      <c r="Y333" s="9" t="e">
        <f t="shared" si="5"/>
        <v>#DIV/0!</v>
      </c>
      <c r="Z333" s="19"/>
      <c r="AC333" s="11"/>
      <c r="AD333" s="9"/>
      <c r="AE333" s="14"/>
      <c r="AF333" s="13"/>
      <c r="AO333" s="34" t="s">
        <v>80</v>
      </c>
      <c r="AP333" s="31">
        <v>2.8</v>
      </c>
      <c r="AQ333" s="31">
        <v>2.8</v>
      </c>
    </row>
    <row r="334" spans="1:67" x14ac:dyDescent="0.2">
      <c r="A334" s="5" t="s">
        <v>67</v>
      </c>
      <c r="B334" s="25">
        <v>43320</v>
      </c>
      <c r="C334" s="26">
        <v>0.69444444444444497</v>
      </c>
      <c r="D334" s="5" t="s">
        <v>226</v>
      </c>
      <c r="E334" s="5">
        <v>3</v>
      </c>
      <c r="F334" s="32">
        <v>62</v>
      </c>
      <c r="G334" s="9">
        <v>2</v>
      </c>
      <c r="H334" s="6">
        <v>3.2258064516129031E-2</v>
      </c>
      <c r="I334" s="7">
        <v>6.83E-2</v>
      </c>
      <c r="J334" s="9">
        <v>314.15899999999999</v>
      </c>
      <c r="K334" s="9">
        <v>0.47809999999999997</v>
      </c>
      <c r="L334" s="9">
        <v>7</v>
      </c>
      <c r="M334" s="14">
        <v>328.54946663877848</v>
      </c>
      <c r="N334" s="9">
        <v>1031</v>
      </c>
      <c r="O334" s="12" t="s">
        <v>81</v>
      </c>
      <c r="P334" s="12" t="s">
        <v>82</v>
      </c>
      <c r="Q334" s="9" t="s">
        <v>83</v>
      </c>
      <c r="R334" s="9" t="s">
        <v>84</v>
      </c>
      <c r="S334" s="9"/>
      <c r="T334" s="18">
        <v>1</v>
      </c>
      <c r="U334" s="18">
        <v>1</v>
      </c>
      <c r="V334" s="9">
        <v>5.6</v>
      </c>
      <c r="Y334" s="9">
        <f t="shared" si="5"/>
        <v>328.54946663877848</v>
      </c>
      <c r="Z334" s="19" t="s">
        <v>73</v>
      </c>
      <c r="AA334" s="8" t="s">
        <v>227</v>
      </c>
      <c r="AB334" s="8" t="s">
        <v>75</v>
      </c>
      <c r="AC334" s="11" t="s">
        <v>76</v>
      </c>
      <c r="AD334" s="9" t="s">
        <v>85</v>
      </c>
      <c r="AE334" s="14">
        <v>49.905204346666665</v>
      </c>
      <c r="AF334" s="13"/>
      <c r="AO334" s="34" t="s">
        <v>78</v>
      </c>
      <c r="AP334" s="31">
        <v>5.6</v>
      </c>
      <c r="AQ334" s="31">
        <v>5.6</v>
      </c>
    </row>
    <row r="335" spans="1:67" x14ac:dyDescent="0.2">
      <c r="A335" s="5"/>
      <c r="B335" s="25"/>
      <c r="C335" s="26"/>
      <c r="D335" s="5"/>
      <c r="E335" s="5"/>
      <c r="F335" s="32"/>
      <c r="G335" s="9"/>
      <c r="H335" s="6"/>
      <c r="I335" s="7"/>
      <c r="J335" s="9"/>
      <c r="N335" s="9"/>
      <c r="O335" s="12"/>
      <c r="P335" s="12"/>
      <c r="S335" s="9"/>
      <c r="T335" s="18"/>
      <c r="U335" s="18"/>
      <c r="Y335" s="9" t="e">
        <f t="shared" si="5"/>
        <v>#DIV/0!</v>
      </c>
      <c r="Z335" s="19"/>
      <c r="AC335" s="11"/>
      <c r="AD335" s="9"/>
      <c r="AE335" s="14"/>
      <c r="AF335" s="13"/>
      <c r="AO335" s="34" t="s">
        <v>79</v>
      </c>
      <c r="AP335" s="31">
        <v>4.5999999999999996</v>
      </c>
      <c r="AQ335" s="31">
        <v>4.5999999999999996</v>
      </c>
    </row>
    <row r="336" spans="1:67" x14ac:dyDescent="0.2">
      <c r="A336" s="5"/>
      <c r="B336" s="25"/>
      <c r="C336" s="26"/>
      <c r="D336" s="5"/>
      <c r="E336" s="5"/>
      <c r="F336" s="32"/>
      <c r="G336" s="9"/>
      <c r="H336" s="6"/>
      <c r="I336" s="7"/>
      <c r="J336" s="9"/>
      <c r="N336" s="9"/>
      <c r="O336" s="12"/>
      <c r="P336" s="12"/>
      <c r="S336" s="9"/>
      <c r="T336" s="18"/>
      <c r="U336" s="18"/>
      <c r="Y336" s="9" t="e">
        <f t="shared" si="5"/>
        <v>#DIV/0!</v>
      </c>
      <c r="Z336" s="19"/>
      <c r="AC336" s="11"/>
      <c r="AD336" s="9"/>
      <c r="AE336" s="14"/>
      <c r="AF336" s="13"/>
      <c r="AO336" s="34" t="s">
        <v>80</v>
      </c>
      <c r="AP336" s="31">
        <v>3.7</v>
      </c>
      <c r="AQ336" s="31">
        <v>3.7</v>
      </c>
    </row>
    <row r="337" spans="1:67" x14ac:dyDescent="0.2">
      <c r="A337" s="5" t="s">
        <v>67</v>
      </c>
      <c r="B337" s="25">
        <v>43320</v>
      </c>
      <c r="C337" s="26">
        <v>0.69444444444444497</v>
      </c>
      <c r="D337" s="5" t="s">
        <v>226</v>
      </c>
      <c r="E337" s="5">
        <v>3</v>
      </c>
      <c r="F337" s="32">
        <v>62</v>
      </c>
      <c r="G337" s="9">
        <v>2</v>
      </c>
      <c r="H337" s="6">
        <v>3.2258064516129031E-2</v>
      </c>
      <c r="I337" s="7">
        <v>6.83E-2</v>
      </c>
      <c r="J337" s="9">
        <v>314.15899999999999</v>
      </c>
      <c r="K337" s="9">
        <v>0.47809999999999997</v>
      </c>
      <c r="L337" s="9">
        <v>7</v>
      </c>
      <c r="M337" s="14">
        <v>328.54946663877848</v>
      </c>
      <c r="N337" s="9">
        <v>1037</v>
      </c>
      <c r="O337" s="12" t="s">
        <v>86</v>
      </c>
      <c r="P337" s="12" t="s">
        <v>82</v>
      </c>
      <c r="Q337" s="9" t="s">
        <v>87</v>
      </c>
      <c r="R337" s="9" t="s">
        <v>84</v>
      </c>
      <c r="S337" s="9"/>
      <c r="T337" s="18">
        <v>15</v>
      </c>
      <c r="U337" s="18">
        <v>15</v>
      </c>
      <c r="V337" s="9">
        <v>2.8</v>
      </c>
      <c r="Y337" s="9">
        <f t="shared" si="5"/>
        <v>4928.2419995816781</v>
      </c>
      <c r="Z337" s="19" t="s">
        <v>73</v>
      </c>
      <c r="AA337" s="8" t="s">
        <v>227</v>
      </c>
      <c r="AB337" s="8" t="s">
        <v>75</v>
      </c>
      <c r="AC337" s="11" t="s">
        <v>76</v>
      </c>
      <c r="AD337" s="9" t="s">
        <v>85</v>
      </c>
      <c r="AE337" s="14">
        <v>6.3706209216666645</v>
      </c>
      <c r="AF337" s="13"/>
      <c r="AO337" s="34" t="s">
        <v>78</v>
      </c>
      <c r="AP337" s="31">
        <v>2.2600000000000002</v>
      </c>
      <c r="AQ337" s="31">
        <v>2.8</v>
      </c>
      <c r="AR337" s="31">
        <v>2.8</v>
      </c>
      <c r="AS337" s="31">
        <v>1.9</v>
      </c>
      <c r="AT337" s="31">
        <v>1.9</v>
      </c>
      <c r="AU337" s="31">
        <v>1.9</v>
      </c>
    </row>
    <row r="338" spans="1:67" x14ac:dyDescent="0.2">
      <c r="A338" s="5" t="s">
        <v>67</v>
      </c>
      <c r="B338" s="25">
        <v>43320</v>
      </c>
      <c r="C338" s="26">
        <v>0.69444444444444497</v>
      </c>
      <c r="D338" s="5" t="s">
        <v>226</v>
      </c>
      <c r="E338" s="5">
        <v>3</v>
      </c>
      <c r="F338" s="32">
        <v>62</v>
      </c>
      <c r="G338" s="9">
        <v>2</v>
      </c>
      <c r="H338" s="6">
        <v>3.2258064516129031E-2</v>
      </c>
      <c r="I338" s="7">
        <v>6.83E-2</v>
      </c>
      <c r="J338" s="9">
        <v>314.15899999999999</v>
      </c>
      <c r="K338" s="9">
        <v>0.47809999999999997</v>
      </c>
      <c r="L338" s="9">
        <v>7</v>
      </c>
      <c r="M338" s="14">
        <v>328.54946663877848</v>
      </c>
      <c r="N338" s="9">
        <v>1733</v>
      </c>
      <c r="O338" s="12" t="s">
        <v>92</v>
      </c>
      <c r="P338" s="12" t="s">
        <v>82</v>
      </c>
      <c r="Q338" s="9" t="s">
        <v>89</v>
      </c>
      <c r="R338" s="9" t="s">
        <v>93</v>
      </c>
      <c r="S338" s="9"/>
      <c r="T338" s="18">
        <v>4</v>
      </c>
      <c r="U338" s="18">
        <v>4</v>
      </c>
      <c r="V338" s="9">
        <v>7.4</v>
      </c>
      <c r="Y338" s="9">
        <f t="shared" si="5"/>
        <v>1314.1978665551139</v>
      </c>
      <c r="Z338" s="19" t="s">
        <v>73</v>
      </c>
      <c r="AA338" s="8" t="s">
        <v>227</v>
      </c>
      <c r="AB338" s="8" t="s">
        <v>75</v>
      </c>
      <c r="AC338" s="11" t="s">
        <v>76</v>
      </c>
      <c r="AD338" s="9" t="s">
        <v>91</v>
      </c>
      <c r="AE338" s="14">
        <v>112.822350875</v>
      </c>
      <c r="AF338" s="13"/>
      <c r="AO338" s="34" t="s">
        <v>78</v>
      </c>
      <c r="AP338" s="31">
        <v>6.5</v>
      </c>
      <c r="AQ338" s="31">
        <v>7.4</v>
      </c>
      <c r="AR338" s="31">
        <v>5.6</v>
      </c>
      <c r="AS338" s="31">
        <v>7.4</v>
      </c>
      <c r="AT338" s="31">
        <v>5.6</v>
      </c>
    </row>
    <row r="339" spans="1:67" x14ac:dyDescent="0.2">
      <c r="A339" s="5"/>
      <c r="B339" s="25"/>
      <c r="C339" s="26"/>
      <c r="D339" s="5"/>
      <c r="E339" s="5"/>
      <c r="F339" s="32"/>
      <c r="G339" s="9"/>
      <c r="H339" s="6"/>
      <c r="I339" s="7"/>
      <c r="J339" s="9"/>
      <c r="N339" s="9"/>
      <c r="O339" s="12"/>
      <c r="P339" s="12"/>
      <c r="S339" s="9"/>
      <c r="T339" s="18"/>
      <c r="U339" s="18"/>
      <c r="Y339" s="9" t="e">
        <f t="shared" si="5"/>
        <v>#DIV/0!</v>
      </c>
      <c r="Z339" s="19"/>
      <c r="AC339" s="11"/>
      <c r="AD339" s="9"/>
      <c r="AE339" s="14"/>
      <c r="AF339" s="13"/>
      <c r="AO339" s="34" t="s">
        <v>79</v>
      </c>
      <c r="AP339" s="31">
        <v>3.7</v>
      </c>
      <c r="AQ339" s="31">
        <v>3.7</v>
      </c>
      <c r="AR339" s="31">
        <v>3.7</v>
      </c>
      <c r="AS339" s="31">
        <v>3.7</v>
      </c>
      <c r="AT339" s="31">
        <v>3.7</v>
      </c>
    </row>
    <row r="340" spans="1:67" x14ac:dyDescent="0.2">
      <c r="A340" s="5" t="s">
        <v>67</v>
      </c>
      <c r="B340" s="25">
        <v>43320</v>
      </c>
      <c r="C340" s="26">
        <v>0.69444444444444497</v>
      </c>
      <c r="D340" s="5" t="s">
        <v>226</v>
      </c>
      <c r="E340" s="5">
        <v>3</v>
      </c>
      <c r="F340" s="32">
        <v>62</v>
      </c>
      <c r="G340" s="9">
        <v>2</v>
      </c>
      <c r="H340" s="6">
        <v>3.2258064516129031E-2</v>
      </c>
      <c r="I340" s="7">
        <v>6.83E-2</v>
      </c>
      <c r="J340" s="9">
        <v>314.15899999999999</v>
      </c>
      <c r="K340" s="9">
        <v>0.47809999999999997</v>
      </c>
      <c r="L340" s="9">
        <v>7</v>
      </c>
      <c r="M340" s="14">
        <v>328.54946663877848</v>
      </c>
      <c r="N340" s="9">
        <v>1419</v>
      </c>
      <c r="O340" s="12" t="s">
        <v>94</v>
      </c>
      <c r="P340" s="12" t="s">
        <v>82</v>
      </c>
      <c r="Q340" s="9" t="s">
        <v>95</v>
      </c>
      <c r="R340" s="9" t="s">
        <v>96</v>
      </c>
      <c r="S340" s="9"/>
      <c r="T340" s="18">
        <v>425</v>
      </c>
      <c r="U340" s="18">
        <v>854</v>
      </c>
      <c r="V340" s="9">
        <v>0.8</v>
      </c>
      <c r="W340" s="9">
        <v>0.8</v>
      </c>
      <c r="X340" s="9">
        <v>0.8</v>
      </c>
      <c r="Y340" s="9">
        <f t="shared" si="5"/>
        <v>139633.52332148084</v>
      </c>
      <c r="Z340" s="19" t="s">
        <v>97</v>
      </c>
      <c r="AA340" s="8" t="s">
        <v>227</v>
      </c>
      <c r="AB340" s="8" t="s">
        <v>75</v>
      </c>
      <c r="AC340" s="11" t="s">
        <v>76</v>
      </c>
      <c r="AD340" s="9" t="s">
        <v>85</v>
      </c>
      <c r="AE340" s="14">
        <v>0.18</v>
      </c>
      <c r="AF340" s="14">
        <v>0.18</v>
      </c>
      <c r="AG340" s="14">
        <v>0.18</v>
      </c>
      <c r="AH340" s="14">
        <v>0.18</v>
      </c>
      <c r="AI340" s="14">
        <v>0.18</v>
      </c>
      <c r="AJ340" s="14">
        <v>0.18</v>
      </c>
      <c r="AK340" s="14">
        <v>0.18</v>
      </c>
      <c r="AL340" s="14">
        <v>0.18</v>
      </c>
      <c r="AM340" s="14">
        <v>0.18</v>
      </c>
      <c r="AN340" s="14">
        <v>0.18</v>
      </c>
      <c r="AO340" s="35" t="s">
        <v>78</v>
      </c>
      <c r="AP340" s="31">
        <v>0.75200000000000033</v>
      </c>
      <c r="AQ340" s="31">
        <v>0.7</v>
      </c>
      <c r="AR340" s="31">
        <v>0.7</v>
      </c>
      <c r="AS340" s="31">
        <v>0.7</v>
      </c>
      <c r="AT340" s="31">
        <v>0.7</v>
      </c>
      <c r="AU340" s="31">
        <v>0.7</v>
      </c>
      <c r="AV340" s="31">
        <v>0.7</v>
      </c>
      <c r="AW340" s="31">
        <v>0.7</v>
      </c>
      <c r="AX340" s="31">
        <v>0.7</v>
      </c>
      <c r="AY340" s="31">
        <v>0.7</v>
      </c>
      <c r="AZ340" s="31">
        <v>0.7</v>
      </c>
      <c r="BA340" s="31">
        <v>0.7</v>
      </c>
      <c r="BB340" s="31">
        <v>0.7</v>
      </c>
      <c r="BC340" s="31">
        <v>0.8</v>
      </c>
      <c r="BD340" s="31">
        <v>0.8</v>
      </c>
      <c r="BE340" s="31">
        <v>0.8</v>
      </c>
      <c r="BF340" s="31">
        <v>0.8</v>
      </c>
      <c r="BG340" s="31">
        <v>0.8</v>
      </c>
      <c r="BH340" s="31">
        <v>0.8</v>
      </c>
      <c r="BI340" s="31">
        <v>0.8</v>
      </c>
      <c r="BJ340" s="31">
        <v>0.8</v>
      </c>
      <c r="BK340" s="31">
        <v>0.8</v>
      </c>
      <c r="BL340" s="31">
        <v>0.8</v>
      </c>
      <c r="BM340" s="31">
        <v>0.8</v>
      </c>
      <c r="BN340" s="31">
        <v>0.8</v>
      </c>
      <c r="BO340" s="31">
        <v>0.8</v>
      </c>
    </row>
    <row r="341" spans="1:67" x14ac:dyDescent="0.2">
      <c r="A341" s="5" t="s">
        <v>67</v>
      </c>
      <c r="B341" s="25">
        <v>43320</v>
      </c>
      <c r="C341" s="26">
        <v>0.66944444444444395</v>
      </c>
      <c r="D341" s="5" t="s">
        <v>116</v>
      </c>
      <c r="E341" s="5"/>
      <c r="F341" s="32">
        <v>61</v>
      </c>
      <c r="G341" s="9">
        <v>2</v>
      </c>
      <c r="H341" s="6">
        <v>3.2786885245901641E-2</v>
      </c>
      <c r="I341" s="7">
        <v>6.83E-2</v>
      </c>
      <c r="J341" s="9">
        <v>314.15899999999999</v>
      </c>
      <c r="K341" s="9">
        <v>0.61470000000000002</v>
      </c>
      <c r="L341" s="9">
        <v>9</v>
      </c>
      <c r="M341" s="14">
        <v>255.53847405238326</v>
      </c>
      <c r="N341" s="9">
        <v>190</v>
      </c>
      <c r="O341" s="12" t="s">
        <v>102</v>
      </c>
      <c r="P341" s="8" t="s">
        <v>70</v>
      </c>
      <c r="Q341" s="9" t="s">
        <v>103</v>
      </c>
      <c r="R341" s="9" t="s">
        <v>84</v>
      </c>
      <c r="S341" s="9"/>
      <c r="T341" s="18">
        <v>1</v>
      </c>
      <c r="U341" s="18">
        <v>1</v>
      </c>
      <c r="V341" s="9">
        <v>7.4</v>
      </c>
      <c r="Y341" s="9">
        <f t="shared" si="5"/>
        <v>255.53847405238326</v>
      </c>
      <c r="Z341" s="19" t="s">
        <v>73</v>
      </c>
      <c r="AA341" s="8" t="s">
        <v>228</v>
      </c>
      <c r="AB341" s="8" t="s">
        <v>75</v>
      </c>
      <c r="AC341" s="11" t="s">
        <v>76</v>
      </c>
      <c r="AD341" s="9" t="s">
        <v>104</v>
      </c>
      <c r="AE341" s="14">
        <v>159.13095827000001</v>
      </c>
      <c r="AF341" s="13"/>
      <c r="AO341" s="34" t="s">
        <v>78</v>
      </c>
      <c r="AP341" s="31">
        <v>3.7</v>
      </c>
      <c r="AQ341" s="31">
        <v>3.7</v>
      </c>
    </row>
    <row r="342" spans="1:67" x14ac:dyDescent="0.2">
      <c r="A342" s="5"/>
      <c r="B342" s="25"/>
      <c r="C342" s="26"/>
      <c r="D342" s="5"/>
      <c r="E342" s="5"/>
      <c r="F342" s="32"/>
      <c r="G342" s="9"/>
      <c r="H342" s="6"/>
      <c r="I342" s="7"/>
      <c r="J342" s="9"/>
      <c r="N342" s="9"/>
      <c r="O342" s="12"/>
      <c r="S342" s="9"/>
      <c r="T342" s="18"/>
      <c r="U342" s="18"/>
      <c r="Y342" s="9" t="e">
        <f t="shared" si="5"/>
        <v>#DIV/0!</v>
      </c>
      <c r="Z342" s="19"/>
      <c r="AC342" s="11"/>
      <c r="AD342" s="9"/>
      <c r="AE342" s="14"/>
      <c r="AF342" s="13"/>
      <c r="AO342" s="34" t="s">
        <v>79</v>
      </c>
      <c r="AP342" s="31">
        <v>7.4</v>
      </c>
      <c r="AQ342" s="31">
        <v>7.4</v>
      </c>
    </row>
    <row r="343" spans="1:67" x14ac:dyDescent="0.2">
      <c r="A343" s="5" t="s">
        <v>67</v>
      </c>
      <c r="B343" s="25">
        <v>43320</v>
      </c>
      <c r="C343" s="26">
        <v>0.66944444444444395</v>
      </c>
      <c r="D343" s="5" t="s">
        <v>116</v>
      </c>
      <c r="E343" s="5"/>
      <c r="F343" s="32">
        <v>61</v>
      </c>
      <c r="G343" s="9">
        <v>2</v>
      </c>
      <c r="H343" s="6">
        <v>3.2786885245901641E-2</v>
      </c>
      <c r="I343" s="7">
        <v>6.83E-2</v>
      </c>
      <c r="J343" s="9">
        <v>314.15899999999999</v>
      </c>
      <c r="K343" s="9">
        <v>0.61470000000000002</v>
      </c>
      <c r="L343" s="9">
        <v>9</v>
      </c>
      <c r="M343" s="14">
        <v>255.53847405238326</v>
      </c>
      <c r="N343" s="9">
        <v>895</v>
      </c>
      <c r="O343" s="8" t="s">
        <v>229</v>
      </c>
      <c r="P343" s="8" t="s">
        <v>70</v>
      </c>
      <c r="Q343" s="9" t="s">
        <v>138</v>
      </c>
      <c r="R343" s="9" t="s">
        <v>84</v>
      </c>
      <c r="S343" s="9"/>
      <c r="T343" s="18">
        <v>3</v>
      </c>
      <c r="U343" s="18">
        <v>3</v>
      </c>
      <c r="V343" s="9">
        <v>5.6</v>
      </c>
      <c r="Y343" s="9">
        <f t="shared" si="5"/>
        <v>766.61542215714974</v>
      </c>
      <c r="Z343" s="19" t="s">
        <v>73</v>
      </c>
      <c r="AA343" s="8" t="s">
        <v>228</v>
      </c>
      <c r="AB343" s="8" t="s">
        <v>75</v>
      </c>
      <c r="AC343" s="11" t="s">
        <v>76</v>
      </c>
      <c r="AD343" s="9" t="s">
        <v>140</v>
      </c>
      <c r="AE343" s="14">
        <v>56.986086407499997</v>
      </c>
      <c r="AF343" s="13"/>
      <c r="AO343" s="34" t="s">
        <v>78</v>
      </c>
      <c r="AP343" s="31">
        <v>5.2666666666666666</v>
      </c>
      <c r="AQ343" s="31">
        <v>4.5999999999999996</v>
      </c>
      <c r="AR343" s="31">
        <v>5.6</v>
      </c>
      <c r="AS343" s="31">
        <v>5.6</v>
      </c>
    </row>
    <row r="344" spans="1:67" x14ac:dyDescent="0.2">
      <c r="A344" s="5"/>
      <c r="B344" s="25"/>
      <c r="C344" s="26"/>
      <c r="D344" s="5"/>
      <c r="E344" s="5"/>
      <c r="F344" s="32"/>
      <c r="G344" s="9"/>
      <c r="H344" s="6"/>
      <c r="I344" s="7"/>
      <c r="J344" s="9"/>
      <c r="N344" s="9"/>
      <c r="S344" s="9"/>
      <c r="T344" s="18"/>
      <c r="U344" s="18"/>
      <c r="Y344" s="9" t="e">
        <f t="shared" si="5"/>
        <v>#DIV/0!</v>
      </c>
      <c r="Z344" s="19"/>
      <c r="AC344" s="11"/>
      <c r="AD344" s="9"/>
      <c r="AE344" s="14"/>
      <c r="AF344" s="13"/>
      <c r="AO344" s="34" t="s">
        <v>79</v>
      </c>
      <c r="AP344" s="31">
        <v>3.7000000000000006</v>
      </c>
      <c r="AQ344" s="31">
        <v>3.7</v>
      </c>
      <c r="AR344" s="31">
        <v>3.7</v>
      </c>
      <c r="AS344" s="31">
        <v>3.7</v>
      </c>
    </row>
    <row r="345" spans="1:67" x14ac:dyDescent="0.2">
      <c r="A345" s="5" t="s">
        <v>67</v>
      </c>
      <c r="B345" s="25">
        <v>43320</v>
      </c>
      <c r="C345" s="26">
        <v>0.66944444444444395</v>
      </c>
      <c r="D345" s="5" t="s">
        <v>116</v>
      </c>
      <c r="E345" s="5"/>
      <c r="F345" s="32">
        <v>61</v>
      </c>
      <c r="G345" s="9">
        <v>2</v>
      </c>
      <c r="H345" s="6">
        <v>3.2786885245901641E-2</v>
      </c>
      <c r="I345" s="7">
        <v>6.83E-2</v>
      </c>
      <c r="J345" s="9">
        <v>314.15899999999999</v>
      </c>
      <c r="K345" s="9">
        <v>0.61470000000000002</v>
      </c>
      <c r="L345" s="9">
        <v>9</v>
      </c>
      <c r="M345" s="14">
        <v>255.53847405238326</v>
      </c>
      <c r="N345" s="9">
        <v>1037</v>
      </c>
      <c r="O345" s="12" t="s">
        <v>86</v>
      </c>
      <c r="P345" s="12" t="s">
        <v>82</v>
      </c>
      <c r="Q345" s="9" t="s">
        <v>87</v>
      </c>
      <c r="R345" s="9" t="s">
        <v>84</v>
      </c>
      <c r="S345" s="9"/>
      <c r="T345" s="18">
        <v>39</v>
      </c>
      <c r="U345" s="18">
        <v>39</v>
      </c>
      <c r="V345" s="9">
        <v>2.8</v>
      </c>
      <c r="Y345" s="9">
        <f t="shared" si="5"/>
        <v>9966.000488042946</v>
      </c>
      <c r="Z345" s="19" t="s">
        <v>73</v>
      </c>
      <c r="AA345" s="8" t="s">
        <v>228</v>
      </c>
      <c r="AB345" s="8" t="s">
        <v>75</v>
      </c>
      <c r="AC345" s="11" t="s">
        <v>76</v>
      </c>
      <c r="AD345" s="9" t="s">
        <v>85</v>
      </c>
      <c r="AE345" s="14">
        <v>9.2027643066666673</v>
      </c>
      <c r="AF345" s="13"/>
      <c r="AO345" s="34" t="s">
        <v>78</v>
      </c>
      <c r="AP345" s="31">
        <v>2.62</v>
      </c>
      <c r="AQ345" s="31">
        <v>2.8</v>
      </c>
      <c r="AR345" s="31">
        <v>2.8</v>
      </c>
      <c r="AS345" s="31">
        <v>1.9</v>
      </c>
      <c r="AT345" s="31">
        <v>2.8</v>
      </c>
      <c r="AU345" s="31">
        <v>2.8</v>
      </c>
    </row>
    <row r="346" spans="1:67" x14ac:dyDescent="0.2">
      <c r="A346" s="5" t="s">
        <v>67</v>
      </c>
      <c r="B346" s="25">
        <v>43320</v>
      </c>
      <c r="C346" s="26">
        <v>0.66944444444444395</v>
      </c>
      <c r="D346" s="5" t="s">
        <v>116</v>
      </c>
      <c r="E346" s="5"/>
      <c r="F346" s="32">
        <v>61</v>
      </c>
      <c r="G346" s="9">
        <v>2</v>
      </c>
      <c r="H346" s="6">
        <v>3.2786885245901641E-2</v>
      </c>
      <c r="I346" s="7">
        <v>6.83E-2</v>
      </c>
      <c r="J346" s="9">
        <v>314.15899999999999</v>
      </c>
      <c r="K346" s="9">
        <v>0.61470000000000002</v>
      </c>
      <c r="L346" s="9">
        <v>9</v>
      </c>
      <c r="M346" s="14">
        <v>255.53847405238326</v>
      </c>
      <c r="N346" s="9">
        <v>1352</v>
      </c>
      <c r="O346" s="12" t="s">
        <v>118</v>
      </c>
      <c r="P346" s="12" t="s">
        <v>82</v>
      </c>
      <c r="Q346" s="9" t="s">
        <v>119</v>
      </c>
      <c r="R346" s="9" t="s">
        <v>84</v>
      </c>
      <c r="S346" s="9"/>
      <c r="T346" s="18">
        <v>2</v>
      </c>
      <c r="U346" s="18">
        <v>2</v>
      </c>
      <c r="V346" s="9">
        <v>22.2</v>
      </c>
      <c r="Y346" s="9">
        <f t="shared" si="5"/>
        <v>511.07694810476653</v>
      </c>
      <c r="Z346" s="19" t="s">
        <v>73</v>
      </c>
      <c r="AA346" s="8" t="s">
        <v>228</v>
      </c>
      <c r="AB346" s="8" t="s">
        <v>75</v>
      </c>
      <c r="AC346" s="11" t="s">
        <v>76</v>
      </c>
      <c r="AD346" s="9" t="s">
        <v>120</v>
      </c>
      <c r="AE346" s="14">
        <v>1418.2105916916664</v>
      </c>
      <c r="AF346" s="13"/>
      <c r="AO346" s="34" t="s">
        <v>78</v>
      </c>
      <c r="AP346" s="31">
        <v>18.5</v>
      </c>
      <c r="AQ346" s="31">
        <v>14.8</v>
      </c>
      <c r="AR346" s="31">
        <v>22.2</v>
      </c>
    </row>
    <row r="347" spans="1:67" x14ac:dyDescent="0.2">
      <c r="A347" s="5"/>
      <c r="B347" s="25"/>
      <c r="C347" s="26"/>
      <c r="D347" s="5"/>
      <c r="E347" s="5"/>
      <c r="F347" s="32"/>
      <c r="G347" s="9"/>
      <c r="H347" s="6"/>
      <c r="I347" s="7"/>
      <c r="J347" s="9"/>
      <c r="N347" s="9"/>
      <c r="O347" s="12"/>
      <c r="P347" s="12"/>
      <c r="S347" s="9"/>
      <c r="T347" s="18"/>
      <c r="U347" s="18"/>
      <c r="Y347" s="9" t="e">
        <f t="shared" si="5"/>
        <v>#DIV/0!</v>
      </c>
      <c r="Z347" s="19"/>
      <c r="AC347" s="11"/>
      <c r="AD347" s="9"/>
      <c r="AE347" s="14"/>
      <c r="AF347" s="13"/>
      <c r="AO347" s="34" t="s">
        <v>79</v>
      </c>
      <c r="AP347" s="31">
        <v>12.05</v>
      </c>
      <c r="AQ347" s="31">
        <v>7.4</v>
      </c>
      <c r="AR347" s="31">
        <v>16.7</v>
      </c>
    </row>
    <row r="348" spans="1:67" x14ac:dyDescent="0.2">
      <c r="A348" s="5" t="s">
        <v>67</v>
      </c>
      <c r="B348" s="25">
        <v>43320</v>
      </c>
      <c r="C348" s="26">
        <v>0.66944444444444395</v>
      </c>
      <c r="D348" s="5" t="s">
        <v>116</v>
      </c>
      <c r="E348" s="5"/>
      <c r="F348" s="32">
        <v>61</v>
      </c>
      <c r="G348" s="9">
        <v>2</v>
      </c>
      <c r="H348" s="6">
        <v>3.2786885245901641E-2</v>
      </c>
      <c r="I348" s="7">
        <v>6.83E-2</v>
      </c>
      <c r="J348" s="9">
        <v>314.15899999999999</v>
      </c>
      <c r="K348" s="9">
        <v>0.61470000000000002</v>
      </c>
      <c r="L348" s="9">
        <v>9</v>
      </c>
      <c r="M348" s="14">
        <v>255.53847405238326</v>
      </c>
      <c r="N348" s="9">
        <v>1733</v>
      </c>
      <c r="O348" s="12" t="s">
        <v>92</v>
      </c>
      <c r="P348" s="12" t="s">
        <v>82</v>
      </c>
      <c r="Q348" s="9" t="s">
        <v>89</v>
      </c>
      <c r="R348" s="9" t="s">
        <v>93</v>
      </c>
      <c r="S348" s="9"/>
      <c r="T348" s="18">
        <v>1</v>
      </c>
      <c r="U348" s="18">
        <v>1</v>
      </c>
      <c r="V348" s="9">
        <v>6.5</v>
      </c>
      <c r="Y348" s="9">
        <f t="shared" si="5"/>
        <v>255.53847405238326</v>
      </c>
      <c r="Z348" s="19" t="s">
        <v>73</v>
      </c>
      <c r="AA348" s="8" t="s">
        <v>228</v>
      </c>
      <c r="AB348" s="8" t="s">
        <v>75</v>
      </c>
      <c r="AC348" s="11" t="s">
        <v>76</v>
      </c>
      <c r="AD348" s="9" t="s">
        <v>91</v>
      </c>
      <c r="AE348" s="14">
        <v>122.77726418749999</v>
      </c>
      <c r="AF348" s="13"/>
      <c r="AO348" s="34" t="s">
        <v>78</v>
      </c>
      <c r="AP348" s="31">
        <v>6.5</v>
      </c>
      <c r="AQ348" s="31">
        <v>6.5</v>
      </c>
    </row>
    <row r="349" spans="1:67" x14ac:dyDescent="0.2">
      <c r="A349" s="5"/>
      <c r="B349" s="25"/>
      <c r="C349" s="26"/>
      <c r="D349" s="5"/>
      <c r="E349" s="5"/>
      <c r="F349" s="32"/>
      <c r="G349" s="9"/>
      <c r="H349" s="6"/>
      <c r="I349" s="7"/>
      <c r="J349" s="9"/>
      <c r="N349" s="9"/>
      <c r="O349" s="12"/>
      <c r="P349" s="12"/>
      <c r="S349" s="9"/>
      <c r="T349" s="18"/>
      <c r="U349" s="18"/>
      <c r="Y349" s="9" t="e">
        <f t="shared" si="5"/>
        <v>#DIV/0!</v>
      </c>
      <c r="Z349" s="19"/>
      <c r="AC349" s="11"/>
      <c r="AD349" s="9"/>
      <c r="AE349" s="14"/>
      <c r="AF349" s="13"/>
      <c r="AO349" s="34" t="s">
        <v>79</v>
      </c>
      <c r="AP349" s="31">
        <v>4.5999999999999996</v>
      </c>
      <c r="AQ349" s="31">
        <v>4.5999999999999996</v>
      </c>
    </row>
    <row r="350" spans="1:67" x14ac:dyDescent="0.2">
      <c r="A350" s="5" t="s">
        <v>67</v>
      </c>
      <c r="B350" s="25">
        <v>43320</v>
      </c>
      <c r="C350" s="26">
        <v>0.66944444444444395</v>
      </c>
      <c r="D350" s="5" t="s">
        <v>116</v>
      </c>
      <c r="E350" s="5"/>
      <c r="F350" s="32">
        <v>61</v>
      </c>
      <c r="G350" s="9">
        <v>2</v>
      </c>
      <c r="H350" s="6">
        <v>3.2786885245901641E-2</v>
      </c>
      <c r="I350" s="7">
        <v>6.83E-2</v>
      </c>
      <c r="J350" s="9">
        <v>314.15899999999999</v>
      </c>
      <c r="K350" s="9">
        <v>0.61470000000000002</v>
      </c>
      <c r="L350" s="9">
        <v>9</v>
      </c>
      <c r="M350" s="14">
        <v>255.53847405238326</v>
      </c>
      <c r="N350" s="9">
        <v>1419</v>
      </c>
      <c r="O350" s="12" t="s">
        <v>94</v>
      </c>
      <c r="P350" s="12" t="s">
        <v>82</v>
      </c>
      <c r="Q350" s="9" t="s">
        <v>95</v>
      </c>
      <c r="R350" s="9" t="s">
        <v>96</v>
      </c>
      <c r="S350" s="9"/>
      <c r="T350" s="18">
        <v>382</v>
      </c>
      <c r="U350" s="18">
        <v>766</v>
      </c>
      <c r="V350" s="9">
        <v>0.8</v>
      </c>
      <c r="W350" s="9">
        <v>0.8</v>
      </c>
      <c r="X350" s="9">
        <v>0.8</v>
      </c>
      <c r="Y350" s="9">
        <f t="shared" si="5"/>
        <v>97615.697088010405</v>
      </c>
      <c r="Z350" s="19" t="s">
        <v>97</v>
      </c>
      <c r="AA350" s="8" t="s">
        <v>228</v>
      </c>
      <c r="AB350" s="8" t="s">
        <v>75</v>
      </c>
      <c r="AC350" s="11" t="s">
        <v>76</v>
      </c>
      <c r="AD350" s="9" t="s">
        <v>85</v>
      </c>
      <c r="AE350" s="14">
        <v>0.18</v>
      </c>
      <c r="AF350" s="14">
        <v>0.18</v>
      </c>
      <c r="AG350" s="14">
        <v>0.18</v>
      </c>
      <c r="AH350" s="14">
        <v>0.18</v>
      </c>
      <c r="AI350" s="14">
        <v>0.18</v>
      </c>
      <c r="AJ350" s="14">
        <v>0.18</v>
      </c>
      <c r="AK350" s="14">
        <v>0.18</v>
      </c>
      <c r="AL350" s="14">
        <v>0.18</v>
      </c>
      <c r="AM350" s="14">
        <v>0.18</v>
      </c>
      <c r="AN350" s="14">
        <v>0.18</v>
      </c>
      <c r="AO350" s="35" t="s">
        <v>78</v>
      </c>
      <c r="AP350" s="31">
        <v>0.75200000000000033</v>
      </c>
      <c r="AQ350" s="31">
        <v>0.7</v>
      </c>
      <c r="AR350" s="31">
        <v>0.7</v>
      </c>
      <c r="AS350" s="31">
        <v>0.7</v>
      </c>
      <c r="AT350" s="31">
        <v>0.7</v>
      </c>
      <c r="AU350" s="31">
        <v>0.7</v>
      </c>
      <c r="AV350" s="31">
        <v>0.7</v>
      </c>
      <c r="AW350" s="31">
        <v>0.7</v>
      </c>
      <c r="AX350" s="31">
        <v>0.7</v>
      </c>
      <c r="AY350" s="31">
        <v>0.7</v>
      </c>
      <c r="AZ350" s="31">
        <v>0.7</v>
      </c>
      <c r="BA350" s="31">
        <v>0.7</v>
      </c>
      <c r="BB350" s="31">
        <v>0.7</v>
      </c>
      <c r="BC350" s="31">
        <v>0.8</v>
      </c>
      <c r="BD350" s="31">
        <v>0.8</v>
      </c>
      <c r="BE350" s="31">
        <v>0.8</v>
      </c>
      <c r="BF350" s="31">
        <v>0.8</v>
      </c>
      <c r="BG350" s="31">
        <v>0.8</v>
      </c>
      <c r="BH350" s="31">
        <v>0.8</v>
      </c>
      <c r="BI350" s="31">
        <v>0.8</v>
      </c>
      <c r="BJ350" s="31">
        <v>0.8</v>
      </c>
      <c r="BK350" s="31">
        <v>0.8</v>
      </c>
      <c r="BL350" s="31">
        <v>0.8</v>
      </c>
      <c r="BM350" s="31">
        <v>0.8</v>
      </c>
      <c r="BN350" s="31">
        <v>0.8</v>
      </c>
      <c r="BO350" s="31">
        <v>0.8</v>
      </c>
    </row>
    <row r="351" spans="1:67" x14ac:dyDescent="0.2">
      <c r="A351" s="5" t="s">
        <v>67</v>
      </c>
      <c r="B351" s="25">
        <v>43320</v>
      </c>
      <c r="C351" s="26">
        <v>0.66944444444444395</v>
      </c>
      <c r="D351" s="5" t="s">
        <v>116</v>
      </c>
      <c r="E351" s="5"/>
      <c r="F351" s="32">
        <v>61</v>
      </c>
      <c r="G351" s="9">
        <v>2</v>
      </c>
      <c r="H351" s="6">
        <v>3.2786885245901641E-2</v>
      </c>
      <c r="I351" s="7">
        <v>6.83E-2</v>
      </c>
      <c r="J351" s="9">
        <v>314.15899999999999</v>
      </c>
      <c r="K351" s="9">
        <v>0.61470000000000002</v>
      </c>
      <c r="L351" s="9">
        <v>9</v>
      </c>
      <c r="M351" s="14">
        <v>255.53847405238326</v>
      </c>
      <c r="N351" s="9">
        <v>1421</v>
      </c>
      <c r="O351" s="12" t="s">
        <v>130</v>
      </c>
      <c r="P351" s="12" t="s">
        <v>82</v>
      </c>
      <c r="Q351" s="9" t="s">
        <v>95</v>
      </c>
      <c r="R351" s="9" t="s">
        <v>131</v>
      </c>
      <c r="S351" s="9"/>
      <c r="T351" s="18">
        <v>2</v>
      </c>
      <c r="U351" s="18">
        <v>2</v>
      </c>
      <c r="V351" s="9">
        <v>5.6</v>
      </c>
      <c r="Y351" s="9">
        <f t="shared" si="5"/>
        <v>511.07694810476653</v>
      </c>
      <c r="Z351" s="19" t="s">
        <v>73</v>
      </c>
      <c r="AA351" s="8" t="s">
        <v>228</v>
      </c>
      <c r="AB351" s="8" t="s">
        <v>75</v>
      </c>
      <c r="AC351" s="11" t="s">
        <v>76</v>
      </c>
      <c r="AD351" s="9" t="s">
        <v>85</v>
      </c>
      <c r="AE351" s="14">
        <v>91.952244906666635</v>
      </c>
      <c r="AF351" s="13"/>
      <c r="AO351" s="34" t="s">
        <v>78</v>
      </c>
      <c r="AP351" s="31">
        <v>5.6</v>
      </c>
      <c r="AQ351" s="31">
        <v>5.6</v>
      </c>
      <c r="AR351" s="31">
        <v>5.6</v>
      </c>
    </row>
    <row r="352" spans="1:67" x14ac:dyDescent="0.2">
      <c r="A352" s="5" t="s">
        <v>67</v>
      </c>
      <c r="B352" s="25">
        <v>43320</v>
      </c>
      <c r="C352" s="26">
        <v>0.64791666666666703</v>
      </c>
      <c r="D352" s="5" t="s">
        <v>200</v>
      </c>
      <c r="E352" s="5">
        <v>3</v>
      </c>
      <c r="F352" s="32">
        <v>61.5</v>
      </c>
      <c r="G352" s="9">
        <v>2</v>
      </c>
      <c r="H352" s="6">
        <v>3.2520325203252036E-2</v>
      </c>
      <c r="I352" s="7">
        <v>6.83E-2</v>
      </c>
      <c r="J352" s="9">
        <v>314.15899999999999</v>
      </c>
      <c r="K352" s="9">
        <v>0.4098</v>
      </c>
      <c r="L352" s="9">
        <v>6</v>
      </c>
      <c r="M352" s="14">
        <v>383.30771107857493</v>
      </c>
      <c r="N352" s="9">
        <v>190</v>
      </c>
      <c r="O352" s="12" t="s">
        <v>102</v>
      </c>
      <c r="P352" s="8" t="s">
        <v>70</v>
      </c>
      <c r="Q352" s="9" t="s">
        <v>103</v>
      </c>
      <c r="R352" s="9" t="s">
        <v>84</v>
      </c>
      <c r="S352" s="9"/>
      <c r="T352" s="18">
        <v>1</v>
      </c>
      <c r="U352" s="18">
        <v>1</v>
      </c>
      <c r="V352" s="9">
        <v>5.6</v>
      </c>
      <c r="Y352" s="9">
        <f t="shared" si="5"/>
        <v>383.30771107857493</v>
      </c>
      <c r="Z352" s="19" t="s">
        <v>73</v>
      </c>
      <c r="AA352" s="8" t="s">
        <v>230</v>
      </c>
      <c r="AB352" s="8" t="s">
        <v>75</v>
      </c>
      <c r="AC352" s="11" t="s">
        <v>76</v>
      </c>
      <c r="AD352" s="9" t="s">
        <v>104</v>
      </c>
      <c r="AE352" s="14">
        <v>68.964183679999977</v>
      </c>
      <c r="AF352" s="13"/>
      <c r="AO352" s="34" t="s">
        <v>78</v>
      </c>
      <c r="AP352" s="31">
        <v>2.8</v>
      </c>
      <c r="AQ352" s="31">
        <v>2.8</v>
      </c>
    </row>
    <row r="353" spans="1:67" x14ac:dyDescent="0.2">
      <c r="A353" s="5"/>
      <c r="B353" s="25"/>
      <c r="C353" s="26"/>
      <c r="D353" s="5"/>
      <c r="E353" s="5"/>
      <c r="F353" s="32"/>
      <c r="G353" s="9"/>
      <c r="H353" s="6"/>
      <c r="I353" s="7"/>
      <c r="J353" s="9"/>
      <c r="N353" s="9"/>
      <c r="O353" s="12"/>
      <c r="S353" s="9"/>
      <c r="T353" s="18"/>
      <c r="U353" s="18"/>
      <c r="Y353" s="9" t="e">
        <f t="shared" si="5"/>
        <v>#DIV/0!</v>
      </c>
      <c r="Z353" s="19"/>
      <c r="AC353" s="11"/>
      <c r="AD353" s="9"/>
      <c r="AE353" s="14"/>
      <c r="AF353" s="13"/>
      <c r="AO353" s="34" t="s">
        <v>79</v>
      </c>
      <c r="AP353" s="31">
        <v>5.6</v>
      </c>
      <c r="AQ353" s="31">
        <v>5.6</v>
      </c>
    </row>
    <row r="354" spans="1:67" x14ac:dyDescent="0.2">
      <c r="A354" s="5" t="s">
        <v>67</v>
      </c>
      <c r="B354" s="25">
        <v>43320</v>
      </c>
      <c r="C354" s="26">
        <v>0.64791666666666703</v>
      </c>
      <c r="D354" s="5" t="s">
        <v>200</v>
      </c>
      <c r="E354" s="5">
        <v>3</v>
      </c>
      <c r="F354" s="32">
        <v>61.5</v>
      </c>
      <c r="G354" s="9">
        <v>2</v>
      </c>
      <c r="H354" s="6">
        <v>3.2520325203252036E-2</v>
      </c>
      <c r="I354" s="7">
        <v>6.83E-2</v>
      </c>
      <c r="J354" s="9">
        <v>314.15899999999999</v>
      </c>
      <c r="K354" s="9">
        <v>0.4098</v>
      </c>
      <c r="L354" s="9">
        <v>6</v>
      </c>
      <c r="M354" s="14">
        <v>383.30771107857493</v>
      </c>
      <c r="N354" s="9">
        <v>1037</v>
      </c>
      <c r="O354" s="12" t="s">
        <v>86</v>
      </c>
      <c r="P354" s="12" t="s">
        <v>82</v>
      </c>
      <c r="Q354" s="9" t="s">
        <v>87</v>
      </c>
      <c r="R354" s="9" t="s">
        <v>84</v>
      </c>
      <c r="S354" s="9"/>
      <c r="T354" s="18">
        <v>9</v>
      </c>
      <c r="U354" s="18">
        <v>9</v>
      </c>
      <c r="V354" s="9">
        <v>2.8</v>
      </c>
      <c r="Y354" s="9">
        <f t="shared" si="5"/>
        <v>3449.7693997071742</v>
      </c>
      <c r="Z354" s="19" t="s">
        <v>73</v>
      </c>
      <c r="AA354" s="8" t="s">
        <v>230</v>
      </c>
      <c r="AB354" s="8" t="s">
        <v>75</v>
      </c>
      <c r="AC354" s="11" t="s">
        <v>76</v>
      </c>
      <c r="AD354" s="9" t="s">
        <v>85</v>
      </c>
      <c r="AE354" s="14">
        <v>9.2027643066666673</v>
      </c>
      <c r="AF354" s="13"/>
      <c r="AO354" s="34" t="s">
        <v>78</v>
      </c>
      <c r="AP354" s="31">
        <v>2.6199999999999997</v>
      </c>
      <c r="AQ354" s="31">
        <v>2.8</v>
      </c>
      <c r="AR354" s="31">
        <v>2.8</v>
      </c>
      <c r="AS354" s="31">
        <v>2.8</v>
      </c>
      <c r="AT354" s="31">
        <v>1.9</v>
      </c>
      <c r="AU354" s="31">
        <v>2.8</v>
      </c>
    </row>
    <row r="355" spans="1:67" x14ac:dyDescent="0.2">
      <c r="A355" s="5" t="s">
        <v>67</v>
      </c>
      <c r="B355" s="25">
        <v>43320</v>
      </c>
      <c r="C355" s="26">
        <v>0.64791666666666703</v>
      </c>
      <c r="D355" s="5" t="s">
        <v>200</v>
      </c>
      <c r="E355" s="5">
        <v>3</v>
      </c>
      <c r="F355" s="32">
        <v>61.5</v>
      </c>
      <c r="G355" s="9">
        <v>2</v>
      </c>
      <c r="H355" s="6">
        <v>3.2520325203252036E-2</v>
      </c>
      <c r="I355" s="7">
        <v>6.83E-2</v>
      </c>
      <c r="J355" s="9">
        <v>314.15899999999999</v>
      </c>
      <c r="K355" s="9">
        <v>0.4098</v>
      </c>
      <c r="L355" s="9">
        <v>6</v>
      </c>
      <c r="M355" s="14">
        <v>383.30771107857493</v>
      </c>
      <c r="N355" s="9">
        <v>1352</v>
      </c>
      <c r="O355" s="12" t="s">
        <v>118</v>
      </c>
      <c r="P355" s="12" t="s">
        <v>82</v>
      </c>
      <c r="Q355" s="9" t="s">
        <v>119</v>
      </c>
      <c r="R355" s="9" t="s">
        <v>84</v>
      </c>
      <c r="S355" s="9"/>
      <c r="T355" s="18">
        <v>1</v>
      </c>
      <c r="U355" s="18">
        <v>1</v>
      </c>
      <c r="V355" s="9">
        <v>18.5</v>
      </c>
      <c r="Y355" s="9">
        <f t="shared" si="5"/>
        <v>383.30771107857493</v>
      </c>
      <c r="Z355" s="19" t="s">
        <v>73</v>
      </c>
      <c r="AA355" s="8" t="s">
        <v>230</v>
      </c>
      <c r="AB355" s="8" t="s">
        <v>75</v>
      </c>
      <c r="AC355" s="11" t="s">
        <v>76</v>
      </c>
      <c r="AD355" s="9" t="s">
        <v>120</v>
      </c>
      <c r="AE355" s="14">
        <v>1193.4821870249996</v>
      </c>
      <c r="AF355" s="13"/>
      <c r="AO355" s="34" t="s">
        <v>78</v>
      </c>
      <c r="AP355" s="31">
        <v>18.5</v>
      </c>
      <c r="AQ355" s="31">
        <v>18.5</v>
      </c>
    </row>
    <row r="356" spans="1:67" x14ac:dyDescent="0.2">
      <c r="A356" s="5"/>
      <c r="B356" s="25"/>
      <c r="C356" s="26"/>
      <c r="D356" s="5"/>
      <c r="E356" s="5"/>
      <c r="F356" s="32"/>
      <c r="G356" s="9"/>
      <c r="H356" s="6"/>
      <c r="I356" s="7"/>
      <c r="J356" s="9"/>
      <c r="N356" s="9"/>
      <c r="O356" s="12"/>
      <c r="P356" s="12"/>
      <c r="S356" s="9"/>
      <c r="T356" s="18"/>
      <c r="U356" s="18"/>
      <c r="Y356" s="9" t="e">
        <f t="shared" si="5"/>
        <v>#DIV/0!</v>
      </c>
      <c r="Z356" s="19"/>
      <c r="AC356" s="11"/>
      <c r="AD356" s="9"/>
      <c r="AE356" s="14"/>
      <c r="AF356" s="13"/>
      <c r="AO356" s="34" t="s">
        <v>79</v>
      </c>
      <c r="AP356" s="31">
        <v>11.1</v>
      </c>
      <c r="AQ356" s="31">
        <v>11.1</v>
      </c>
    </row>
    <row r="357" spans="1:67" x14ac:dyDescent="0.2">
      <c r="A357" s="5" t="s">
        <v>67</v>
      </c>
      <c r="B357" s="25">
        <v>43320</v>
      </c>
      <c r="C357" s="26">
        <v>0.64791666666666703</v>
      </c>
      <c r="D357" s="5" t="s">
        <v>200</v>
      </c>
      <c r="E357" s="5">
        <v>3</v>
      </c>
      <c r="F357" s="32">
        <v>61.5</v>
      </c>
      <c r="G357" s="9">
        <v>2</v>
      </c>
      <c r="H357" s="6">
        <v>3.2520325203252036E-2</v>
      </c>
      <c r="I357" s="7">
        <v>6.83E-2</v>
      </c>
      <c r="J357" s="9">
        <v>314.15899999999999</v>
      </c>
      <c r="K357" s="9">
        <v>0.4098</v>
      </c>
      <c r="L357" s="9">
        <v>6</v>
      </c>
      <c r="M357" s="14">
        <v>383.30771107857493</v>
      </c>
      <c r="N357" s="9">
        <v>1419</v>
      </c>
      <c r="O357" s="12" t="s">
        <v>94</v>
      </c>
      <c r="P357" s="12" t="s">
        <v>82</v>
      </c>
      <c r="Q357" s="9" t="s">
        <v>95</v>
      </c>
      <c r="R357" s="9" t="s">
        <v>96</v>
      </c>
      <c r="S357" s="9"/>
      <c r="T357" s="18">
        <v>390</v>
      </c>
      <c r="U357" s="18">
        <v>781</v>
      </c>
      <c r="V357" s="9">
        <v>0.8</v>
      </c>
      <c r="W357" s="9">
        <v>0.8</v>
      </c>
      <c r="X357" s="9">
        <v>0.8</v>
      </c>
      <c r="Y357" s="9">
        <f t="shared" si="5"/>
        <v>149490.00732064422</v>
      </c>
      <c r="Z357" s="19" t="s">
        <v>97</v>
      </c>
      <c r="AA357" s="8" t="s">
        <v>230</v>
      </c>
      <c r="AB357" s="8" t="s">
        <v>75</v>
      </c>
      <c r="AC357" s="11" t="s">
        <v>76</v>
      </c>
      <c r="AD357" s="9" t="s">
        <v>85</v>
      </c>
      <c r="AE357" s="14">
        <v>0.18</v>
      </c>
      <c r="AF357" s="14">
        <v>0.18</v>
      </c>
      <c r="AG357" s="14">
        <v>0.18</v>
      </c>
      <c r="AH357" s="14">
        <v>0.18</v>
      </c>
      <c r="AI357" s="14">
        <v>0.18</v>
      </c>
      <c r="AJ357" s="14">
        <v>0.18</v>
      </c>
      <c r="AK357" s="14">
        <v>0.18</v>
      </c>
      <c r="AL357" s="14">
        <v>0.18</v>
      </c>
      <c r="AM357" s="14">
        <v>0.18</v>
      </c>
      <c r="AN357" s="14">
        <v>0.18</v>
      </c>
      <c r="AO357" s="35" t="s">
        <v>78</v>
      </c>
      <c r="AP357" s="31">
        <v>0.75200000000000033</v>
      </c>
      <c r="AQ357" s="31">
        <v>0.7</v>
      </c>
      <c r="AR357" s="31">
        <v>0.7</v>
      </c>
      <c r="AS357" s="31">
        <v>0.7</v>
      </c>
      <c r="AT357" s="31">
        <v>0.7</v>
      </c>
      <c r="AU357" s="31">
        <v>0.7</v>
      </c>
      <c r="AV357" s="31">
        <v>0.7</v>
      </c>
      <c r="AW357" s="31">
        <v>0.7</v>
      </c>
      <c r="AX357" s="31">
        <v>0.7</v>
      </c>
      <c r="AY357" s="31">
        <v>0.7</v>
      </c>
      <c r="AZ357" s="31">
        <v>0.7</v>
      </c>
      <c r="BA357" s="31">
        <v>0.7</v>
      </c>
      <c r="BB357" s="31">
        <v>0.7</v>
      </c>
      <c r="BC357" s="31">
        <v>0.8</v>
      </c>
      <c r="BD357" s="31">
        <v>0.8</v>
      </c>
      <c r="BE357" s="31">
        <v>0.8</v>
      </c>
      <c r="BF357" s="31">
        <v>0.8</v>
      </c>
      <c r="BG357" s="31">
        <v>0.8</v>
      </c>
      <c r="BH357" s="31">
        <v>0.8</v>
      </c>
      <c r="BI357" s="31">
        <v>0.8</v>
      </c>
      <c r="BJ357" s="31">
        <v>0.8</v>
      </c>
      <c r="BK357" s="31">
        <v>0.8</v>
      </c>
      <c r="BL357" s="31">
        <v>0.8</v>
      </c>
      <c r="BM357" s="31">
        <v>0.8</v>
      </c>
      <c r="BN357" s="31">
        <v>0.8</v>
      </c>
      <c r="BO357" s="31">
        <v>0.8</v>
      </c>
    </row>
    <row r="358" spans="1:67" x14ac:dyDescent="0.2">
      <c r="A358" s="5" t="s">
        <v>67</v>
      </c>
      <c r="B358" s="25">
        <v>43320</v>
      </c>
      <c r="C358" s="26">
        <v>0.64791666666666703</v>
      </c>
      <c r="D358" s="5" t="s">
        <v>200</v>
      </c>
      <c r="E358" s="5">
        <v>3</v>
      </c>
      <c r="F358" s="32">
        <v>61.5</v>
      </c>
      <c r="G358" s="9">
        <v>2</v>
      </c>
      <c r="H358" s="6">
        <v>3.2520325203252036E-2</v>
      </c>
      <c r="I358" s="7">
        <v>6.83E-2</v>
      </c>
      <c r="J358" s="9">
        <v>314.15899999999999</v>
      </c>
      <c r="K358" s="9">
        <v>0.4098</v>
      </c>
      <c r="L358" s="9">
        <v>6</v>
      </c>
      <c r="M358" s="14">
        <v>383.30771107857493</v>
      </c>
      <c r="N358" s="9">
        <v>1421</v>
      </c>
      <c r="O358" s="12" t="s">
        <v>130</v>
      </c>
      <c r="P358" s="12" t="s">
        <v>82</v>
      </c>
      <c r="Q358" s="9" t="s">
        <v>95</v>
      </c>
      <c r="R358" s="9" t="s">
        <v>131</v>
      </c>
      <c r="S358" s="9"/>
      <c r="T358" s="18">
        <v>2</v>
      </c>
      <c r="U358" s="18">
        <v>3</v>
      </c>
      <c r="V358" s="9">
        <v>5.6</v>
      </c>
      <c r="Y358" s="9">
        <f t="shared" si="5"/>
        <v>766.61542215714985</v>
      </c>
      <c r="Z358" s="19" t="s">
        <v>97</v>
      </c>
      <c r="AA358" s="8" t="s">
        <v>230</v>
      </c>
      <c r="AB358" s="8" t="s">
        <v>75</v>
      </c>
      <c r="AC358" s="11" t="s">
        <v>76</v>
      </c>
      <c r="AD358" s="9" t="s">
        <v>85</v>
      </c>
      <c r="AE358" s="14">
        <v>61.600820318333341</v>
      </c>
      <c r="AF358" s="13"/>
      <c r="AO358" s="34" t="s">
        <v>78</v>
      </c>
      <c r="AP358" s="31">
        <v>4.9333333333333327</v>
      </c>
      <c r="AQ358" s="31">
        <v>4.5999999999999996</v>
      </c>
      <c r="AR358" s="31">
        <v>4.5999999999999996</v>
      </c>
      <c r="AS358" s="31">
        <v>5.6</v>
      </c>
    </row>
    <row r="359" spans="1:67" x14ac:dyDescent="0.2">
      <c r="A359" s="5" t="s">
        <v>67</v>
      </c>
      <c r="B359" s="25">
        <v>43320</v>
      </c>
      <c r="C359" s="26">
        <v>0.65625</v>
      </c>
      <c r="D359" s="5" t="s">
        <v>135</v>
      </c>
      <c r="E359" s="5"/>
      <c r="F359" s="32">
        <v>60.5</v>
      </c>
      <c r="G359" s="9">
        <v>2</v>
      </c>
      <c r="H359" s="6">
        <v>3.3057851239669422E-2</v>
      </c>
      <c r="I359" s="7">
        <v>6.83E-2</v>
      </c>
      <c r="J359" s="9">
        <v>314.15899999999999</v>
      </c>
      <c r="K359" s="9">
        <v>0.47809999999999997</v>
      </c>
      <c r="L359" s="9">
        <v>7</v>
      </c>
      <c r="M359" s="14">
        <v>328.54946663877848</v>
      </c>
      <c r="N359" s="9">
        <v>1031</v>
      </c>
      <c r="O359" s="12" t="s">
        <v>81</v>
      </c>
      <c r="P359" s="12" t="s">
        <v>82</v>
      </c>
      <c r="Q359" s="9" t="s">
        <v>83</v>
      </c>
      <c r="R359" s="9" t="s">
        <v>84</v>
      </c>
      <c r="S359" s="9"/>
      <c r="T359" s="18">
        <v>1</v>
      </c>
      <c r="U359" s="18">
        <v>1</v>
      </c>
      <c r="V359" s="9">
        <v>4.5999999999999996</v>
      </c>
      <c r="Y359" s="9">
        <f t="shared" si="5"/>
        <v>328.54946663877848</v>
      </c>
      <c r="Z359" s="19" t="s">
        <v>73</v>
      </c>
      <c r="AA359" s="8" t="s">
        <v>231</v>
      </c>
      <c r="AB359" s="8" t="s">
        <v>75</v>
      </c>
      <c r="AC359" s="11" t="s">
        <v>76</v>
      </c>
      <c r="AD359" s="9" t="s">
        <v>85</v>
      </c>
      <c r="AE359" s="14">
        <v>40.993560713333324</v>
      </c>
      <c r="AF359" s="13"/>
      <c r="AO359" s="34" t="s">
        <v>78</v>
      </c>
      <c r="AP359" s="31">
        <v>4.5999999999999996</v>
      </c>
      <c r="AQ359" s="31">
        <v>4.5999999999999996</v>
      </c>
    </row>
    <row r="360" spans="1:67" x14ac:dyDescent="0.2">
      <c r="A360" s="5"/>
      <c r="B360" s="25"/>
      <c r="C360" s="26"/>
      <c r="D360" s="5"/>
      <c r="E360" s="5"/>
      <c r="F360" s="32"/>
      <c r="G360" s="9"/>
      <c r="H360" s="6"/>
      <c r="I360" s="7"/>
      <c r="J360" s="9"/>
      <c r="N360" s="9"/>
      <c r="O360" s="12"/>
      <c r="P360" s="12"/>
      <c r="S360" s="9"/>
      <c r="T360" s="18"/>
      <c r="U360" s="18"/>
      <c r="Y360" s="9" t="e">
        <f t="shared" si="5"/>
        <v>#DIV/0!</v>
      </c>
      <c r="Z360" s="19"/>
      <c r="AC360" s="11"/>
      <c r="AD360" s="9"/>
      <c r="AE360" s="14"/>
      <c r="AF360" s="13"/>
      <c r="AO360" s="34" t="s">
        <v>79</v>
      </c>
      <c r="AP360" s="31">
        <v>4.5999999999999996</v>
      </c>
      <c r="AQ360" s="31">
        <v>4.5999999999999996</v>
      </c>
    </row>
    <row r="361" spans="1:67" x14ac:dyDescent="0.2">
      <c r="A361" s="5"/>
      <c r="B361" s="25"/>
      <c r="C361" s="26"/>
      <c r="D361" s="5"/>
      <c r="E361" s="5"/>
      <c r="F361" s="32"/>
      <c r="G361" s="9"/>
      <c r="H361" s="6"/>
      <c r="I361" s="7"/>
      <c r="J361" s="9"/>
      <c r="N361" s="9"/>
      <c r="O361" s="12"/>
      <c r="P361" s="12"/>
      <c r="S361" s="9"/>
      <c r="T361" s="18"/>
      <c r="U361" s="18"/>
      <c r="Y361" s="9" t="e">
        <f t="shared" si="5"/>
        <v>#DIV/0!</v>
      </c>
      <c r="Z361" s="19"/>
      <c r="AC361" s="11"/>
      <c r="AD361" s="9"/>
      <c r="AE361" s="14"/>
      <c r="AF361" s="13"/>
      <c r="AO361" s="34" t="s">
        <v>80</v>
      </c>
      <c r="AP361" s="31">
        <v>3.7</v>
      </c>
      <c r="AQ361" s="31">
        <v>3.7</v>
      </c>
    </row>
    <row r="362" spans="1:67" x14ac:dyDescent="0.2">
      <c r="A362" s="5" t="s">
        <v>67</v>
      </c>
      <c r="B362" s="25">
        <v>43320</v>
      </c>
      <c r="C362" s="26">
        <v>0.65625</v>
      </c>
      <c r="D362" s="5" t="s">
        <v>135</v>
      </c>
      <c r="E362" s="5"/>
      <c r="F362" s="32">
        <v>60.5</v>
      </c>
      <c r="G362" s="9">
        <v>2</v>
      </c>
      <c r="H362" s="6">
        <v>3.3057851239669422E-2</v>
      </c>
      <c r="I362" s="7">
        <v>6.83E-2</v>
      </c>
      <c r="J362" s="9">
        <v>314.15899999999999</v>
      </c>
      <c r="K362" s="9">
        <v>0.47809999999999997</v>
      </c>
      <c r="L362" s="9">
        <v>7</v>
      </c>
      <c r="M362" s="14">
        <v>328.54946663877848</v>
      </c>
      <c r="N362" s="9">
        <v>1037</v>
      </c>
      <c r="O362" s="12" t="s">
        <v>86</v>
      </c>
      <c r="P362" s="12" t="s">
        <v>82</v>
      </c>
      <c r="Q362" s="9" t="s">
        <v>87</v>
      </c>
      <c r="R362" s="9" t="s">
        <v>84</v>
      </c>
      <c r="S362" s="9"/>
      <c r="T362" s="18">
        <v>39</v>
      </c>
      <c r="U362" s="18">
        <v>39</v>
      </c>
      <c r="V362" s="9">
        <v>3.7</v>
      </c>
      <c r="Y362" s="9">
        <f t="shared" si="5"/>
        <v>12813.429198912361</v>
      </c>
      <c r="Z362" s="19" t="s">
        <v>73</v>
      </c>
      <c r="AA362" s="8" t="s">
        <v>231</v>
      </c>
      <c r="AB362" s="8" t="s">
        <v>75</v>
      </c>
      <c r="AC362" s="11" t="s">
        <v>76</v>
      </c>
      <c r="AD362" s="9" t="s">
        <v>85</v>
      </c>
      <c r="AE362" s="14">
        <v>9.2027643066666673</v>
      </c>
      <c r="AF362" s="13"/>
      <c r="AO362" s="34" t="s">
        <v>78</v>
      </c>
      <c r="AP362" s="31">
        <v>2.62</v>
      </c>
      <c r="AQ362" s="31">
        <v>1.9</v>
      </c>
      <c r="AR362" s="31">
        <v>3.7</v>
      </c>
      <c r="AS362" s="31">
        <v>1.9</v>
      </c>
      <c r="AT362" s="31">
        <v>2.8</v>
      </c>
      <c r="AU362" s="31">
        <v>2.8</v>
      </c>
    </row>
    <row r="363" spans="1:67" x14ac:dyDescent="0.2">
      <c r="A363" s="5" t="s">
        <v>67</v>
      </c>
      <c r="B363" s="25">
        <v>43320</v>
      </c>
      <c r="C363" s="26">
        <v>0.65625</v>
      </c>
      <c r="D363" s="5" t="s">
        <v>135</v>
      </c>
      <c r="E363" s="5"/>
      <c r="F363" s="32">
        <v>60.5</v>
      </c>
      <c r="G363" s="9">
        <v>2</v>
      </c>
      <c r="H363" s="6">
        <v>3.3057851239669422E-2</v>
      </c>
      <c r="I363" s="7">
        <v>6.83E-2</v>
      </c>
      <c r="J363" s="9">
        <v>314.15899999999999</v>
      </c>
      <c r="K363" s="9">
        <v>0.47809999999999997</v>
      </c>
      <c r="L363" s="9">
        <v>7</v>
      </c>
      <c r="M363" s="14">
        <v>328.54946663877848</v>
      </c>
      <c r="N363" s="9">
        <v>1119</v>
      </c>
      <c r="O363" s="8" t="s">
        <v>197</v>
      </c>
      <c r="P363" s="12" t="s">
        <v>82</v>
      </c>
      <c r="Q363" s="9" t="s">
        <v>198</v>
      </c>
      <c r="R363" s="9" t="s">
        <v>199</v>
      </c>
      <c r="S363" s="9"/>
      <c r="T363" s="18">
        <v>2</v>
      </c>
      <c r="U363" s="18">
        <v>2</v>
      </c>
      <c r="V363" s="9">
        <v>5.6</v>
      </c>
      <c r="Y363" s="9">
        <f t="shared" si="5"/>
        <v>657.09893327755697</v>
      </c>
      <c r="Z363" s="19" t="s">
        <v>73</v>
      </c>
      <c r="AA363" s="8" t="s">
        <v>231</v>
      </c>
      <c r="AB363" s="8" t="s">
        <v>75</v>
      </c>
      <c r="AC363" s="11" t="s">
        <v>76</v>
      </c>
      <c r="AD363" s="9" t="s">
        <v>150</v>
      </c>
      <c r="AE363" s="14">
        <v>30.377080906666663</v>
      </c>
      <c r="AF363" s="13"/>
      <c r="AO363" s="34" t="s">
        <v>78</v>
      </c>
      <c r="AP363" s="31">
        <v>5.6</v>
      </c>
      <c r="AQ363" s="31">
        <v>5.6</v>
      </c>
      <c r="AR363" s="31">
        <v>5.6</v>
      </c>
    </row>
    <row r="364" spans="1:67" x14ac:dyDescent="0.2">
      <c r="A364" s="5"/>
      <c r="B364" s="25"/>
      <c r="C364" s="26"/>
      <c r="D364" s="5"/>
      <c r="E364" s="5"/>
      <c r="F364" s="32"/>
      <c r="G364" s="9"/>
      <c r="H364" s="6"/>
      <c r="I364" s="7"/>
      <c r="J364" s="9"/>
      <c r="N364" s="9"/>
      <c r="P364" s="12"/>
      <c r="S364" s="9"/>
      <c r="T364" s="18"/>
      <c r="U364" s="18"/>
      <c r="Y364" s="9" t="e">
        <f t="shared" si="5"/>
        <v>#DIV/0!</v>
      </c>
      <c r="Z364" s="19"/>
      <c r="AC364" s="11"/>
      <c r="AD364" s="9"/>
      <c r="AE364" s="14"/>
      <c r="AF364" s="13"/>
      <c r="AO364" s="34" t="s">
        <v>79</v>
      </c>
      <c r="AP364" s="31">
        <v>3.7</v>
      </c>
      <c r="AQ364" s="31">
        <v>3.7</v>
      </c>
      <c r="AR364" s="31">
        <v>3.7</v>
      </c>
    </row>
    <row r="365" spans="1:67" x14ac:dyDescent="0.2">
      <c r="A365" s="5"/>
      <c r="B365" s="25"/>
      <c r="C365" s="26"/>
      <c r="D365" s="5"/>
      <c r="E365" s="5"/>
      <c r="F365" s="32"/>
      <c r="G365" s="9"/>
      <c r="H365" s="6"/>
      <c r="I365" s="7"/>
      <c r="J365" s="9"/>
      <c r="N365" s="9"/>
      <c r="P365" s="12"/>
      <c r="S365" s="9"/>
      <c r="T365" s="18"/>
      <c r="U365" s="18"/>
      <c r="Y365" s="9" t="e">
        <f t="shared" si="5"/>
        <v>#DIV/0!</v>
      </c>
      <c r="Z365" s="19"/>
      <c r="AC365" s="11"/>
      <c r="AD365" s="9"/>
      <c r="AE365" s="14"/>
      <c r="AF365" s="13"/>
      <c r="AO365" s="34" t="s">
        <v>80</v>
      </c>
      <c r="AP365" s="31">
        <v>2.8</v>
      </c>
      <c r="AQ365" s="31">
        <v>2.8</v>
      </c>
      <c r="AR365" s="31">
        <v>2.8</v>
      </c>
    </row>
    <row r="366" spans="1:67" x14ac:dyDescent="0.2">
      <c r="A366" s="5" t="s">
        <v>67</v>
      </c>
      <c r="B366" s="25">
        <v>43320</v>
      </c>
      <c r="C366" s="26">
        <v>0.65625</v>
      </c>
      <c r="D366" s="5" t="s">
        <v>135</v>
      </c>
      <c r="E366" s="5"/>
      <c r="F366" s="32">
        <v>60.5</v>
      </c>
      <c r="G366" s="9">
        <v>2</v>
      </c>
      <c r="H366" s="6">
        <v>3.3057851239669422E-2</v>
      </c>
      <c r="I366" s="7">
        <v>6.83E-2</v>
      </c>
      <c r="J366" s="9">
        <v>314.15899999999999</v>
      </c>
      <c r="K366" s="9">
        <v>0.47809999999999997</v>
      </c>
      <c r="L366" s="9">
        <v>7</v>
      </c>
      <c r="M366" s="14">
        <v>328.54946663877848</v>
      </c>
      <c r="N366" s="9">
        <v>1692</v>
      </c>
      <c r="O366" s="8" t="s">
        <v>179</v>
      </c>
      <c r="P366" s="12" t="s">
        <v>82</v>
      </c>
      <c r="Q366" s="9" t="s">
        <v>180</v>
      </c>
      <c r="R366" s="9" t="s">
        <v>84</v>
      </c>
      <c r="S366" s="9"/>
      <c r="T366" s="18">
        <v>1</v>
      </c>
      <c r="U366" s="18">
        <v>1</v>
      </c>
      <c r="V366" s="9">
        <v>7.4</v>
      </c>
      <c r="Y366" s="9">
        <f t="shared" si="5"/>
        <v>328.54946663877848</v>
      </c>
      <c r="Z366" s="19" t="s">
        <v>73</v>
      </c>
      <c r="AA366" s="8" t="s">
        <v>231</v>
      </c>
      <c r="AB366" s="8" t="s">
        <v>75</v>
      </c>
      <c r="AC366" s="11" t="s">
        <v>76</v>
      </c>
      <c r="AD366" s="9" t="s">
        <v>120</v>
      </c>
      <c r="AE366" s="14">
        <v>121.50832362666665</v>
      </c>
      <c r="AF366" s="13"/>
      <c r="AO366" s="34" t="s">
        <v>78</v>
      </c>
      <c r="AP366" s="31">
        <v>7.4</v>
      </c>
      <c r="AQ366" s="31">
        <v>7.4</v>
      </c>
    </row>
    <row r="367" spans="1:67" x14ac:dyDescent="0.2">
      <c r="A367" s="5"/>
      <c r="B367" s="25"/>
      <c r="C367" s="26"/>
      <c r="D367" s="5"/>
      <c r="E367" s="5"/>
      <c r="F367" s="32"/>
      <c r="G367" s="9"/>
      <c r="H367" s="6"/>
      <c r="I367" s="7"/>
      <c r="J367" s="9"/>
      <c r="N367" s="9"/>
      <c r="P367" s="12"/>
      <c r="S367" s="9"/>
      <c r="T367" s="18"/>
      <c r="U367" s="18"/>
      <c r="Y367" s="9" t="e">
        <f t="shared" si="5"/>
        <v>#DIV/0!</v>
      </c>
      <c r="Z367" s="19"/>
      <c r="AC367" s="11"/>
      <c r="AD367" s="9"/>
      <c r="AE367" s="14"/>
      <c r="AF367" s="13"/>
      <c r="AO367" s="34" t="s">
        <v>79</v>
      </c>
      <c r="AP367" s="31">
        <v>5.6</v>
      </c>
      <c r="AQ367" s="31">
        <v>5.6</v>
      </c>
    </row>
    <row r="368" spans="1:67" x14ac:dyDescent="0.2">
      <c r="A368" s="5" t="s">
        <v>67</v>
      </c>
      <c r="B368" s="25">
        <v>43320</v>
      </c>
      <c r="C368" s="26">
        <v>0.65625</v>
      </c>
      <c r="D368" s="5" t="s">
        <v>135</v>
      </c>
      <c r="E368" s="5"/>
      <c r="F368" s="32">
        <v>60.5</v>
      </c>
      <c r="G368" s="9">
        <v>2</v>
      </c>
      <c r="H368" s="6">
        <v>3.3057851239669422E-2</v>
      </c>
      <c r="I368" s="7">
        <v>6.83E-2</v>
      </c>
      <c r="J368" s="9">
        <v>314.15899999999999</v>
      </c>
      <c r="K368" s="9">
        <v>0.47809999999999997</v>
      </c>
      <c r="L368" s="9">
        <v>7</v>
      </c>
      <c r="M368" s="14">
        <v>328.54946663877848</v>
      </c>
      <c r="N368" s="9">
        <v>1324</v>
      </c>
      <c r="O368" s="12" t="s">
        <v>232</v>
      </c>
      <c r="P368" s="12" t="s">
        <v>82</v>
      </c>
      <c r="Q368" s="9" t="s">
        <v>233</v>
      </c>
      <c r="R368" s="9" t="s">
        <v>84</v>
      </c>
      <c r="S368" s="9"/>
      <c r="T368" s="18">
        <v>1</v>
      </c>
      <c r="U368" s="18">
        <v>1</v>
      </c>
      <c r="V368" s="9">
        <v>9.3000000000000007</v>
      </c>
      <c r="Y368" s="9">
        <f t="shared" si="5"/>
        <v>328.54946663877848</v>
      </c>
      <c r="Z368" s="19" t="s">
        <v>73</v>
      </c>
      <c r="AA368" s="8" t="s">
        <v>231</v>
      </c>
      <c r="AB368" s="8" t="s">
        <v>75</v>
      </c>
      <c r="AC368" s="11" t="s">
        <v>76</v>
      </c>
      <c r="AD368" s="9" t="s">
        <v>91</v>
      </c>
      <c r="AE368" s="14">
        <v>421.15998460499998</v>
      </c>
      <c r="AF368" s="13"/>
      <c r="AO368" s="34" t="s">
        <v>78</v>
      </c>
      <c r="AP368" s="31">
        <v>9.3000000000000007</v>
      </c>
      <c r="AQ368" s="31">
        <v>9.3000000000000007</v>
      </c>
    </row>
    <row r="369" spans="1:67" x14ac:dyDescent="0.2">
      <c r="A369" s="5"/>
      <c r="B369" s="25"/>
      <c r="C369" s="26"/>
      <c r="D369" s="5"/>
      <c r="E369" s="5"/>
      <c r="F369" s="32"/>
      <c r="G369" s="9"/>
      <c r="H369" s="6"/>
      <c r="I369" s="7"/>
      <c r="J369" s="9"/>
      <c r="N369" s="9"/>
      <c r="O369" s="12"/>
      <c r="P369" s="12"/>
      <c r="S369" s="9"/>
      <c r="T369" s="18"/>
      <c r="U369" s="18"/>
      <c r="Y369" s="9" t="e">
        <f t="shared" si="5"/>
        <v>#DIV/0!</v>
      </c>
      <c r="Z369" s="19"/>
      <c r="AC369" s="11"/>
      <c r="AD369" s="9"/>
      <c r="AE369" s="14"/>
      <c r="AF369" s="13"/>
      <c r="AO369" s="34" t="s">
        <v>79</v>
      </c>
      <c r="AP369" s="31">
        <v>9.3000000000000007</v>
      </c>
      <c r="AQ369" s="31">
        <v>9.3000000000000007</v>
      </c>
    </row>
    <row r="370" spans="1:67" x14ac:dyDescent="0.2">
      <c r="A370" s="5" t="s">
        <v>67</v>
      </c>
      <c r="B370" s="25">
        <v>43320</v>
      </c>
      <c r="C370" s="26">
        <v>0.65625</v>
      </c>
      <c r="D370" s="5" t="s">
        <v>135</v>
      </c>
      <c r="E370" s="5"/>
      <c r="F370" s="32">
        <v>60.5</v>
      </c>
      <c r="G370" s="9">
        <v>2</v>
      </c>
      <c r="H370" s="6">
        <v>3.3057851239669422E-2</v>
      </c>
      <c r="I370" s="7">
        <v>6.83E-2</v>
      </c>
      <c r="J370" s="9">
        <v>314.15899999999999</v>
      </c>
      <c r="K370" s="9">
        <v>0.47809999999999997</v>
      </c>
      <c r="L370" s="9">
        <v>7</v>
      </c>
      <c r="M370" s="14">
        <v>328.54946663877848</v>
      </c>
      <c r="N370" s="9">
        <v>1352</v>
      </c>
      <c r="O370" s="12" t="s">
        <v>118</v>
      </c>
      <c r="P370" s="12" t="s">
        <v>82</v>
      </c>
      <c r="Q370" s="9" t="s">
        <v>119</v>
      </c>
      <c r="R370" s="9" t="s">
        <v>84</v>
      </c>
      <c r="S370" s="9"/>
      <c r="T370" s="18">
        <v>3</v>
      </c>
      <c r="U370" s="18">
        <v>3</v>
      </c>
      <c r="V370" s="9">
        <v>18.5</v>
      </c>
      <c r="Y370" s="9">
        <f t="shared" si="5"/>
        <v>985.64839991633551</v>
      </c>
      <c r="Z370" s="19" t="s">
        <v>73</v>
      </c>
      <c r="AA370" s="8" t="s">
        <v>231</v>
      </c>
      <c r="AB370" s="8" t="s">
        <v>75</v>
      </c>
      <c r="AC370" s="11" t="s">
        <v>76</v>
      </c>
      <c r="AD370" s="9" t="s">
        <v>120</v>
      </c>
      <c r="AE370" s="14">
        <v>923.62745999999993</v>
      </c>
      <c r="AF370" s="13"/>
      <c r="AO370" s="34" t="s">
        <v>78</v>
      </c>
      <c r="AP370" s="31">
        <v>16.033333333333331</v>
      </c>
      <c r="AQ370" s="31">
        <v>18.5</v>
      </c>
      <c r="AR370" s="31">
        <v>14.8</v>
      </c>
      <c r="AS370" s="31">
        <v>14.8</v>
      </c>
    </row>
    <row r="371" spans="1:67" x14ac:dyDescent="0.2">
      <c r="A371" s="5"/>
      <c r="B371" s="25"/>
      <c r="C371" s="26"/>
      <c r="D371" s="5"/>
      <c r="E371" s="5"/>
      <c r="F371" s="32"/>
      <c r="G371" s="9"/>
      <c r="H371" s="6"/>
      <c r="I371" s="7"/>
      <c r="J371" s="9"/>
      <c r="N371" s="9"/>
      <c r="O371" s="12"/>
      <c r="P371" s="12"/>
      <c r="S371" s="9"/>
      <c r="T371" s="18"/>
      <c r="U371" s="18"/>
      <c r="Y371" s="9" t="e">
        <f t="shared" si="5"/>
        <v>#DIV/0!</v>
      </c>
      <c r="Z371" s="19"/>
      <c r="AC371" s="11"/>
      <c r="AD371" s="9"/>
      <c r="AE371" s="14"/>
      <c r="AF371" s="13"/>
      <c r="AO371" s="34" t="s">
        <v>79</v>
      </c>
      <c r="AP371" s="31">
        <v>10.5</v>
      </c>
      <c r="AQ371" s="31">
        <v>11.1</v>
      </c>
      <c r="AR371" s="31">
        <v>11.1</v>
      </c>
      <c r="AS371" s="31">
        <v>9.3000000000000007</v>
      </c>
    </row>
    <row r="372" spans="1:67" x14ac:dyDescent="0.2">
      <c r="A372" s="5" t="s">
        <v>67</v>
      </c>
      <c r="B372" s="25">
        <v>43320</v>
      </c>
      <c r="C372" s="26">
        <v>0.65625</v>
      </c>
      <c r="D372" s="5" t="s">
        <v>135</v>
      </c>
      <c r="E372" s="5"/>
      <c r="F372" s="32">
        <v>60.5</v>
      </c>
      <c r="G372" s="9">
        <v>2</v>
      </c>
      <c r="H372" s="6">
        <v>3.3057851239669422E-2</v>
      </c>
      <c r="I372" s="7">
        <v>6.83E-2</v>
      </c>
      <c r="J372" s="9">
        <v>314.15899999999999</v>
      </c>
      <c r="K372" s="9">
        <v>0.47809999999999997</v>
      </c>
      <c r="L372" s="9">
        <v>7</v>
      </c>
      <c r="M372" s="14">
        <v>328.54946663877848</v>
      </c>
      <c r="N372" s="9">
        <v>1365</v>
      </c>
      <c r="O372" s="8" t="s">
        <v>121</v>
      </c>
      <c r="P372" s="12" t="s">
        <v>82</v>
      </c>
      <c r="Q372" s="9" t="s">
        <v>122</v>
      </c>
      <c r="R372" s="9" t="s">
        <v>123</v>
      </c>
      <c r="S372" s="9"/>
      <c r="T372" s="18">
        <v>1</v>
      </c>
      <c r="U372" s="18">
        <v>1</v>
      </c>
      <c r="V372" s="9">
        <v>13</v>
      </c>
      <c r="Y372" s="9">
        <f t="shared" si="5"/>
        <v>328.54946663877848</v>
      </c>
      <c r="Z372" s="19" t="s">
        <v>73</v>
      </c>
      <c r="AA372" s="8" t="s">
        <v>231</v>
      </c>
      <c r="AB372" s="8" t="s">
        <v>75</v>
      </c>
      <c r="AC372" s="11" t="s">
        <v>76</v>
      </c>
      <c r="AD372" s="9" t="s">
        <v>91</v>
      </c>
      <c r="AE372" s="14">
        <v>902.57880699999998</v>
      </c>
      <c r="AF372" s="13"/>
      <c r="AO372" s="34" t="s">
        <v>78</v>
      </c>
      <c r="AP372" s="31">
        <v>13</v>
      </c>
      <c r="AQ372" s="31">
        <v>13</v>
      </c>
    </row>
    <row r="373" spans="1:67" x14ac:dyDescent="0.2">
      <c r="A373" s="5"/>
      <c r="B373" s="25"/>
      <c r="C373" s="26"/>
      <c r="D373" s="5"/>
      <c r="E373" s="5"/>
      <c r="F373" s="32"/>
      <c r="G373" s="9"/>
      <c r="H373" s="6"/>
      <c r="I373" s="7"/>
      <c r="J373" s="9"/>
      <c r="N373" s="9"/>
      <c r="P373" s="12"/>
      <c r="S373" s="9"/>
      <c r="T373" s="18"/>
      <c r="U373" s="18"/>
      <c r="Y373" s="9" t="e">
        <f t="shared" si="5"/>
        <v>#DIV/0!</v>
      </c>
      <c r="Z373" s="19"/>
      <c r="AC373" s="11"/>
      <c r="AD373" s="9"/>
      <c r="AE373" s="14"/>
      <c r="AF373" s="13"/>
      <c r="AO373" s="34" t="s">
        <v>79</v>
      </c>
      <c r="AP373" s="31">
        <v>7.4</v>
      </c>
      <c r="AQ373" s="31">
        <v>7.4</v>
      </c>
    </row>
    <row r="374" spans="1:67" x14ac:dyDescent="0.2">
      <c r="A374" s="5" t="s">
        <v>67</v>
      </c>
      <c r="B374" s="25">
        <v>43320</v>
      </c>
      <c r="C374" s="26">
        <v>0.65625</v>
      </c>
      <c r="D374" s="5" t="s">
        <v>135</v>
      </c>
      <c r="E374" s="5"/>
      <c r="F374" s="32">
        <v>60.5</v>
      </c>
      <c r="G374" s="9">
        <v>2</v>
      </c>
      <c r="H374" s="6">
        <v>3.3057851239669422E-2</v>
      </c>
      <c r="I374" s="7">
        <v>6.83E-2</v>
      </c>
      <c r="J374" s="9">
        <v>314.15899999999999</v>
      </c>
      <c r="K374" s="9">
        <v>0.47809999999999997</v>
      </c>
      <c r="L374" s="9">
        <v>7</v>
      </c>
      <c r="M374" s="14">
        <v>328.54946663877848</v>
      </c>
      <c r="N374" s="9">
        <v>1419</v>
      </c>
      <c r="O374" s="12" t="s">
        <v>94</v>
      </c>
      <c r="P374" s="12" t="s">
        <v>82</v>
      </c>
      <c r="Q374" s="9" t="s">
        <v>95</v>
      </c>
      <c r="R374" s="9" t="s">
        <v>96</v>
      </c>
      <c r="S374" s="9"/>
      <c r="T374" s="18">
        <v>355</v>
      </c>
      <c r="U374" s="18">
        <v>718</v>
      </c>
      <c r="V374" s="9">
        <v>0.8</v>
      </c>
      <c r="W374" s="9">
        <v>0.8</v>
      </c>
      <c r="X374" s="9">
        <v>0.8</v>
      </c>
      <c r="Y374" s="9">
        <f t="shared" si="5"/>
        <v>116635.06065676636</v>
      </c>
      <c r="Z374" s="19" t="s">
        <v>97</v>
      </c>
      <c r="AA374" s="8" t="s">
        <v>231</v>
      </c>
      <c r="AB374" s="8" t="s">
        <v>75</v>
      </c>
      <c r="AC374" s="11" t="s">
        <v>76</v>
      </c>
      <c r="AD374" s="9" t="s">
        <v>85</v>
      </c>
      <c r="AE374" s="14">
        <v>0.18</v>
      </c>
      <c r="AF374" s="14">
        <v>0.18</v>
      </c>
      <c r="AG374" s="14">
        <v>0.18</v>
      </c>
      <c r="AH374" s="14">
        <v>0.18</v>
      </c>
      <c r="AI374" s="14">
        <v>0.18</v>
      </c>
      <c r="AJ374" s="14">
        <v>0.18</v>
      </c>
      <c r="AK374" s="14">
        <v>0.18</v>
      </c>
      <c r="AL374" s="14">
        <v>0.18</v>
      </c>
      <c r="AM374" s="14">
        <v>0.18</v>
      </c>
      <c r="AN374" s="14">
        <v>0.18</v>
      </c>
      <c r="AO374" s="35" t="s">
        <v>78</v>
      </c>
      <c r="AP374" s="31">
        <v>0.75200000000000033</v>
      </c>
      <c r="AQ374" s="31">
        <v>0.7</v>
      </c>
      <c r="AR374" s="31">
        <v>0.7</v>
      </c>
      <c r="AS374" s="31">
        <v>0.7</v>
      </c>
      <c r="AT374" s="31">
        <v>0.7</v>
      </c>
      <c r="AU374" s="31">
        <v>0.7</v>
      </c>
      <c r="AV374" s="31">
        <v>0.7</v>
      </c>
      <c r="AW374" s="31">
        <v>0.7</v>
      </c>
      <c r="AX374" s="31">
        <v>0.7</v>
      </c>
      <c r="AY374" s="31">
        <v>0.7</v>
      </c>
      <c r="AZ374" s="31">
        <v>0.7</v>
      </c>
      <c r="BA374" s="31">
        <v>0.7</v>
      </c>
      <c r="BB374" s="31">
        <v>0.7</v>
      </c>
      <c r="BC374" s="31">
        <v>0.8</v>
      </c>
      <c r="BD374" s="31">
        <v>0.8</v>
      </c>
      <c r="BE374" s="31">
        <v>0.8</v>
      </c>
      <c r="BF374" s="31">
        <v>0.8</v>
      </c>
      <c r="BG374" s="31">
        <v>0.8</v>
      </c>
      <c r="BH374" s="31">
        <v>0.8</v>
      </c>
      <c r="BI374" s="31">
        <v>0.8</v>
      </c>
      <c r="BJ374" s="31">
        <v>0.8</v>
      </c>
      <c r="BK374" s="31">
        <v>0.8</v>
      </c>
      <c r="BL374" s="31">
        <v>0.8</v>
      </c>
      <c r="BM374" s="31">
        <v>0.8</v>
      </c>
      <c r="BN374" s="31">
        <v>0.8</v>
      </c>
      <c r="BO374" s="31">
        <v>0.8</v>
      </c>
    </row>
    <row r="375" spans="1:67" x14ac:dyDescent="0.2">
      <c r="A375" s="5" t="s">
        <v>67</v>
      </c>
      <c r="B375" s="25">
        <v>43320</v>
      </c>
      <c r="C375" s="26">
        <v>0.65625</v>
      </c>
      <c r="D375" s="5" t="s">
        <v>135</v>
      </c>
      <c r="E375" s="5"/>
      <c r="F375" s="32">
        <v>60.5</v>
      </c>
      <c r="G375" s="9">
        <v>2</v>
      </c>
      <c r="H375" s="6">
        <v>3.3057851239669422E-2</v>
      </c>
      <c r="I375" s="7">
        <v>6.83E-2</v>
      </c>
      <c r="J375" s="9">
        <v>314.15899999999999</v>
      </c>
      <c r="K375" s="9">
        <v>0.47809999999999997</v>
      </c>
      <c r="L375" s="9">
        <v>7</v>
      </c>
      <c r="M375" s="14">
        <v>328.54946663877848</v>
      </c>
      <c r="N375" s="9">
        <v>1420</v>
      </c>
      <c r="O375" s="12" t="s">
        <v>98</v>
      </c>
      <c r="P375" s="12" t="s">
        <v>82</v>
      </c>
      <c r="Q375" s="9" t="s">
        <v>95</v>
      </c>
      <c r="R375" s="9" t="s">
        <v>99</v>
      </c>
      <c r="S375" s="9"/>
      <c r="T375" s="18">
        <v>4</v>
      </c>
      <c r="U375" s="18">
        <v>8</v>
      </c>
      <c r="V375" s="9">
        <v>2.8</v>
      </c>
      <c r="Y375" s="9">
        <f t="shared" si="5"/>
        <v>1314.1978665551139</v>
      </c>
      <c r="Z375" s="19" t="s">
        <v>97</v>
      </c>
      <c r="AA375" s="8" t="s">
        <v>231</v>
      </c>
      <c r="AB375" s="8" t="s">
        <v>75</v>
      </c>
      <c r="AC375" s="11" t="s">
        <v>76</v>
      </c>
      <c r="AD375" s="9" t="s">
        <v>85</v>
      </c>
      <c r="AE375" s="14">
        <v>11.494030613333329</v>
      </c>
      <c r="AF375" s="13"/>
      <c r="AO375" s="34" t="s">
        <v>78</v>
      </c>
      <c r="AP375" s="31">
        <v>2.8</v>
      </c>
      <c r="AQ375" s="31">
        <v>2.8</v>
      </c>
      <c r="AR375" s="31">
        <v>2.8</v>
      </c>
      <c r="AS375" s="31">
        <v>2.8</v>
      </c>
      <c r="AT375" s="31">
        <v>2.8</v>
      </c>
      <c r="AU375" s="31">
        <v>2.8</v>
      </c>
    </row>
    <row r="376" spans="1:67" x14ac:dyDescent="0.2">
      <c r="A376" s="5" t="s">
        <v>67</v>
      </c>
      <c r="B376" s="25">
        <v>43320</v>
      </c>
      <c r="C376" s="26">
        <v>0.65625</v>
      </c>
      <c r="D376" s="5" t="s">
        <v>135</v>
      </c>
      <c r="E376" s="5"/>
      <c r="F376" s="32">
        <v>60.5</v>
      </c>
      <c r="G376" s="9">
        <v>2</v>
      </c>
      <c r="H376" s="6">
        <v>3.3057851239669422E-2</v>
      </c>
      <c r="I376" s="7">
        <v>6.83E-2</v>
      </c>
      <c r="J376" s="9">
        <v>314.15899999999999</v>
      </c>
      <c r="K376" s="9">
        <v>0.47809999999999997</v>
      </c>
      <c r="L376" s="9">
        <v>7</v>
      </c>
      <c r="M376" s="14">
        <v>328.54946663877848</v>
      </c>
      <c r="N376" s="9">
        <v>1421</v>
      </c>
      <c r="O376" s="12" t="s">
        <v>130</v>
      </c>
      <c r="P376" s="12" t="s">
        <v>82</v>
      </c>
      <c r="Q376" s="9" t="s">
        <v>95</v>
      </c>
      <c r="R376" s="9" t="s">
        <v>131</v>
      </c>
      <c r="S376" s="9"/>
      <c r="T376" s="18">
        <v>7</v>
      </c>
      <c r="U376" s="18">
        <v>11</v>
      </c>
      <c r="V376" s="9">
        <v>5.6</v>
      </c>
      <c r="Y376" s="9">
        <f t="shared" si="5"/>
        <v>2299.8462664714493</v>
      </c>
      <c r="Z376" s="19" t="s">
        <v>97</v>
      </c>
      <c r="AA376" s="8" t="s">
        <v>231</v>
      </c>
      <c r="AB376" s="8" t="s">
        <v>75</v>
      </c>
      <c r="AC376" s="11" t="s">
        <v>76</v>
      </c>
      <c r="AD376" s="9" t="s">
        <v>85</v>
      </c>
      <c r="AE376" s="14">
        <v>57.905786879999994</v>
      </c>
      <c r="AF376" s="13"/>
      <c r="AO376" s="34" t="s">
        <v>78</v>
      </c>
      <c r="AP376" s="31">
        <v>4.8</v>
      </c>
      <c r="AQ376" s="31">
        <v>4.5999999999999996</v>
      </c>
      <c r="AR376" s="31">
        <v>4.5999999999999996</v>
      </c>
      <c r="AS376" s="31">
        <v>4.5999999999999996</v>
      </c>
      <c r="AT376" s="31">
        <v>4.5999999999999996</v>
      </c>
      <c r="AU376" s="31">
        <v>5.6</v>
      </c>
    </row>
    <row r="377" spans="1:67" x14ac:dyDescent="0.2">
      <c r="A377" s="5" t="s">
        <v>67</v>
      </c>
      <c r="B377" s="25">
        <v>43320</v>
      </c>
      <c r="C377" s="26">
        <v>0.65625</v>
      </c>
      <c r="D377" s="5" t="s">
        <v>135</v>
      </c>
      <c r="E377" s="5"/>
      <c r="F377" s="32">
        <v>60.5</v>
      </c>
      <c r="G377" s="9">
        <v>2</v>
      </c>
      <c r="H377" s="6">
        <v>3.3057851239669422E-2</v>
      </c>
      <c r="I377" s="7">
        <v>6.83E-2</v>
      </c>
      <c r="J377" s="9">
        <v>314.15899999999999</v>
      </c>
      <c r="K377" s="9">
        <v>0.47809999999999997</v>
      </c>
      <c r="L377" s="9">
        <v>7</v>
      </c>
      <c r="M377" s="14">
        <v>328.54946663877848</v>
      </c>
      <c r="N377" s="9">
        <v>1709</v>
      </c>
      <c r="O377" s="12" t="s">
        <v>234</v>
      </c>
      <c r="P377" s="12" t="s">
        <v>82</v>
      </c>
      <c r="Q377" s="9" t="s">
        <v>235</v>
      </c>
      <c r="R377" s="9" t="s">
        <v>84</v>
      </c>
      <c r="S377" s="9"/>
      <c r="T377" s="18">
        <v>1</v>
      </c>
      <c r="U377" s="18">
        <v>50</v>
      </c>
      <c r="V377" s="9">
        <v>0.9</v>
      </c>
      <c r="Y377" s="9">
        <f t="shared" si="5"/>
        <v>328.54946663877848</v>
      </c>
      <c r="Z377" s="19" t="s">
        <v>134</v>
      </c>
      <c r="AA377" s="8" t="s">
        <v>231</v>
      </c>
      <c r="AB377" s="8" t="s">
        <v>75</v>
      </c>
      <c r="AC377" s="11" t="s">
        <v>76</v>
      </c>
      <c r="AD377" s="9" t="s">
        <v>104</v>
      </c>
      <c r="AE377" s="14">
        <v>0.57255477750000006</v>
      </c>
      <c r="AF377" s="13"/>
      <c r="AO377" s="34" t="s">
        <v>78</v>
      </c>
      <c r="AP377" s="31">
        <v>0.9</v>
      </c>
      <c r="AQ377" s="31">
        <v>0.9</v>
      </c>
      <c r="AR377" s="31">
        <v>0.9</v>
      </c>
      <c r="AS377" s="31">
        <v>0.9</v>
      </c>
      <c r="AT377" s="31">
        <v>0.9</v>
      </c>
      <c r="AU377" s="31">
        <v>0.9</v>
      </c>
    </row>
    <row r="378" spans="1:67" x14ac:dyDescent="0.2">
      <c r="A378" s="5"/>
      <c r="B378" s="25"/>
      <c r="C378" s="26"/>
      <c r="D378" s="5"/>
      <c r="E378" s="5"/>
      <c r="F378" s="32"/>
      <c r="G378" s="9"/>
      <c r="H378" s="6"/>
      <c r="I378" s="7"/>
      <c r="J378" s="9"/>
      <c r="N378" s="9"/>
      <c r="O378" s="12"/>
      <c r="P378" s="12"/>
      <c r="S378" s="9"/>
      <c r="T378" s="18"/>
      <c r="U378" s="18"/>
      <c r="Y378" s="9" t="e">
        <f t="shared" si="5"/>
        <v>#DIV/0!</v>
      </c>
      <c r="Z378" s="19"/>
      <c r="AC378" s="11"/>
      <c r="AD378" s="9"/>
      <c r="AE378" s="14"/>
      <c r="AF378" s="13"/>
      <c r="AO378" s="34" t="s">
        <v>79</v>
      </c>
      <c r="AP378" s="31">
        <v>0.9</v>
      </c>
      <c r="AQ378" s="31">
        <v>0.9</v>
      </c>
      <c r="AR378" s="31">
        <v>0.9</v>
      </c>
      <c r="AS378" s="31">
        <v>0.9</v>
      </c>
      <c r="AT378" s="31">
        <v>0.9</v>
      </c>
      <c r="AU378" s="31">
        <v>0.9</v>
      </c>
    </row>
    <row r="379" spans="1:67" x14ac:dyDescent="0.2">
      <c r="A379" s="5" t="s">
        <v>67</v>
      </c>
      <c r="B379" s="25">
        <v>43320</v>
      </c>
      <c r="C379" s="26">
        <v>0.62847222222222199</v>
      </c>
      <c r="D379" s="5" t="s">
        <v>236</v>
      </c>
      <c r="E379" s="5">
        <v>3</v>
      </c>
      <c r="F379" s="32">
        <v>60</v>
      </c>
      <c r="G379" s="9">
        <v>2</v>
      </c>
      <c r="H379" s="6">
        <v>3.3333333333333333E-2</v>
      </c>
      <c r="I379" s="7">
        <v>6.83E-2</v>
      </c>
      <c r="J379" s="9">
        <v>314.15899999999999</v>
      </c>
      <c r="K379" s="9">
        <v>0.5464</v>
      </c>
      <c r="L379" s="9">
        <v>8</v>
      </c>
      <c r="M379" s="14">
        <v>287.48078330893117</v>
      </c>
      <c r="N379" s="9">
        <v>91</v>
      </c>
      <c r="O379" s="12" t="s">
        <v>237</v>
      </c>
      <c r="P379" s="8" t="s">
        <v>70</v>
      </c>
      <c r="Q379" s="9" t="s">
        <v>238</v>
      </c>
      <c r="R379" s="9" t="s">
        <v>239</v>
      </c>
      <c r="S379" s="9"/>
      <c r="T379" s="18">
        <v>5</v>
      </c>
      <c r="U379" s="18">
        <v>5</v>
      </c>
      <c r="V379" s="9">
        <v>29.6</v>
      </c>
      <c r="Y379" s="9">
        <f t="shared" si="5"/>
        <v>1437.4039165446561</v>
      </c>
      <c r="Z379" s="19" t="s">
        <v>73</v>
      </c>
      <c r="AA379" s="8" t="s">
        <v>240</v>
      </c>
      <c r="AB379" s="8" t="s">
        <v>75</v>
      </c>
      <c r="AC379" s="11" t="s">
        <v>221</v>
      </c>
      <c r="AD379" s="9" t="s">
        <v>104</v>
      </c>
      <c r="AE379" s="14">
        <v>5191.2363579674993</v>
      </c>
      <c r="AF379" s="13"/>
      <c r="AO379" s="34" t="s">
        <v>78</v>
      </c>
      <c r="AP379" s="31">
        <v>23.68</v>
      </c>
      <c r="AQ379" s="31">
        <v>22.2</v>
      </c>
      <c r="AR379" s="31">
        <v>22.2</v>
      </c>
      <c r="AS379" s="31">
        <v>29.6</v>
      </c>
      <c r="AT379" s="31">
        <v>22.2</v>
      </c>
      <c r="AU379" s="31">
        <v>22.2</v>
      </c>
    </row>
    <row r="380" spans="1:67" x14ac:dyDescent="0.2">
      <c r="A380" s="5"/>
      <c r="B380" s="25"/>
      <c r="C380" s="26"/>
      <c r="D380" s="5"/>
      <c r="E380" s="5"/>
      <c r="F380" s="32"/>
      <c r="G380" s="9"/>
      <c r="H380" s="6"/>
      <c r="I380" s="7"/>
      <c r="J380" s="9"/>
      <c r="N380" s="9"/>
      <c r="O380" s="12"/>
      <c r="S380" s="9"/>
      <c r="T380" s="18"/>
      <c r="U380" s="18"/>
      <c r="Y380" s="9" t="e">
        <f t="shared" si="5"/>
        <v>#DIV/0!</v>
      </c>
      <c r="Z380" s="19"/>
      <c r="AC380" s="11"/>
      <c r="AD380" s="9"/>
      <c r="AE380" s="14"/>
      <c r="AF380" s="13"/>
      <c r="AO380" s="34" t="s">
        <v>79</v>
      </c>
      <c r="AP380" s="31">
        <v>16.7</v>
      </c>
      <c r="AQ380" s="31">
        <v>16.7</v>
      </c>
      <c r="AR380" s="31">
        <v>16.7</v>
      </c>
      <c r="AS380" s="31">
        <v>16.7</v>
      </c>
      <c r="AT380" s="31">
        <v>16.7</v>
      </c>
      <c r="AU380" s="31">
        <v>16.7</v>
      </c>
    </row>
    <row r="381" spans="1:67" x14ac:dyDescent="0.2">
      <c r="A381" s="5" t="s">
        <v>67</v>
      </c>
      <c r="B381" s="25">
        <v>43320</v>
      </c>
      <c r="C381" s="26">
        <v>0.62847222222222199</v>
      </c>
      <c r="D381" s="5" t="s">
        <v>236</v>
      </c>
      <c r="E381" s="5">
        <v>3</v>
      </c>
      <c r="F381" s="32">
        <v>60</v>
      </c>
      <c r="G381" s="9">
        <v>2</v>
      </c>
      <c r="H381" s="6">
        <v>3.3333333333333333E-2</v>
      </c>
      <c r="I381" s="7">
        <v>6.83E-2</v>
      </c>
      <c r="J381" s="9">
        <v>314.15899999999999</v>
      </c>
      <c r="K381" s="9">
        <v>0.5464</v>
      </c>
      <c r="L381" s="9">
        <v>8</v>
      </c>
      <c r="M381" s="14">
        <v>287.48078330893117</v>
      </c>
      <c r="N381" s="9">
        <v>145</v>
      </c>
      <c r="O381" s="12" t="s">
        <v>69</v>
      </c>
      <c r="P381" s="8" t="s">
        <v>70</v>
      </c>
      <c r="Q381" s="9" t="s">
        <v>71</v>
      </c>
      <c r="R381" s="9" t="s">
        <v>72</v>
      </c>
      <c r="S381" s="9"/>
      <c r="T381" s="18">
        <v>2</v>
      </c>
      <c r="U381" s="18">
        <v>2</v>
      </c>
      <c r="V381" s="9">
        <v>16.7</v>
      </c>
      <c r="Y381" s="9">
        <f t="shared" si="5"/>
        <v>574.96156661786233</v>
      </c>
      <c r="Z381" s="19" t="s">
        <v>73</v>
      </c>
      <c r="AA381" s="8" t="s">
        <v>240</v>
      </c>
      <c r="AB381" s="8" t="s">
        <v>75</v>
      </c>
      <c r="AC381" s="11" t="s">
        <v>221</v>
      </c>
      <c r="AD381" s="9" t="s">
        <v>77</v>
      </c>
      <c r="AE381" s="14">
        <v>261.19807578000001</v>
      </c>
      <c r="AF381" s="13"/>
      <c r="AO381" s="34" t="s">
        <v>78</v>
      </c>
      <c r="AP381" s="31">
        <v>14.85</v>
      </c>
      <c r="AQ381" s="31">
        <v>13</v>
      </c>
      <c r="AR381" s="31">
        <v>16.7</v>
      </c>
    </row>
    <row r="382" spans="1:67" x14ac:dyDescent="0.2">
      <c r="A382" s="5"/>
      <c r="B382" s="25"/>
      <c r="C382" s="26"/>
      <c r="D382" s="5"/>
      <c r="E382" s="5"/>
      <c r="F382" s="32"/>
      <c r="G382" s="9"/>
      <c r="H382" s="6"/>
      <c r="I382" s="7"/>
      <c r="J382" s="9"/>
      <c r="N382" s="9"/>
      <c r="O382" s="12"/>
      <c r="S382" s="9"/>
      <c r="T382" s="18"/>
      <c r="U382" s="18"/>
      <c r="Y382" s="9" t="e">
        <f t="shared" si="5"/>
        <v>#DIV/0!</v>
      </c>
      <c r="Z382" s="19"/>
      <c r="AC382" s="11"/>
      <c r="AD382" s="9"/>
      <c r="AE382" s="14"/>
      <c r="AF382" s="13"/>
      <c r="AO382" s="34" t="s">
        <v>79</v>
      </c>
      <c r="AP382" s="31">
        <v>9.25</v>
      </c>
      <c r="AQ382" s="31">
        <v>7.4</v>
      </c>
      <c r="AR382" s="31">
        <v>11.1</v>
      </c>
    </row>
    <row r="383" spans="1:67" x14ac:dyDescent="0.2">
      <c r="A383" s="5"/>
      <c r="B383" s="25"/>
      <c r="C383" s="26"/>
      <c r="D383" s="5"/>
      <c r="E383" s="5"/>
      <c r="F383" s="32"/>
      <c r="G383" s="9"/>
      <c r="H383" s="6"/>
      <c r="I383" s="7"/>
      <c r="J383" s="9"/>
      <c r="N383" s="9"/>
      <c r="O383" s="12"/>
      <c r="S383" s="9"/>
      <c r="T383" s="18"/>
      <c r="U383" s="18"/>
      <c r="Y383" s="9" t="e">
        <f t="shared" si="5"/>
        <v>#DIV/0!</v>
      </c>
      <c r="Z383" s="19"/>
      <c r="AC383" s="11"/>
      <c r="AD383" s="9"/>
      <c r="AE383" s="14"/>
      <c r="AF383" s="13"/>
      <c r="AO383" s="34" t="s">
        <v>80</v>
      </c>
      <c r="AP383" s="31">
        <v>2.3499999999999996</v>
      </c>
      <c r="AQ383" s="31">
        <v>1.9</v>
      </c>
      <c r="AR383" s="31">
        <v>2.8</v>
      </c>
    </row>
    <row r="384" spans="1:67" x14ac:dyDescent="0.2">
      <c r="A384" s="5" t="s">
        <v>67</v>
      </c>
      <c r="B384" s="25">
        <v>43320</v>
      </c>
      <c r="C384" s="26">
        <v>0.62847222222222199</v>
      </c>
      <c r="D384" s="5" t="s">
        <v>236</v>
      </c>
      <c r="E384" s="5">
        <v>3</v>
      </c>
      <c r="F384" s="32">
        <v>60</v>
      </c>
      <c r="G384" s="9">
        <v>2</v>
      </c>
      <c r="H384" s="6">
        <v>3.3333333333333333E-2</v>
      </c>
      <c r="I384" s="7">
        <v>6.83E-2</v>
      </c>
      <c r="J384" s="9">
        <v>314.15899999999999</v>
      </c>
      <c r="K384" s="9">
        <v>0.5464</v>
      </c>
      <c r="L384" s="9">
        <v>8</v>
      </c>
      <c r="M384" s="14">
        <v>287.48078330893117</v>
      </c>
      <c r="N384" s="9">
        <v>145</v>
      </c>
      <c r="O384" s="12" t="s">
        <v>69</v>
      </c>
      <c r="P384" s="8" t="s">
        <v>70</v>
      </c>
      <c r="Q384" s="9" t="s">
        <v>71</v>
      </c>
      <c r="R384" s="9" t="s">
        <v>72</v>
      </c>
      <c r="S384" s="9"/>
      <c r="T384" s="18">
        <v>1</v>
      </c>
      <c r="U384" s="18">
        <v>1</v>
      </c>
      <c r="V384" s="9">
        <v>18.5</v>
      </c>
      <c r="Y384" s="9">
        <f t="shared" si="5"/>
        <v>287.48078330893117</v>
      </c>
      <c r="Z384" s="19" t="s">
        <v>73</v>
      </c>
      <c r="AA384" s="8" t="s">
        <v>240</v>
      </c>
      <c r="AB384" s="8" t="s">
        <v>75</v>
      </c>
      <c r="AC384" s="11" t="s">
        <v>241</v>
      </c>
      <c r="AD384" s="9" t="s">
        <v>77</v>
      </c>
      <c r="AE384" s="14">
        <v>596.7410935124999</v>
      </c>
      <c r="AF384" s="13"/>
      <c r="AO384" s="34" t="s">
        <v>78</v>
      </c>
      <c r="AP384" s="31">
        <v>18.5</v>
      </c>
      <c r="AQ384" s="31">
        <v>18.5</v>
      </c>
    </row>
    <row r="385" spans="1:67" x14ac:dyDescent="0.2">
      <c r="A385" s="5"/>
      <c r="B385" s="25"/>
      <c r="C385" s="26"/>
      <c r="D385" s="5"/>
      <c r="E385" s="5"/>
      <c r="F385" s="32"/>
      <c r="G385" s="9"/>
      <c r="H385" s="6"/>
      <c r="I385" s="7"/>
      <c r="J385" s="9"/>
      <c r="N385" s="9"/>
      <c r="O385" s="12"/>
      <c r="S385" s="9"/>
      <c r="T385" s="18"/>
      <c r="U385" s="18"/>
      <c r="Y385" s="9" t="e">
        <f t="shared" si="5"/>
        <v>#DIV/0!</v>
      </c>
      <c r="Z385" s="19"/>
      <c r="AC385" s="11"/>
      <c r="AD385" s="9"/>
      <c r="AE385" s="14"/>
      <c r="AF385" s="13"/>
      <c r="AO385" s="34" t="s">
        <v>79</v>
      </c>
      <c r="AP385" s="31">
        <v>11.1</v>
      </c>
      <c r="AQ385" s="31">
        <v>11.1</v>
      </c>
    </row>
    <row r="386" spans="1:67" x14ac:dyDescent="0.2">
      <c r="A386" s="5"/>
      <c r="B386" s="25"/>
      <c r="C386" s="26"/>
      <c r="D386" s="5"/>
      <c r="E386" s="5"/>
      <c r="F386" s="32"/>
      <c r="G386" s="9"/>
      <c r="H386" s="6"/>
      <c r="I386" s="7"/>
      <c r="J386" s="9"/>
      <c r="N386" s="9"/>
      <c r="O386" s="12"/>
      <c r="S386" s="9"/>
      <c r="T386" s="18"/>
      <c r="U386" s="18"/>
      <c r="Y386" s="9" t="e">
        <f t="shared" si="5"/>
        <v>#DIV/0!</v>
      </c>
      <c r="Z386" s="19"/>
      <c r="AC386" s="11"/>
      <c r="AD386" s="9"/>
      <c r="AE386" s="14"/>
      <c r="AF386" s="13"/>
      <c r="AO386" s="34" t="s">
        <v>80</v>
      </c>
      <c r="AP386" s="31">
        <v>3.7</v>
      </c>
      <c r="AQ386" s="31">
        <v>3.7</v>
      </c>
    </row>
    <row r="387" spans="1:67" x14ac:dyDescent="0.2">
      <c r="A387" s="5" t="s">
        <v>67</v>
      </c>
      <c r="B387" s="25">
        <v>43320</v>
      </c>
      <c r="C387" s="26">
        <v>0.62847222222222199</v>
      </c>
      <c r="D387" s="5" t="s">
        <v>236</v>
      </c>
      <c r="E387" s="5">
        <v>3</v>
      </c>
      <c r="F387" s="32">
        <v>60</v>
      </c>
      <c r="G387" s="9">
        <v>2</v>
      </c>
      <c r="H387" s="6">
        <v>3.3333333333333333E-2</v>
      </c>
      <c r="I387" s="7">
        <v>6.83E-2</v>
      </c>
      <c r="J387" s="9">
        <v>314.15899999999999</v>
      </c>
      <c r="K387" s="9">
        <v>0.5464</v>
      </c>
      <c r="L387" s="9">
        <v>8</v>
      </c>
      <c r="M387" s="14">
        <v>287.48078330893117</v>
      </c>
      <c r="N387" s="9">
        <v>190</v>
      </c>
      <c r="O387" s="12" t="s">
        <v>102</v>
      </c>
      <c r="P387" s="8" t="s">
        <v>70</v>
      </c>
      <c r="Q387" s="9" t="s">
        <v>103</v>
      </c>
      <c r="R387" s="9" t="s">
        <v>84</v>
      </c>
      <c r="S387" s="9"/>
      <c r="T387" s="18">
        <v>3</v>
      </c>
      <c r="U387" s="18">
        <v>3</v>
      </c>
      <c r="V387" s="9">
        <v>7.4</v>
      </c>
      <c r="Y387" s="9">
        <f t="shared" ref="Y387:Y450" si="6">(T387*J387)/(G387*I387*L387)</f>
        <v>862.44234992679355</v>
      </c>
      <c r="Z387" s="19" t="s">
        <v>73</v>
      </c>
      <c r="AA387" s="8" t="s">
        <v>240</v>
      </c>
      <c r="AB387" s="8" t="s">
        <v>75</v>
      </c>
      <c r="AC387" s="11" t="s">
        <v>221</v>
      </c>
      <c r="AD387" s="9" t="s">
        <v>104</v>
      </c>
      <c r="AE387" s="14">
        <v>129.81992357000001</v>
      </c>
      <c r="AF387" s="13"/>
      <c r="AO387" s="34" t="s">
        <v>78</v>
      </c>
      <c r="AP387" s="31">
        <v>4.333333333333333</v>
      </c>
      <c r="AQ387" s="31">
        <v>5.6</v>
      </c>
      <c r="AR387" s="31">
        <v>3.7</v>
      </c>
      <c r="AS387" s="31">
        <v>3.7</v>
      </c>
    </row>
    <row r="388" spans="1:67" x14ac:dyDescent="0.2">
      <c r="A388" s="5"/>
      <c r="B388" s="25"/>
      <c r="C388" s="26"/>
      <c r="D388" s="5"/>
      <c r="E388" s="5"/>
      <c r="F388" s="32"/>
      <c r="G388" s="9"/>
      <c r="H388" s="6"/>
      <c r="I388" s="7"/>
      <c r="J388" s="9"/>
      <c r="N388" s="9"/>
      <c r="O388" s="12"/>
      <c r="S388" s="9"/>
      <c r="T388" s="18"/>
      <c r="U388" s="18"/>
      <c r="Y388" s="9" t="e">
        <f t="shared" si="6"/>
        <v>#DIV/0!</v>
      </c>
      <c r="Z388" s="19"/>
      <c r="AC388" s="11"/>
      <c r="AD388" s="9"/>
      <c r="AE388" s="14"/>
      <c r="AF388" s="13"/>
      <c r="AO388" s="34" t="s">
        <v>79</v>
      </c>
      <c r="AP388" s="31">
        <v>6.2</v>
      </c>
      <c r="AQ388" s="31">
        <v>7.4</v>
      </c>
      <c r="AR388" s="31">
        <v>5.6</v>
      </c>
      <c r="AS388" s="31">
        <v>5.6</v>
      </c>
    </row>
    <row r="389" spans="1:67" x14ac:dyDescent="0.2">
      <c r="A389" s="5" t="s">
        <v>67</v>
      </c>
      <c r="B389" s="25">
        <v>43320</v>
      </c>
      <c r="C389" s="26">
        <v>0.62847222222222199</v>
      </c>
      <c r="D389" s="5" t="s">
        <v>236</v>
      </c>
      <c r="E389" s="5">
        <v>3</v>
      </c>
      <c r="F389" s="32">
        <v>60</v>
      </c>
      <c r="G389" s="9">
        <v>2</v>
      </c>
      <c r="H389" s="6">
        <v>3.3333333333333333E-2</v>
      </c>
      <c r="I389" s="7">
        <v>6.83E-2</v>
      </c>
      <c r="J389" s="9">
        <v>314.15899999999999</v>
      </c>
      <c r="K389" s="9">
        <v>0.5464</v>
      </c>
      <c r="L389" s="9">
        <v>8</v>
      </c>
      <c r="M389" s="14">
        <v>287.48078330893117</v>
      </c>
      <c r="N389" s="9">
        <v>1037</v>
      </c>
      <c r="O389" s="12" t="s">
        <v>86</v>
      </c>
      <c r="P389" s="12" t="s">
        <v>82</v>
      </c>
      <c r="Q389" s="9" t="s">
        <v>87</v>
      </c>
      <c r="R389" s="9" t="s">
        <v>84</v>
      </c>
      <c r="S389" s="9"/>
      <c r="T389" s="18">
        <v>24</v>
      </c>
      <c r="U389" s="18">
        <v>24</v>
      </c>
      <c r="V389" s="9">
        <v>3.7</v>
      </c>
      <c r="Y389" s="9">
        <f t="shared" si="6"/>
        <v>6899.5387994143484</v>
      </c>
      <c r="Z389" s="19" t="s">
        <v>73</v>
      </c>
      <c r="AA389" s="8" t="s">
        <v>240</v>
      </c>
      <c r="AB389" s="8" t="s">
        <v>75</v>
      </c>
      <c r="AC389" s="11" t="s">
        <v>221</v>
      </c>
      <c r="AD389" s="9" t="s">
        <v>85</v>
      </c>
      <c r="AE389" s="14">
        <v>9.2027643066666673</v>
      </c>
      <c r="AF389" s="13"/>
      <c r="AO389" s="34" t="s">
        <v>78</v>
      </c>
      <c r="AP389" s="31">
        <v>2.62</v>
      </c>
      <c r="AQ389" s="31">
        <v>3.7</v>
      </c>
      <c r="AR389" s="31">
        <v>2.8</v>
      </c>
      <c r="AS389" s="31">
        <v>1.9</v>
      </c>
      <c r="AT389" s="31">
        <v>2.8</v>
      </c>
      <c r="AU389" s="31">
        <v>1.9</v>
      </c>
    </row>
    <row r="390" spans="1:67" x14ac:dyDescent="0.2">
      <c r="A390" s="5" t="s">
        <v>67</v>
      </c>
      <c r="B390" s="25">
        <v>43320</v>
      </c>
      <c r="C390" s="26">
        <v>0.62847222222222199</v>
      </c>
      <c r="D390" s="5" t="s">
        <v>236</v>
      </c>
      <c r="E390" s="5">
        <v>3</v>
      </c>
      <c r="F390" s="32">
        <v>60</v>
      </c>
      <c r="G390" s="9">
        <v>2</v>
      </c>
      <c r="H390" s="6">
        <v>3.3333333333333333E-2</v>
      </c>
      <c r="I390" s="7">
        <v>6.83E-2</v>
      </c>
      <c r="J390" s="9">
        <v>314.15899999999999</v>
      </c>
      <c r="K390" s="9">
        <v>0.5464</v>
      </c>
      <c r="L390" s="9">
        <v>8</v>
      </c>
      <c r="M390" s="14">
        <v>287.48078330893117</v>
      </c>
      <c r="N390" s="9">
        <v>1352</v>
      </c>
      <c r="O390" s="12" t="s">
        <v>118</v>
      </c>
      <c r="P390" s="12" t="s">
        <v>82</v>
      </c>
      <c r="Q390" s="9" t="s">
        <v>119</v>
      </c>
      <c r="R390" s="9" t="s">
        <v>84</v>
      </c>
      <c r="S390" s="9"/>
      <c r="T390" s="18">
        <v>2</v>
      </c>
      <c r="U390" s="18">
        <v>2</v>
      </c>
      <c r="V390" s="9">
        <v>14.8</v>
      </c>
      <c r="Y390" s="9">
        <f t="shared" si="6"/>
        <v>574.96156661786233</v>
      </c>
      <c r="Z390" s="19" t="s">
        <v>73</v>
      </c>
      <c r="AA390" s="8" t="s">
        <v>240</v>
      </c>
      <c r="AB390" s="8" t="s">
        <v>75</v>
      </c>
      <c r="AC390" s="11" t="s">
        <v>221</v>
      </c>
      <c r="AD390" s="9" t="s">
        <v>120</v>
      </c>
      <c r="AE390" s="14">
        <v>954.78574961999971</v>
      </c>
      <c r="AF390" s="13"/>
      <c r="AO390" s="34" t="s">
        <v>78</v>
      </c>
      <c r="AP390" s="31">
        <v>14.8</v>
      </c>
      <c r="AQ390" s="31">
        <v>14.8</v>
      </c>
      <c r="AR390" s="31">
        <v>14.8</v>
      </c>
    </row>
    <row r="391" spans="1:67" x14ac:dyDescent="0.2">
      <c r="A391" s="5"/>
      <c r="B391" s="25"/>
      <c r="C391" s="26"/>
      <c r="D391" s="5"/>
      <c r="E391" s="5"/>
      <c r="F391" s="32"/>
      <c r="G391" s="9"/>
      <c r="H391" s="6"/>
      <c r="I391" s="7"/>
      <c r="J391" s="9"/>
      <c r="N391" s="9"/>
      <c r="O391" s="12"/>
      <c r="P391" s="12"/>
      <c r="S391" s="9"/>
      <c r="T391" s="18"/>
      <c r="U391" s="18"/>
      <c r="Y391" s="9" t="e">
        <f t="shared" si="6"/>
        <v>#DIV/0!</v>
      </c>
      <c r="Z391" s="19"/>
      <c r="AC391" s="11"/>
      <c r="AD391" s="9"/>
      <c r="AE391" s="14"/>
      <c r="AF391" s="13"/>
      <c r="AO391" s="34" t="s">
        <v>79</v>
      </c>
      <c r="AP391" s="31">
        <v>11.1</v>
      </c>
      <c r="AQ391" s="31">
        <v>11.1</v>
      </c>
      <c r="AR391" s="31">
        <v>11.1</v>
      </c>
    </row>
    <row r="392" spans="1:67" x14ac:dyDescent="0.2">
      <c r="A392" s="5" t="s">
        <v>67</v>
      </c>
      <c r="B392" s="25">
        <v>43320</v>
      </c>
      <c r="C392" s="26">
        <v>0.62847222222222199</v>
      </c>
      <c r="D392" s="5" t="s">
        <v>236</v>
      </c>
      <c r="E392" s="5">
        <v>3</v>
      </c>
      <c r="F392" s="32">
        <v>60</v>
      </c>
      <c r="G392" s="9">
        <v>2</v>
      </c>
      <c r="H392" s="6">
        <v>3.3333333333333333E-2</v>
      </c>
      <c r="I392" s="7">
        <v>6.83E-2</v>
      </c>
      <c r="J392" s="9">
        <v>314.15899999999999</v>
      </c>
      <c r="K392" s="9">
        <v>0.5464</v>
      </c>
      <c r="L392" s="9">
        <v>8</v>
      </c>
      <c r="M392" s="14">
        <v>287.48078330893117</v>
      </c>
      <c r="N392" s="9">
        <v>1364</v>
      </c>
      <c r="O392" s="12" t="s">
        <v>88</v>
      </c>
      <c r="P392" s="12" t="s">
        <v>82</v>
      </c>
      <c r="Q392" s="9" t="s">
        <v>89</v>
      </c>
      <c r="R392" s="9" t="s">
        <v>90</v>
      </c>
      <c r="S392" s="9"/>
      <c r="T392" s="18">
        <v>2</v>
      </c>
      <c r="U392" s="18">
        <v>2</v>
      </c>
      <c r="V392" s="9">
        <v>11.1</v>
      </c>
      <c r="Y392" s="9">
        <f t="shared" si="6"/>
        <v>574.96156661786233</v>
      </c>
      <c r="Z392" s="19" t="s">
        <v>73</v>
      </c>
      <c r="AA392" s="8" t="s">
        <v>240</v>
      </c>
      <c r="AB392" s="8" t="s">
        <v>75</v>
      </c>
      <c r="AC392" s="11" t="s">
        <v>221</v>
      </c>
      <c r="AD392" s="9" t="s">
        <v>91</v>
      </c>
      <c r="AE392" s="14">
        <v>430.35384773999982</v>
      </c>
      <c r="AF392" s="13"/>
      <c r="AO392" s="34" t="s">
        <v>78</v>
      </c>
      <c r="AP392" s="31">
        <v>10.199999999999999</v>
      </c>
      <c r="AQ392" s="31">
        <v>11.1</v>
      </c>
      <c r="AR392" s="31">
        <v>9.3000000000000007</v>
      </c>
    </row>
    <row r="393" spans="1:67" x14ac:dyDescent="0.2">
      <c r="A393" s="5"/>
      <c r="B393" s="25"/>
      <c r="C393" s="26"/>
      <c r="D393" s="5"/>
      <c r="E393" s="5"/>
      <c r="F393" s="32"/>
      <c r="G393" s="9"/>
      <c r="H393" s="6"/>
      <c r="I393" s="7"/>
      <c r="J393" s="9"/>
      <c r="N393" s="9"/>
      <c r="O393" s="12"/>
      <c r="P393" s="12"/>
      <c r="S393" s="9"/>
      <c r="T393" s="18"/>
      <c r="U393" s="18"/>
      <c r="Y393" s="9" t="e">
        <f t="shared" si="6"/>
        <v>#DIV/0!</v>
      </c>
      <c r="Z393" s="19"/>
      <c r="AC393" s="11"/>
      <c r="AD393" s="9"/>
      <c r="AE393" s="14"/>
      <c r="AF393" s="13"/>
      <c r="AO393" s="34" t="s">
        <v>79</v>
      </c>
      <c r="AP393" s="31">
        <v>5.6</v>
      </c>
      <c r="AQ393" s="31">
        <v>5.6</v>
      </c>
      <c r="AR393" s="31">
        <v>5.6</v>
      </c>
    </row>
    <row r="394" spans="1:67" x14ac:dyDescent="0.2">
      <c r="A394" s="5" t="s">
        <v>67</v>
      </c>
      <c r="B394" s="25">
        <v>43320</v>
      </c>
      <c r="C394" s="26">
        <v>0.62847222222222199</v>
      </c>
      <c r="D394" s="5" t="s">
        <v>236</v>
      </c>
      <c r="E394" s="5">
        <v>3</v>
      </c>
      <c r="F394" s="32">
        <v>60</v>
      </c>
      <c r="G394" s="9">
        <v>2</v>
      </c>
      <c r="H394" s="6">
        <v>3.3333333333333333E-2</v>
      </c>
      <c r="I394" s="7">
        <v>6.83E-2</v>
      </c>
      <c r="J394" s="9">
        <v>314.15899999999999</v>
      </c>
      <c r="K394" s="9">
        <v>0.5464</v>
      </c>
      <c r="L394" s="9">
        <v>8</v>
      </c>
      <c r="M394" s="14">
        <v>287.48078330893117</v>
      </c>
      <c r="N394" s="9">
        <v>1733</v>
      </c>
      <c r="O394" s="12" t="s">
        <v>92</v>
      </c>
      <c r="P394" s="12" t="s">
        <v>82</v>
      </c>
      <c r="Q394" s="9" t="s">
        <v>89</v>
      </c>
      <c r="R394" s="9" t="s">
        <v>93</v>
      </c>
      <c r="S394" s="9"/>
      <c r="T394" s="18">
        <v>1</v>
      </c>
      <c r="U394" s="18">
        <v>1</v>
      </c>
      <c r="V394" s="9">
        <v>7.4</v>
      </c>
      <c r="Y394" s="9">
        <f t="shared" si="6"/>
        <v>287.48078330893117</v>
      </c>
      <c r="Z394" s="19" t="s">
        <v>73</v>
      </c>
      <c r="AA394" s="8" t="s">
        <v>240</v>
      </c>
      <c r="AB394" s="8" t="s">
        <v>75</v>
      </c>
      <c r="AC394" s="11" t="s">
        <v>221</v>
      </c>
      <c r="AD394" s="9" t="s">
        <v>91</v>
      </c>
      <c r="AE394" s="14">
        <v>172.0334684</v>
      </c>
      <c r="AF394" s="13"/>
      <c r="AO394" s="34" t="s">
        <v>78</v>
      </c>
      <c r="AP394" s="31">
        <v>7.4</v>
      </c>
      <c r="AQ394" s="31">
        <v>7.4</v>
      </c>
    </row>
    <row r="395" spans="1:67" x14ac:dyDescent="0.2">
      <c r="A395" s="5"/>
      <c r="B395" s="25"/>
      <c r="C395" s="26"/>
      <c r="D395" s="5"/>
      <c r="E395" s="5"/>
      <c r="F395" s="32"/>
      <c r="G395" s="9"/>
      <c r="H395" s="6"/>
      <c r="I395" s="7"/>
      <c r="J395" s="9"/>
      <c r="N395" s="9"/>
      <c r="O395" s="12"/>
      <c r="P395" s="12"/>
      <c r="S395" s="9"/>
      <c r="T395" s="18"/>
      <c r="U395" s="18"/>
      <c r="Y395" s="9" t="e">
        <f t="shared" si="6"/>
        <v>#DIV/0!</v>
      </c>
      <c r="Z395" s="19"/>
      <c r="AC395" s="11"/>
      <c r="AD395" s="9"/>
      <c r="AE395" s="14"/>
      <c r="AF395" s="13"/>
      <c r="AO395" s="34" t="s">
        <v>79</v>
      </c>
      <c r="AP395" s="31">
        <v>4.5999999999999996</v>
      </c>
      <c r="AQ395" s="31">
        <v>4.5999999999999996</v>
      </c>
    </row>
    <row r="396" spans="1:67" x14ac:dyDescent="0.2">
      <c r="A396" s="5" t="s">
        <v>67</v>
      </c>
      <c r="B396" s="25">
        <v>43320</v>
      </c>
      <c r="C396" s="26">
        <v>0.62847222222222199</v>
      </c>
      <c r="D396" s="5" t="s">
        <v>236</v>
      </c>
      <c r="E396" s="5">
        <v>3</v>
      </c>
      <c r="F396" s="32">
        <v>60</v>
      </c>
      <c r="G396" s="9">
        <v>2</v>
      </c>
      <c r="H396" s="6">
        <v>3.3333333333333333E-2</v>
      </c>
      <c r="I396" s="7">
        <v>6.83E-2</v>
      </c>
      <c r="J396" s="9">
        <v>314.15899999999999</v>
      </c>
      <c r="K396" s="9">
        <v>0.5464</v>
      </c>
      <c r="L396" s="9">
        <v>8</v>
      </c>
      <c r="M396" s="14">
        <v>287.48078330893117</v>
      </c>
      <c r="N396" s="9">
        <v>1419</v>
      </c>
      <c r="O396" s="12" t="s">
        <v>94</v>
      </c>
      <c r="P396" s="12" t="s">
        <v>82</v>
      </c>
      <c r="Q396" s="9" t="s">
        <v>95</v>
      </c>
      <c r="R396" s="9" t="s">
        <v>96</v>
      </c>
      <c r="S396" s="9"/>
      <c r="T396" s="18">
        <v>368</v>
      </c>
      <c r="U396" s="18">
        <v>741</v>
      </c>
      <c r="V396" s="9">
        <v>0.8</v>
      </c>
      <c r="W396" s="9">
        <v>0.8</v>
      </c>
      <c r="X396" s="9">
        <v>0.8</v>
      </c>
      <c r="Y396" s="9">
        <f t="shared" si="6"/>
        <v>105792.92825768668</v>
      </c>
      <c r="Z396" s="19" t="s">
        <v>97</v>
      </c>
      <c r="AA396" s="8" t="s">
        <v>240</v>
      </c>
      <c r="AB396" s="8" t="s">
        <v>75</v>
      </c>
      <c r="AC396" s="11" t="s">
        <v>221</v>
      </c>
      <c r="AD396" s="9" t="s">
        <v>85</v>
      </c>
      <c r="AE396" s="14">
        <v>0.18</v>
      </c>
      <c r="AF396" s="14">
        <v>0.18</v>
      </c>
      <c r="AG396" s="14">
        <v>0.18</v>
      </c>
      <c r="AH396" s="14">
        <v>0.18</v>
      </c>
      <c r="AI396" s="14">
        <v>0.18</v>
      </c>
      <c r="AJ396" s="14">
        <v>0.18</v>
      </c>
      <c r="AK396" s="14">
        <v>0.18</v>
      </c>
      <c r="AL396" s="14">
        <v>0.18</v>
      </c>
      <c r="AM396" s="14">
        <v>0.18</v>
      </c>
      <c r="AN396" s="14">
        <v>0.18</v>
      </c>
      <c r="AO396" s="35" t="s">
        <v>78</v>
      </c>
      <c r="AP396" s="31">
        <v>0.75200000000000033</v>
      </c>
      <c r="AQ396" s="31">
        <v>0.7</v>
      </c>
      <c r="AR396" s="31">
        <v>0.7</v>
      </c>
      <c r="AS396" s="31">
        <v>0.7</v>
      </c>
      <c r="AT396" s="31">
        <v>0.7</v>
      </c>
      <c r="AU396" s="31">
        <v>0.7</v>
      </c>
      <c r="AV396" s="31">
        <v>0.7</v>
      </c>
      <c r="AW396" s="31">
        <v>0.7</v>
      </c>
      <c r="AX396" s="31">
        <v>0.7</v>
      </c>
      <c r="AY396" s="31">
        <v>0.7</v>
      </c>
      <c r="AZ396" s="31">
        <v>0.7</v>
      </c>
      <c r="BA396" s="31">
        <v>0.7</v>
      </c>
      <c r="BB396" s="31">
        <v>0.7</v>
      </c>
      <c r="BC396" s="31">
        <v>0.8</v>
      </c>
      <c r="BD396" s="31">
        <v>0.8</v>
      </c>
      <c r="BE396" s="31">
        <v>0.8</v>
      </c>
      <c r="BF396" s="31">
        <v>0.8</v>
      </c>
      <c r="BG396" s="31">
        <v>0.8</v>
      </c>
      <c r="BH396" s="31">
        <v>0.8</v>
      </c>
      <c r="BI396" s="31">
        <v>0.8</v>
      </c>
      <c r="BJ396" s="31">
        <v>0.8</v>
      </c>
      <c r="BK396" s="31">
        <v>0.8</v>
      </c>
      <c r="BL396" s="31">
        <v>0.8</v>
      </c>
      <c r="BM396" s="31">
        <v>0.8</v>
      </c>
      <c r="BN396" s="31">
        <v>0.8</v>
      </c>
      <c r="BO396" s="31">
        <v>0.8</v>
      </c>
    </row>
    <row r="397" spans="1:67" x14ac:dyDescent="0.2">
      <c r="A397" s="5" t="s">
        <v>67</v>
      </c>
      <c r="B397" s="25">
        <v>43320</v>
      </c>
      <c r="C397" s="26">
        <v>0.62847222222222199</v>
      </c>
      <c r="D397" s="5" t="s">
        <v>236</v>
      </c>
      <c r="E397" s="5">
        <v>3</v>
      </c>
      <c r="F397" s="32">
        <v>60</v>
      </c>
      <c r="G397" s="9">
        <v>2</v>
      </c>
      <c r="H397" s="6">
        <v>3.3333333333333333E-2</v>
      </c>
      <c r="I397" s="7">
        <v>6.83E-2</v>
      </c>
      <c r="J397" s="9">
        <v>314.15899999999999</v>
      </c>
      <c r="K397" s="9">
        <v>0.5464</v>
      </c>
      <c r="L397" s="9">
        <v>8</v>
      </c>
      <c r="M397" s="14">
        <v>287.48078330893117</v>
      </c>
      <c r="N397" s="9">
        <v>1421</v>
      </c>
      <c r="O397" s="12" t="s">
        <v>130</v>
      </c>
      <c r="P397" s="12" t="s">
        <v>82</v>
      </c>
      <c r="Q397" s="9" t="s">
        <v>95</v>
      </c>
      <c r="R397" s="9" t="s">
        <v>131</v>
      </c>
      <c r="S397" s="9"/>
      <c r="T397" s="18">
        <v>2</v>
      </c>
      <c r="U397" s="18">
        <v>2</v>
      </c>
      <c r="V397" s="9">
        <v>4.5999999999999996</v>
      </c>
      <c r="Y397" s="9">
        <f t="shared" si="6"/>
        <v>574.96156661786233</v>
      </c>
      <c r="Z397" s="19" t="s">
        <v>73</v>
      </c>
      <c r="AA397" s="8" t="s">
        <v>240</v>
      </c>
      <c r="AB397" s="8" t="s">
        <v>75</v>
      </c>
      <c r="AC397" s="11" t="s">
        <v>221</v>
      </c>
      <c r="AD397" s="9" t="s">
        <v>85</v>
      </c>
      <c r="AE397" s="14">
        <v>50.964967373333316</v>
      </c>
      <c r="AF397" s="13"/>
      <c r="AO397" s="35" t="s">
        <v>78</v>
      </c>
      <c r="AP397" s="31">
        <v>4.5999999999999996</v>
      </c>
      <c r="AQ397" s="31">
        <v>4.5999999999999996</v>
      </c>
      <c r="AR397" s="31">
        <v>4.5999999999999996</v>
      </c>
    </row>
    <row r="398" spans="1:67" x14ac:dyDescent="0.2">
      <c r="A398" s="5" t="s">
        <v>67</v>
      </c>
      <c r="B398" s="25">
        <v>43320</v>
      </c>
      <c r="C398" s="26">
        <v>0.62847222222222199</v>
      </c>
      <c r="D398" s="5" t="s">
        <v>236</v>
      </c>
      <c r="E398" s="5">
        <v>3</v>
      </c>
      <c r="F398" s="32">
        <v>60</v>
      </c>
      <c r="G398" s="9">
        <v>2</v>
      </c>
      <c r="H398" s="6">
        <v>3.3333333333333333E-2</v>
      </c>
      <c r="I398" s="7">
        <v>6.83E-2</v>
      </c>
      <c r="J398" s="9">
        <v>314.15899999999999</v>
      </c>
      <c r="K398" s="9">
        <v>0.5464</v>
      </c>
      <c r="L398" s="9">
        <v>8</v>
      </c>
      <c r="M398" s="14">
        <v>287.48078330893117</v>
      </c>
      <c r="N398" s="9">
        <v>1423</v>
      </c>
      <c r="O398" s="12" t="s">
        <v>163</v>
      </c>
      <c r="P398" s="12" t="s">
        <v>82</v>
      </c>
      <c r="Q398" s="9" t="s">
        <v>95</v>
      </c>
      <c r="R398" s="9" t="s">
        <v>84</v>
      </c>
      <c r="S398" s="9"/>
      <c r="T398" s="18">
        <v>1</v>
      </c>
      <c r="U398" s="18">
        <v>2</v>
      </c>
      <c r="V398" s="9">
        <v>2.8</v>
      </c>
      <c r="Y398" s="9">
        <f t="shared" si="6"/>
        <v>287.48078330893117</v>
      </c>
      <c r="Z398" s="19" t="s">
        <v>97</v>
      </c>
      <c r="AA398" s="8" t="s">
        <v>240</v>
      </c>
      <c r="AB398" s="8" t="s">
        <v>75</v>
      </c>
      <c r="AC398" s="11" t="s">
        <v>221</v>
      </c>
      <c r="AD398" s="9" t="s">
        <v>85</v>
      </c>
      <c r="AE398" s="14">
        <v>11.494030613333329</v>
      </c>
      <c r="AF398" s="13"/>
      <c r="AO398" s="35" t="s">
        <v>78</v>
      </c>
      <c r="AP398" s="31">
        <v>2.8</v>
      </c>
      <c r="AQ398" s="31">
        <v>2.8</v>
      </c>
      <c r="AR398" s="31">
        <v>2.8</v>
      </c>
    </row>
    <row r="399" spans="1:67" x14ac:dyDescent="0.2">
      <c r="A399" s="5" t="s">
        <v>67</v>
      </c>
      <c r="B399" s="25">
        <v>43361</v>
      </c>
      <c r="C399" s="26">
        <v>0.72222222222222199</v>
      </c>
      <c r="D399" s="5" t="s">
        <v>135</v>
      </c>
      <c r="E399" s="5"/>
      <c r="F399" s="32">
        <v>62</v>
      </c>
      <c r="G399" s="9">
        <v>2</v>
      </c>
      <c r="H399" s="6">
        <v>3.2258064516129031E-2</v>
      </c>
      <c r="I399" s="7">
        <v>6.83E-2</v>
      </c>
      <c r="J399" s="9">
        <v>314.15899999999999</v>
      </c>
      <c r="K399" s="9">
        <v>0.5464</v>
      </c>
      <c r="L399" s="9">
        <v>8</v>
      </c>
      <c r="M399" s="14">
        <v>287.48078330893117</v>
      </c>
      <c r="N399" s="9">
        <v>190</v>
      </c>
      <c r="O399" s="12" t="s">
        <v>102</v>
      </c>
      <c r="P399" s="8" t="s">
        <v>70</v>
      </c>
      <c r="Q399" s="9" t="s">
        <v>103</v>
      </c>
      <c r="R399" s="9" t="s">
        <v>84</v>
      </c>
      <c r="S399" s="9"/>
      <c r="T399" s="18">
        <v>1</v>
      </c>
      <c r="U399" s="18">
        <v>1</v>
      </c>
      <c r="V399" s="9">
        <v>4.5999999999999996</v>
      </c>
      <c r="Y399" s="9">
        <f t="shared" si="6"/>
        <v>287.48078330893117</v>
      </c>
      <c r="Z399" s="19" t="s">
        <v>73</v>
      </c>
      <c r="AA399" s="8" t="s">
        <v>242</v>
      </c>
      <c r="AB399" s="8" t="s">
        <v>75</v>
      </c>
      <c r="AC399" s="11" t="s">
        <v>76</v>
      </c>
      <c r="AD399" s="9" t="s">
        <v>104</v>
      </c>
      <c r="AE399" s="14">
        <v>61.490341069999992</v>
      </c>
      <c r="AF399" s="13"/>
      <c r="AO399" s="34" t="s">
        <v>78</v>
      </c>
      <c r="AP399" s="31">
        <v>3.7</v>
      </c>
      <c r="AQ399" s="31">
        <v>3.7</v>
      </c>
    </row>
    <row r="400" spans="1:67" x14ac:dyDescent="0.2">
      <c r="A400" s="5"/>
      <c r="B400" s="25"/>
      <c r="C400" s="26"/>
      <c r="D400" s="5"/>
      <c r="E400" s="5"/>
      <c r="F400" s="32"/>
      <c r="G400" s="9"/>
      <c r="H400" s="6"/>
      <c r="I400" s="7"/>
      <c r="J400" s="9"/>
      <c r="N400" s="9"/>
      <c r="O400" s="12"/>
      <c r="S400" s="9"/>
      <c r="T400" s="18"/>
      <c r="U400" s="18"/>
      <c r="Y400" s="9" t="e">
        <f t="shared" si="6"/>
        <v>#DIV/0!</v>
      </c>
      <c r="Z400" s="19"/>
      <c r="AC400" s="11"/>
      <c r="AD400" s="9"/>
      <c r="AE400" s="14"/>
      <c r="AF400" s="13"/>
      <c r="AO400" s="34" t="s">
        <v>79</v>
      </c>
      <c r="AP400" s="31">
        <v>4.5999999999999996</v>
      </c>
      <c r="AQ400" s="31">
        <v>4.5999999999999996</v>
      </c>
    </row>
    <row r="401" spans="1:67" x14ac:dyDescent="0.2">
      <c r="A401" s="5" t="s">
        <v>67</v>
      </c>
      <c r="B401" s="25">
        <v>43361</v>
      </c>
      <c r="C401" s="26">
        <v>0.72222222222222199</v>
      </c>
      <c r="D401" s="5" t="s">
        <v>135</v>
      </c>
      <c r="E401" s="5"/>
      <c r="F401" s="32">
        <v>62</v>
      </c>
      <c r="G401" s="9">
        <v>2</v>
      </c>
      <c r="H401" s="6">
        <v>3.2258064516129031E-2</v>
      </c>
      <c r="I401" s="7">
        <v>6.83E-2</v>
      </c>
      <c r="J401" s="9">
        <v>314.15899999999999</v>
      </c>
      <c r="K401" s="9">
        <v>0.5464</v>
      </c>
      <c r="L401" s="9">
        <v>8</v>
      </c>
      <c r="M401" s="14">
        <v>287.48078330893117</v>
      </c>
      <c r="N401" s="9">
        <v>1860</v>
      </c>
      <c r="O401" s="8" t="s">
        <v>137</v>
      </c>
      <c r="P401" s="8" t="s">
        <v>70</v>
      </c>
      <c r="Q401" s="9" t="s">
        <v>138</v>
      </c>
      <c r="R401" s="9" t="s">
        <v>139</v>
      </c>
      <c r="S401" s="9"/>
      <c r="T401" s="18">
        <v>2</v>
      </c>
      <c r="U401" s="18">
        <v>2</v>
      </c>
      <c r="V401" s="9">
        <v>9.3000000000000007</v>
      </c>
      <c r="Y401" s="9">
        <f t="shared" si="6"/>
        <v>574.96156661786233</v>
      </c>
      <c r="Z401" s="19" t="s">
        <v>73</v>
      </c>
      <c r="AA401" s="8" t="s">
        <v>242</v>
      </c>
      <c r="AB401" s="8" t="s">
        <v>75</v>
      </c>
      <c r="AC401" s="11" t="s">
        <v>76</v>
      </c>
      <c r="AD401" s="9" t="s">
        <v>140</v>
      </c>
      <c r="AE401" s="14">
        <v>51.723137759999993</v>
      </c>
      <c r="AF401" s="13"/>
      <c r="AO401" s="34" t="s">
        <v>78</v>
      </c>
      <c r="AP401" s="31">
        <v>8.3500000000000014</v>
      </c>
      <c r="AQ401" s="31">
        <v>7.4</v>
      </c>
      <c r="AR401" s="31">
        <v>9.3000000000000007</v>
      </c>
    </row>
    <row r="402" spans="1:67" x14ac:dyDescent="0.2">
      <c r="A402" s="5"/>
      <c r="B402" s="25"/>
      <c r="C402" s="26"/>
      <c r="D402" s="5"/>
      <c r="E402" s="5"/>
      <c r="F402" s="32"/>
      <c r="G402" s="9"/>
      <c r="H402" s="6"/>
      <c r="I402" s="7"/>
      <c r="J402" s="9"/>
      <c r="N402" s="9"/>
      <c r="S402" s="9"/>
      <c r="T402" s="18"/>
      <c r="U402" s="18"/>
      <c r="Y402" s="9" t="e">
        <f t="shared" si="6"/>
        <v>#DIV/0!</v>
      </c>
      <c r="Z402" s="19"/>
      <c r="AC402" s="11"/>
      <c r="AD402" s="9"/>
      <c r="AE402" s="14"/>
      <c r="AF402" s="13"/>
      <c r="AO402" s="34" t="s">
        <v>79</v>
      </c>
      <c r="AP402" s="31">
        <v>2.8</v>
      </c>
      <c r="AQ402" s="31">
        <v>2.8</v>
      </c>
      <c r="AR402" s="31">
        <v>2.8</v>
      </c>
    </row>
    <row r="403" spans="1:67" x14ac:dyDescent="0.2">
      <c r="A403" s="5" t="s">
        <v>67</v>
      </c>
      <c r="B403" s="25">
        <v>43361</v>
      </c>
      <c r="C403" s="26">
        <v>0.72222222222222199</v>
      </c>
      <c r="D403" s="5" t="s">
        <v>135</v>
      </c>
      <c r="E403" s="5"/>
      <c r="F403" s="32">
        <v>62</v>
      </c>
      <c r="G403" s="9">
        <v>2</v>
      </c>
      <c r="H403" s="6">
        <v>3.2258064516129031E-2</v>
      </c>
      <c r="I403" s="7">
        <v>6.83E-2</v>
      </c>
      <c r="J403" s="9">
        <v>314.15899999999999</v>
      </c>
      <c r="K403" s="9">
        <v>0.5464</v>
      </c>
      <c r="L403" s="9">
        <v>8</v>
      </c>
      <c r="M403" s="14">
        <v>287.48078330893117</v>
      </c>
      <c r="N403" s="9">
        <v>1037</v>
      </c>
      <c r="O403" s="12" t="s">
        <v>86</v>
      </c>
      <c r="P403" s="12" t="s">
        <v>82</v>
      </c>
      <c r="Q403" s="9" t="s">
        <v>87</v>
      </c>
      <c r="R403" s="9" t="s">
        <v>84</v>
      </c>
      <c r="S403" s="9"/>
      <c r="T403" s="18">
        <v>23</v>
      </c>
      <c r="U403" s="18">
        <v>23</v>
      </c>
      <c r="V403" s="9">
        <v>2.8</v>
      </c>
      <c r="Y403" s="9">
        <f t="shared" si="6"/>
        <v>6612.0580161054177</v>
      </c>
      <c r="Z403" s="19" t="s">
        <v>73</v>
      </c>
      <c r="AA403" s="8" t="s">
        <v>242</v>
      </c>
      <c r="AB403" s="8" t="s">
        <v>75</v>
      </c>
      <c r="AC403" s="11" t="s">
        <v>76</v>
      </c>
      <c r="AD403" s="9" t="s">
        <v>85</v>
      </c>
      <c r="AE403" s="14">
        <v>11.494030613333329</v>
      </c>
      <c r="AF403" s="13"/>
      <c r="AO403" s="34" t="s">
        <v>78</v>
      </c>
      <c r="AP403" s="31">
        <v>2.8</v>
      </c>
      <c r="AQ403" s="31">
        <v>2.8</v>
      </c>
      <c r="AR403" s="31">
        <v>2.8</v>
      </c>
      <c r="AS403" s="31">
        <v>2.8</v>
      </c>
      <c r="AT403" s="31">
        <v>2.8</v>
      </c>
      <c r="AU403" s="31">
        <v>2.8</v>
      </c>
    </row>
    <row r="404" spans="1:67" x14ac:dyDescent="0.2">
      <c r="A404" s="5" t="s">
        <v>67</v>
      </c>
      <c r="B404" s="25">
        <v>43361</v>
      </c>
      <c r="C404" s="26">
        <v>0.72222222222222199</v>
      </c>
      <c r="D404" s="5" t="s">
        <v>135</v>
      </c>
      <c r="E404" s="5"/>
      <c r="F404" s="32">
        <v>62</v>
      </c>
      <c r="G404" s="9">
        <v>2</v>
      </c>
      <c r="H404" s="6">
        <v>3.2258064516129031E-2</v>
      </c>
      <c r="I404" s="7">
        <v>6.83E-2</v>
      </c>
      <c r="J404" s="9">
        <v>314.15899999999999</v>
      </c>
      <c r="K404" s="9">
        <v>0.5464</v>
      </c>
      <c r="L404" s="9">
        <v>8</v>
      </c>
      <c r="M404" s="14">
        <v>287.48078330893117</v>
      </c>
      <c r="N404" s="9">
        <v>1733</v>
      </c>
      <c r="O404" s="12" t="s">
        <v>92</v>
      </c>
      <c r="P404" s="12" t="s">
        <v>82</v>
      </c>
      <c r="Q404" s="9" t="s">
        <v>89</v>
      </c>
      <c r="R404" s="9" t="s">
        <v>93</v>
      </c>
      <c r="S404" s="9"/>
      <c r="T404" s="18">
        <v>1</v>
      </c>
      <c r="U404" s="18">
        <v>1</v>
      </c>
      <c r="V404" s="9">
        <v>7.4</v>
      </c>
      <c r="Y404" s="9">
        <f t="shared" si="6"/>
        <v>287.48078330893117</v>
      </c>
      <c r="Z404" s="19" t="s">
        <v>73</v>
      </c>
      <c r="AA404" s="8" t="s">
        <v>242</v>
      </c>
      <c r="AB404" s="8" t="s">
        <v>75</v>
      </c>
      <c r="AC404" s="11" t="s">
        <v>76</v>
      </c>
      <c r="AD404" s="9" t="s">
        <v>91</v>
      </c>
      <c r="AE404" s="14">
        <v>159.13095827000001</v>
      </c>
      <c r="AF404" s="13"/>
      <c r="AO404" s="34" t="s">
        <v>78</v>
      </c>
      <c r="AP404" s="31">
        <v>7.4</v>
      </c>
      <c r="AQ404" s="31">
        <v>7.4</v>
      </c>
    </row>
    <row r="405" spans="1:67" x14ac:dyDescent="0.2">
      <c r="A405" s="5"/>
      <c r="B405" s="25"/>
      <c r="C405" s="26"/>
      <c r="D405" s="5"/>
      <c r="E405" s="5"/>
      <c r="F405" s="32"/>
      <c r="G405" s="9"/>
      <c r="H405" s="6"/>
      <c r="I405" s="7"/>
      <c r="J405" s="9"/>
      <c r="N405" s="9"/>
      <c r="O405" s="12"/>
      <c r="P405" s="12"/>
      <c r="S405" s="9"/>
      <c r="T405" s="18"/>
      <c r="U405" s="18"/>
      <c r="Y405" s="9" t="e">
        <f t="shared" si="6"/>
        <v>#DIV/0!</v>
      </c>
      <c r="Z405" s="19"/>
      <c r="AC405" s="11"/>
      <c r="AD405" s="9"/>
      <c r="AE405" s="14"/>
      <c r="AF405" s="13"/>
      <c r="AO405" s="34" t="s">
        <v>79</v>
      </c>
      <c r="AP405" s="31">
        <v>3.7</v>
      </c>
      <c r="AQ405" s="31">
        <v>3.7</v>
      </c>
    </row>
    <row r="406" spans="1:67" x14ac:dyDescent="0.2">
      <c r="A406" s="5" t="s">
        <v>67</v>
      </c>
      <c r="B406" s="25">
        <v>43361</v>
      </c>
      <c r="C406" s="26">
        <v>0.72222222222222199</v>
      </c>
      <c r="D406" s="5" t="s">
        <v>135</v>
      </c>
      <c r="E406" s="5"/>
      <c r="F406" s="32">
        <v>62</v>
      </c>
      <c r="G406" s="9">
        <v>2</v>
      </c>
      <c r="H406" s="6">
        <v>3.2258064516129031E-2</v>
      </c>
      <c r="I406" s="7">
        <v>6.83E-2</v>
      </c>
      <c r="J406" s="9">
        <v>314.15899999999999</v>
      </c>
      <c r="K406" s="9">
        <v>0.5464</v>
      </c>
      <c r="L406" s="9">
        <v>8</v>
      </c>
      <c r="M406" s="14">
        <v>287.48078330893117</v>
      </c>
      <c r="N406" s="9">
        <v>1419</v>
      </c>
      <c r="O406" s="12" t="s">
        <v>94</v>
      </c>
      <c r="P406" s="12" t="s">
        <v>82</v>
      </c>
      <c r="Q406" s="9" t="s">
        <v>95</v>
      </c>
      <c r="R406" s="9" t="s">
        <v>96</v>
      </c>
      <c r="S406" s="9"/>
      <c r="T406" s="18">
        <v>387</v>
      </c>
      <c r="U406" s="18">
        <v>786</v>
      </c>
      <c r="V406" s="9">
        <v>0.8</v>
      </c>
      <c r="W406" s="9">
        <v>0.8</v>
      </c>
      <c r="X406" s="9">
        <v>0.8</v>
      </c>
      <c r="Y406" s="9">
        <f t="shared" si="6"/>
        <v>111255.06314055636</v>
      </c>
      <c r="Z406" s="19" t="s">
        <v>97</v>
      </c>
      <c r="AA406" s="8" t="s">
        <v>242</v>
      </c>
      <c r="AB406" s="8" t="s">
        <v>75</v>
      </c>
      <c r="AC406" s="11" t="s">
        <v>76</v>
      </c>
      <c r="AD406" s="9" t="s">
        <v>85</v>
      </c>
      <c r="AE406" s="14">
        <v>0.18</v>
      </c>
      <c r="AF406" s="14">
        <v>0.18</v>
      </c>
      <c r="AG406" s="14">
        <v>0.18</v>
      </c>
      <c r="AH406" s="14">
        <v>0.18</v>
      </c>
      <c r="AI406" s="14">
        <v>0.18</v>
      </c>
      <c r="AJ406" s="14">
        <v>0.18</v>
      </c>
      <c r="AK406" s="14">
        <v>0.18</v>
      </c>
      <c r="AL406" s="14">
        <v>0.18</v>
      </c>
      <c r="AM406" s="14">
        <v>0.18</v>
      </c>
      <c r="AN406" s="14">
        <v>0.18</v>
      </c>
      <c r="AO406" s="34" t="s">
        <v>78</v>
      </c>
      <c r="AP406" s="31">
        <v>0.75200000000000033</v>
      </c>
      <c r="AQ406" s="31">
        <v>0.7</v>
      </c>
      <c r="AR406" s="31">
        <v>0.7</v>
      </c>
      <c r="AS406" s="31">
        <v>0.7</v>
      </c>
      <c r="AT406" s="31">
        <v>0.7</v>
      </c>
      <c r="AU406" s="31">
        <v>0.7</v>
      </c>
      <c r="AV406" s="31">
        <v>0.7</v>
      </c>
      <c r="AW406" s="31">
        <v>0.7</v>
      </c>
      <c r="AX406" s="31">
        <v>0.7</v>
      </c>
      <c r="AY406" s="31">
        <v>0.7</v>
      </c>
      <c r="AZ406" s="31">
        <v>0.7</v>
      </c>
      <c r="BA406" s="31">
        <v>0.7</v>
      </c>
      <c r="BB406" s="31">
        <v>0.7</v>
      </c>
      <c r="BC406" s="31">
        <v>0.8</v>
      </c>
      <c r="BD406" s="31">
        <v>0.8</v>
      </c>
      <c r="BE406" s="31">
        <v>0.8</v>
      </c>
      <c r="BF406" s="31">
        <v>0.8</v>
      </c>
      <c r="BG406" s="31">
        <v>0.8</v>
      </c>
      <c r="BH406" s="31">
        <v>0.8</v>
      </c>
      <c r="BI406" s="31">
        <v>0.8</v>
      </c>
      <c r="BJ406" s="31">
        <v>0.8</v>
      </c>
      <c r="BK406" s="31">
        <v>0.8</v>
      </c>
      <c r="BL406" s="31">
        <v>0.8</v>
      </c>
      <c r="BM406" s="31">
        <v>0.8</v>
      </c>
      <c r="BN406" s="31">
        <v>0.8</v>
      </c>
      <c r="BO406" s="31">
        <v>0.8</v>
      </c>
    </row>
    <row r="407" spans="1:67" x14ac:dyDescent="0.2">
      <c r="A407" s="5" t="s">
        <v>67</v>
      </c>
      <c r="B407" s="25">
        <v>43361</v>
      </c>
      <c r="C407" s="26">
        <v>0.72222222222222199</v>
      </c>
      <c r="D407" s="5" t="s">
        <v>135</v>
      </c>
      <c r="E407" s="5"/>
      <c r="F407" s="32">
        <v>62</v>
      </c>
      <c r="G407" s="9">
        <v>2</v>
      </c>
      <c r="H407" s="6">
        <v>3.2258064516129031E-2</v>
      </c>
      <c r="I407" s="7">
        <v>6.83E-2</v>
      </c>
      <c r="J407" s="9">
        <v>314.15899999999999</v>
      </c>
      <c r="K407" s="9">
        <v>0.5464</v>
      </c>
      <c r="L407" s="9">
        <v>8</v>
      </c>
      <c r="M407" s="14">
        <v>287.48078330893117</v>
      </c>
      <c r="N407" s="9">
        <v>1420</v>
      </c>
      <c r="O407" s="12" t="s">
        <v>98</v>
      </c>
      <c r="P407" s="12" t="s">
        <v>82</v>
      </c>
      <c r="Q407" s="9" t="s">
        <v>95</v>
      </c>
      <c r="R407" s="9" t="s">
        <v>99</v>
      </c>
      <c r="S407" s="9"/>
      <c r="T407" s="18">
        <v>1</v>
      </c>
      <c r="U407" s="18">
        <v>2</v>
      </c>
      <c r="V407" s="9">
        <v>2.8</v>
      </c>
      <c r="Y407" s="9">
        <f t="shared" si="6"/>
        <v>287.48078330893117</v>
      </c>
      <c r="Z407" s="19" t="s">
        <v>97</v>
      </c>
      <c r="AA407" s="8" t="s">
        <v>242</v>
      </c>
      <c r="AB407" s="8" t="s">
        <v>75</v>
      </c>
      <c r="AC407" s="11" t="s">
        <v>76</v>
      </c>
      <c r="AD407" s="9" t="s">
        <v>85</v>
      </c>
      <c r="AE407" s="14">
        <v>11.494030613333329</v>
      </c>
      <c r="AF407" s="13"/>
      <c r="AO407" s="34" t="s">
        <v>78</v>
      </c>
      <c r="AP407" s="31">
        <v>2.8</v>
      </c>
      <c r="AQ407" s="31">
        <v>2.8</v>
      </c>
      <c r="AR407" s="31">
        <v>2.8</v>
      </c>
    </row>
    <row r="408" spans="1:67" x14ac:dyDescent="0.2">
      <c r="A408" s="5" t="s">
        <v>67</v>
      </c>
      <c r="B408" s="25">
        <v>43227</v>
      </c>
      <c r="C408" s="26">
        <v>0.52430555555555602</v>
      </c>
      <c r="D408" s="5" t="s">
        <v>135</v>
      </c>
      <c r="E408" s="5"/>
      <c r="F408" s="32">
        <v>61</v>
      </c>
      <c r="G408" s="9">
        <v>2</v>
      </c>
      <c r="H408" s="6">
        <v>3.2786885245901641E-2</v>
      </c>
      <c r="I408" s="7">
        <v>6.83E-2</v>
      </c>
      <c r="J408" s="9">
        <v>314.15899999999999</v>
      </c>
      <c r="K408" s="9">
        <v>0.47809999999999997</v>
      </c>
      <c r="L408" s="9">
        <v>7</v>
      </c>
      <c r="M408" s="14">
        <v>328.54946663877848</v>
      </c>
      <c r="N408" s="9">
        <v>1037</v>
      </c>
      <c r="O408" s="12" t="s">
        <v>243</v>
      </c>
      <c r="P408" s="12" t="s">
        <v>82</v>
      </c>
      <c r="Q408" s="9" t="s">
        <v>87</v>
      </c>
      <c r="R408" s="9" t="s">
        <v>84</v>
      </c>
      <c r="S408" s="9"/>
      <c r="T408" s="18">
        <v>4</v>
      </c>
      <c r="U408" s="18">
        <v>4</v>
      </c>
      <c r="V408" s="9">
        <v>2.8</v>
      </c>
      <c r="Y408" s="9">
        <f t="shared" si="6"/>
        <v>1314.1978665551139</v>
      </c>
      <c r="Z408" s="19" t="s">
        <v>73</v>
      </c>
      <c r="AA408" s="8" t="s">
        <v>244</v>
      </c>
      <c r="AB408" s="8" t="s">
        <v>75</v>
      </c>
      <c r="AC408" s="11" t="s">
        <v>221</v>
      </c>
      <c r="AD408" s="9" t="s">
        <v>85</v>
      </c>
      <c r="AE408" s="14">
        <v>9.2027643066666673</v>
      </c>
      <c r="AF408" s="13"/>
      <c r="AO408" s="34" t="s">
        <v>78</v>
      </c>
      <c r="AP408" s="31">
        <v>2.5749999999999997</v>
      </c>
      <c r="AQ408" s="31">
        <v>2.8</v>
      </c>
      <c r="AR408" s="31">
        <v>2.8</v>
      </c>
      <c r="AS408" s="31">
        <v>2.8</v>
      </c>
      <c r="AT408" s="31">
        <v>1.9</v>
      </c>
    </row>
    <row r="409" spans="1:67" x14ac:dyDescent="0.2">
      <c r="A409" s="5" t="s">
        <v>67</v>
      </c>
      <c r="B409" s="25">
        <v>43227</v>
      </c>
      <c r="C409" s="26">
        <v>0.52430555555555602</v>
      </c>
      <c r="D409" s="5" t="s">
        <v>135</v>
      </c>
      <c r="E409" s="5"/>
      <c r="F409" s="32">
        <v>61</v>
      </c>
      <c r="G409" s="9">
        <v>2</v>
      </c>
      <c r="H409" s="6">
        <v>3.2786885245901641E-2</v>
      </c>
      <c r="I409" s="7">
        <v>6.83E-2</v>
      </c>
      <c r="J409" s="9">
        <v>314.15899999999999</v>
      </c>
      <c r="K409" s="9">
        <v>0.47809999999999997</v>
      </c>
      <c r="L409" s="9">
        <v>7</v>
      </c>
      <c r="M409" s="14">
        <v>328.54946663877848</v>
      </c>
      <c r="N409" s="9">
        <v>1733</v>
      </c>
      <c r="O409" s="12" t="s">
        <v>92</v>
      </c>
      <c r="P409" s="12" t="s">
        <v>82</v>
      </c>
      <c r="Q409" s="9" t="s">
        <v>89</v>
      </c>
      <c r="R409" s="9" t="s">
        <v>93</v>
      </c>
      <c r="S409" s="9"/>
      <c r="T409" s="18">
        <v>1</v>
      </c>
      <c r="U409" s="18">
        <v>1</v>
      </c>
      <c r="V409" s="9">
        <v>5.6</v>
      </c>
      <c r="Y409" s="9">
        <f t="shared" si="6"/>
        <v>328.54946663877848</v>
      </c>
      <c r="Z409" s="19" t="s">
        <v>73</v>
      </c>
      <c r="AA409" s="8" t="s">
        <v>244</v>
      </c>
      <c r="AB409" s="8" t="s">
        <v>75</v>
      </c>
      <c r="AC409" s="11" t="s">
        <v>221</v>
      </c>
      <c r="AD409" s="9" t="s">
        <v>91</v>
      </c>
      <c r="AE409" s="14">
        <v>68.964183679999977</v>
      </c>
      <c r="AF409" s="13"/>
      <c r="AO409" s="34" t="s">
        <v>78</v>
      </c>
      <c r="AP409" s="31">
        <v>5.6</v>
      </c>
      <c r="AQ409" s="31">
        <v>5.6</v>
      </c>
    </row>
    <row r="410" spans="1:67" x14ac:dyDescent="0.2">
      <c r="A410" s="5"/>
      <c r="B410" s="25"/>
      <c r="C410" s="26"/>
      <c r="D410" s="5"/>
      <c r="E410" s="5"/>
      <c r="F410" s="32"/>
      <c r="G410" s="9"/>
      <c r="H410" s="6"/>
      <c r="I410" s="7"/>
      <c r="J410" s="9"/>
      <c r="N410" s="9"/>
      <c r="O410" s="12"/>
      <c r="P410" s="12"/>
      <c r="S410" s="9"/>
      <c r="T410" s="18"/>
      <c r="U410" s="18"/>
      <c r="Y410" s="9" t="e">
        <f t="shared" si="6"/>
        <v>#DIV/0!</v>
      </c>
      <c r="Z410" s="19"/>
      <c r="AC410" s="11"/>
      <c r="AD410" s="9"/>
      <c r="AE410" s="14"/>
      <c r="AF410" s="13"/>
      <c r="AO410" s="34" t="s">
        <v>79</v>
      </c>
      <c r="AP410" s="31">
        <v>2.8</v>
      </c>
      <c r="AQ410" s="31">
        <v>2.8</v>
      </c>
    </row>
    <row r="411" spans="1:67" x14ac:dyDescent="0.2">
      <c r="A411" s="5" t="s">
        <v>67</v>
      </c>
      <c r="B411" s="25">
        <v>43227</v>
      </c>
      <c r="C411" s="26">
        <v>0.52430555555555602</v>
      </c>
      <c r="D411" s="5" t="s">
        <v>135</v>
      </c>
      <c r="E411" s="5"/>
      <c r="F411" s="32">
        <v>61</v>
      </c>
      <c r="G411" s="9">
        <v>2</v>
      </c>
      <c r="H411" s="6">
        <v>3.2786885245901641E-2</v>
      </c>
      <c r="I411" s="7">
        <v>6.83E-2</v>
      </c>
      <c r="J411" s="9">
        <v>314.15899999999999</v>
      </c>
      <c r="K411" s="9">
        <v>0.47809999999999997</v>
      </c>
      <c r="L411" s="9">
        <v>7</v>
      </c>
      <c r="M411" s="14">
        <v>328.54946663877848</v>
      </c>
      <c r="N411" s="9">
        <v>1419</v>
      </c>
      <c r="O411" s="12" t="s">
        <v>94</v>
      </c>
      <c r="P411" s="12" t="s">
        <v>82</v>
      </c>
      <c r="Q411" s="9" t="s">
        <v>95</v>
      </c>
      <c r="R411" s="9" t="s">
        <v>96</v>
      </c>
      <c r="S411" s="9"/>
      <c r="T411" s="18">
        <v>401</v>
      </c>
      <c r="U411" s="18">
        <v>810</v>
      </c>
      <c r="V411" s="9">
        <v>0.8</v>
      </c>
      <c r="W411" s="9">
        <v>0.8</v>
      </c>
      <c r="X411" s="9">
        <v>0.8</v>
      </c>
      <c r="Y411" s="9">
        <f t="shared" si="6"/>
        <v>131748.33612215018</v>
      </c>
      <c r="Z411" s="19" t="s">
        <v>97</v>
      </c>
      <c r="AA411" s="8" t="s">
        <v>244</v>
      </c>
      <c r="AB411" s="8" t="s">
        <v>75</v>
      </c>
      <c r="AC411" s="11" t="s">
        <v>221</v>
      </c>
      <c r="AD411" s="9" t="s">
        <v>85</v>
      </c>
      <c r="AE411" s="14">
        <v>0.18</v>
      </c>
      <c r="AF411" s="14">
        <v>0.18</v>
      </c>
      <c r="AG411" s="14">
        <v>0.18</v>
      </c>
      <c r="AH411" s="14">
        <v>0.18</v>
      </c>
      <c r="AI411" s="14">
        <v>0.18</v>
      </c>
      <c r="AJ411" s="14">
        <v>0.18</v>
      </c>
      <c r="AK411" s="14">
        <v>0.18</v>
      </c>
      <c r="AL411" s="14">
        <v>0.18</v>
      </c>
      <c r="AM411" s="14">
        <v>0.18</v>
      </c>
      <c r="AN411" s="14">
        <v>0.18</v>
      </c>
      <c r="AO411" s="35" t="s">
        <v>78</v>
      </c>
      <c r="AP411" s="31">
        <v>0.75200000000000033</v>
      </c>
      <c r="AQ411" s="31">
        <v>0.7</v>
      </c>
      <c r="AR411" s="31">
        <v>0.7</v>
      </c>
      <c r="AS411" s="31">
        <v>0.7</v>
      </c>
      <c r="AT411" s="31">
        <v>0.7</v>
      </c>
      <c r="AU411" s="31">
        <v>0.7</v>
      </c>
      <c r="AV411" s="31">
        <v>0.7</v>
      </c>
      <c r="AW411" s="31">
        <v>0.7</v>
      </c>
      <c r="AX411" s="31">
        <v>0.7</v>
      </c>
      <c r="AY411" s="31">
        <v>0.7</v>
      </c>
      <c r="AZ411" s="31">
        <v>0.7</v>
      </c>
      <c r="BA411" s="31">
        <v>0.7</v>
      </c>
      <c r="BB411" s="31">
        <v>0.7</v>
      </c>
      <c r="BC411" s="31">
        <v>0.8</v>
      </c>
      <c r="BD411" s="31">
        <v>0.8</v>
      </c>
      <c r="BE411" s="31">
        <v>0.8</v>
      </c>
      <c r="BF411" s="31">
        <v>0.8</v>
      </c>
      <c r="BG411" s="31">
        <v>0.8</v>
      </c>
      <c r="BH411" s="31">
        <v>0.8</v>
      </c>
      <c r="BI411" s="31">
        <v>0.8</v>
      </c>
      <c r="BJ411" s="31">
        <v>0.8</v>
      </c>
      <c r="BK411" s="31">
        <v>0.8</v>
      </c>
      <c r="BL411" s="31">
        <v>0.8</v>
      </c>
      <c r="BM411" s="31">
        <v>0.8</v>
      </c>
      <c r="BN411" s="31">
        <v>0.8</v>
      </c>
      <c r="BO411" s="31">
        <v>0.8</v>
      </c>
    </row>
    <row r="412" spans="1:67" x14ac:dyDescent="0.2">
      <c r="A412" s="5" t="s">
        <v>67</v>
      </c>
      <c r="B412" s="25">
        <v>43227</v>
      </c>
      <c r="C412" s="26">
        <v>0.54513888888888895</v>
      </c>
      <c r="D412" s="5" t="s">
        <v>245</v>
      </c>
      <c r="E412" s="5"/>
      <c r="F412" s="32">
        <v>57.5</v>
      </c>
      <c r="G412" s="9">
        <v>2</v>
      </c>
      <c r="H412" s="6">
        <v>3.4782608695652174E-2</v>
      </c>
      <c r="I412" s="7">
        <v>6.83E-2</v>
      </c>
      <c r="J412" s="9">
        <v>314.15899999999999</v>
      </c>
      <c r="K412" s="9">
        <v>0.95619999999999994</v>
      </c>
      <c r="L412" s="9">
        <v>14</v>
      </c>
      <c r="M412" s="14">
        <v>164.27473331938924</v>
      </c>
      <c r="N412" s="9">
        <v>46</v>
      </c>
      <c r="O412" s="12" t="s">
        <v>109</v>
      </c>
      <c r="P412" s="8" t="s">
        <v>70</v>
      </c>
      <c r="Q412" s="9" t="s">
        <v>110</v>
      </c>
      <c r="R412" s="9" t="s">
        <v>84</v>
      </c>
      <c r="S412" s="9"/>
      <c r="T412" s="18">
        <v>1</v>
      </c>
      <c r="U412" s="18">
        <v>1</v>
      </c>
      <c r="V412" s="9">
        <v>11.1</v>
      </c>
      <c r="Y412" s="9">
        <f t="shared" si="6"/>
        <v>164.27473331938924</v>
      </c>
      <c r="Z412" s="19" t="s">
        <v>73</v>
      </c>
      <c r="AA412" s="8" t="s">
        <v>246</v>
      </c>
      <c r="AB412" s="8" t="s">
        <v>75</v>
      </c>
      <c r="AC412" s="11" t="s">
        <v>115</v>
      </c>
      <c r="AD412" s="9" t="s">
        <v>77</v>
      </c>
      <c r="AE412" s="14">
        <v>90.317570909999986</v>
      </c>
      <c r="AF412" s="13"/>
      <c r="AO412" s="34" t="s">
        <v>78</v>
      </c>
      <c r="AP412" s="31">
        <v>11.1</v>
      </c>
      <c r="AQ412" s="31">
        <v>11.1</v>
      </c>
    </row>
    <row r="413" spans="1:67" x14ac:dyDescent="0.2">
      <c r="A413" s="5"/>
      <c r="B413" s="25"/>
      <c r="C413" s="26"/>
      <c r="D413" s="5"/>
      <c r="E413" s="5"/>
      <c r="F413" s="32"/>
      <c r="G413" s="9"/>
      <c r="H413" s="6"/>
      <c r="I413" s="7"/>
      <c r="J413" s="9"/>
      <c r="N413" s="9"/>
      <c r="O413" s="12"/>
      <c r="S413" s="9"/>
      <c r="T413" s="18"/>
      <c r="U413" s="18"/>
      <c r="Y413" s="9" t="e">
        <f t="shared" si="6"/>
        <v>#DIV/0!</v>
      </c>
      <c r="Z413" s="19"/>
      <c r="AC413" s="11"/>
      <c r="AD413" s="9"/>
      <c r="AE413" s="14"/>
      <c r="AF413" s="13"/>
      <c r="AO413" s="34" t="s">
        <v>79</v>
      </c>
      <c r="AP413" s="31">
        <v>3.7</v>
      </c>
      <c r="AQ413" s="31">
        <v>3.7</v>
      </c>
    </row>
    <row r="414" spans="1:67" x14ac:dyDescent="0.2">
      <c r="A414" s="5"/>
      <c r="B414" s="25"/>
      <c r="C414" s="26"/>
      <c r="D414" s="5"/>
      <c r="E414" s="5"/>
      <c r="F414" s="32"/>
      <c r="G414" s="9"/>
      <c r="H414" s="6"/>
      <c r="I414" s="7"/>
      <c r="J414" s="9"/>
      <c r="N414" s="9"/>
      <c r="O414" s="12"/>
      <c r="S414" s="9"/>
      <c r="T414" s="18"/>
      <c r="U414" s="18"/>
      <c r="Y414" s="9" t="e">
        <f t="shared" si="6"/>
        <v>#DIV/0!</v>
      </c>
      <c r="Z414" s="19"/>
      <c r="AC414" s="11"/>
      <c r="AD414" s="9"/>
      <c r="AE414" s="14"/>
      <c r="AF414" s="13"/>
      <c r="AO414" s="34" t="s">
        <v>80</v>
      </c>
      <c r="AP414" s="31">
        <v>2.8</v>
      </c>
      <c r="AQ414" s="31">
        <v>2.8</v>
      </c>
    </row>
    <row r="415" spans="1:67" x14ac:dyDescent="0.2">
      <c r="A415" s="5" t="s">
        <v>67</v>
      </c>
      <c r="B415" s="25">
        <v>43227</v>
      </c>
      <c r="C415" s="26">
        <v>0.54513888888888895</v>
      </c>
      <c r="D415" s="5" t="s">
        <v>245</v>
      </c>
      <c r="E415" s="5"/>
      <c r="F415" s="32">
        <v>57.5</v>
      </c>
      <c r="G415" s="9">
        <v>2</v>
      </c>
      <c r="H415" s="6">
        <v>3.4782608695652174E-2</v>
      </c>
      <c r="I415" s="7">
        <v>6.83E-2</v>
      </c>
      <c r="J415" s="9">
        <v>314.15899999999999</v>
      </c>
      <c r="K415" s="9">
        <v>0.95619999999999994</v>
      </c>
      <c r="L415" s="9">
        <v>14</v>
      </c>
      <c r="M415" s="14">
        <v>164.27473331938924</v>
      </c>
      <c r="N415" s="9">
        <v>145</v>
      </c>
      <c r="O415" s="12" t="s">
        <v>69</v>
      </c>
      <c r="P415" s="8" t="s">
        <v>70</v>
      </c>
      <c r="Q415" s="9" t="s">
        <v>71</v>
      </c>
      <c r="R415" s="9" t="s">
        <v>72</v>
      </c>
      <c r="S415" s="9"/>
      <c r="T415" s="18">
        <v>1</v>
      </c>
      <c r="U415" s="18">
        <v>1</v>
      </c>
      <c r="V415" s="9">
        <v>22.2</v>
      </c>
      <c r="Y415" s="9">
        <f t="shared" si="6"/>
        <v>164.27473331938924</v>
      </c>
      <c r="Z415" s="19" t="s">
        <v>73</v>
      </c>
      <c r="AA415" s="8" t="s">
        <v>246</v>
      </c>
      <c r="AB415" s="8" t="s">
        <v>75</v>
      </c>
      <c r="AC415" s="11" t="s">
        <v>115</v>
      </c>
      <c r="AD415" s="9" t="s">
        <v>77</v>
      </c>
      <c r="AE415" s="14">
        <v>774.15060779999999</v>
      </c>
      <c r="AF415" s="13"/>
      <c r="AO415" s="34" t="s">
        <v>78</v>
      </c>
      <c r="AP415" s="31">
        <v>22.2</v>
      </c>
      <c r="AQ415" s="31">
        <v>22.2</v>
      </c>
    </row>
    <row r="416" spans="1:67" x14ac:dyDescent="0.2">
      <c r="A416" s="5"/>
      <c r="B416" s="25"/>
      <c r="C416" s="26"/>
      <c r="D416" s="5"/>
      <c r="E416" s="5"/>
      <c r="F416" s="32"/>
      <c r="G416" s="9"/>
      <c r="H416" s="6"/>
      <c r="I416" s="7"/>
      <c r="J416" s="9"/>
      <c r="N416" s="9"/>
      <c r="O416" s="12"/>
      <c r="S416" s="9"/>
      <c r="T416" s="18"/>
      <c r="U416" s="18"/>
      <c r="Y416" s="9" t="e">
        <f t="shared" si="6"/>
        <v>#DIV/0!</v>
      </c>
      <c r="Z416" s="19"/>
      <c r="AC416" s="11"/>
      <c r="AD416" s="9"/>
      <c r="AE416" s="14"/>
      <c r="AF416" s="13"/>
      <c r="AO416" s="34" t="s">
        <v>79</v>
      </c>
      <c r="AP416" s="31">
        <v>12</v>
      </c>
      <c r="AQ416" s="31">
        <v>12</v>
      </c>
    </row>
    <row r="417" spans="1:67" x14ac:dyDescent="0.2">
      <c r="A417" s="5"/>
      <c r="B417" s="25"/>
      <c r="C417" s="26"/>
      <c r="D417" s="5"/>
      <c r="E417" s="5"/>
      <c r="F417" s="32"/>
      <c r="G417" s="9"/>
      <c r="H417" s="6"/>
      <c r="I417" s="7"/>
      <c r="J417" s="9"/>
      <c r="N417" s="9"/>
      <c r="O417" s="12"/>
      <c r="S417" s="9"/>
      <c r="T417" s="18"/>
      <c r="U417" s="18"/>
      <c r="Y417" s="9" t="e">
        <f t="shared" si="6"/>
        <v>#DIV/0!</v>
      </c>
      <c r="Z417" s="19"/>
      <c r="AC417" s="11"/>
      <c r="AD417" s="9"/>
      <c r="AE417" s="14"/>
      <c r="AF417" s="13"/>
      <c r="AO417" s="34" t="s">
        <v>80</v>
      </c>
      <c r="AP417" s="31">
        <v>3.7</v>
      </c>
      <c r="AQ417" s="31">
        <v>3.7</v>
      </c>
    </row>
    <row r="418" spans="1:67" x14ac:dyDescent="0.2">
      <c r="A418" s="5" t="s">
        <v>67</v>
      </c>
      <c r="B418" s="25">
        <v>43227</v>
      </c>
      <c r="C418" s="26">
        <v>0.54513888888888895</v>
      </c>
      <c r="D418" s="5" t="s">
        <v>245</v>
      </c>
      <c r="E418" s="5"/>
      <c r="F418" s="32">
        <v>57.5</v>
      </c>
      <c r="G418" s="9">
        <v>2</v>
      </c>
      <c r="H418" s="6">
        <v>3.4782608695652174E-2</v>
      </c>
      <c r="I418" s="7">
        <v>6.83E-2</v>
      </c>
      <c r="J418" s="9">
        <v>314.15899999999999</v>
      </c>
      <c r="K418" s="9">
        <v>0.95619999999999994</v>
      </c>
      <c r="L418" s="9">
        <v>14</v>
      </c>
      <c r="M418" s="14">
        <v>164.27473331938924</v>
      </c>
      <c r="N418" s="9">
        <v>1031</v>
      </c>
      <c r="O418" s="12" t="s">
        <v>81</v>
      </c>
      <c r="P418" s="12" t="s">
        <v>82</v>
      </c>
      <c r="Q418" s="9" t="s">
        <v>83</v>
      </c>
      <c r="R418" s="9" t="s">
        <v>84</v>
      </c>
      <c r="S418" s="9"/>
      <c r="T418" s="18">
        <v>1</v>
      </c>
      <c r="U418" s="18">
        <v>1</v>
      </c>
      <c r="V418" s="9">
        <v>5.6</v>
      </c>
      <c r="Y418" s="9">
        <f t="shared" si="6"/>
        <v>164.27473331938924</v>
      </c>
      <c r="Z418" s="19" t="s">
        <v>73</v>
      </c>
      <c r="AA418" s="8" t="s">
        <v>246</v>
      </c>
      <c r="AB418" s="8" t="s">
        <v>75</v>
      </c>
      <c r="AC418" s="11" t="s">
        <v>115</v>
      </c>
      <c r="AD418" s="9" t="s">
        <v>85</v>
      </c>
      <c r="AE418" s="14">
        <v>75.532201173333306</v>
      </c>
      <c r="AF418" s="13"/>
      <c r="AO418" s="34" t="s">
        <v>78</v>
      </c>
      <c r="AP418" s="31">
        <v>5.6</v>
      </c>
      <c r="AQ418" s="31">
        <v>5.6</v>
      </c>
    </row>
    <row r="419" spans="1:67" x14ac:dyDescent="0.2">
      <c r="A419" s="5"/>
      <c r="B419" s="25"/>
      <c r="C419" s="26"/>
      <c r="D419" s="5"/>
      <c r="E419" s="5"/>
      <c r="F419" s="32"/>
      <c r="G419" s="9"/>
      <c r="H419" s="6"/>
      <c r="I419" s="7"/>
      <c r="J419" s="9"/>
      <c r="N419" s="9"/>
      <c r="O419" s="12"/>
      <c r="P419" s="12"/>
      <c r="S419" s="9"/>
      <c r="T419" s="18"/>
      <c r="U419" s="18"/>
      <c r="Y419" s="9" t="e">
        <f t="shared" si="6"/>
        <v>#DIV/0!</v>
      </c>
      <c r="Z419" s="19"/>
      <c r="AC419" s="11"/>
      <c r="AD419" s="9"/>
      <c r="AE419" s="14"/>
      <c r="AF419" s="13"/>
      <c r="AO419" s="34" t="s">
        <v>79</v>
      </c>
      <c r="AP419" s="31">
        <v>5.6</v>
      </c>
      <c r="AQ419" s="31">
        <v>5.6</v>
      </c>
    </row>
    <row r="420" spans="1:67" x14ac:dyDescent="0.2">
      <c r="A420" s="5"/>
      <c r="B420" s="25"/>
      <c r="C420" s="26"/>
      <c r="D420" s="5"/>
      <c r="E420" s="5"/>
      <c r="F420" s="32"/>
      <c r="G420" s="9"/>
      <c r="H420" s="6"/>
      <c r="I420" s="7"/>
      <c r="J420" s="9"/>
      <c r="N420" s="9"/>
      <c r="O420" s="12"/>
      <c r="P420" s="12"/>
      <c r="S420" s="9"/>
      <c r="T420" s="18"/>
      <c r="U420" s="18"/>
      <c r="Y420" s="9" t="e">
        <f t="shared" si="6"/>
        <v>#DIV/0!</v>
      </c>
      <c r="Z420" s="19"/>
      <c r="AC420" s="11"/>
      <c r="AD420" s="9"/>
      <c r="AE420" s="14"/>
      <c r="AF420" s="13"/>
      <c r="AO420" s="34" t="s">
        <v>80</v>
      </c>
      <c r="AP420" s="31">
        <v>4.5999999999999996</v>
      </c>
      <c r="AQ420" s="31">
        <v>4.5999999999999996</v>
      </c>
    </row>
    <row r="421" spans="1:67" x14ac:dyDescent="0.2">
      <c r="A421" s="5" t="s">
        <v>67</v>
      </c>
      <c r="B421" s="25">
        <v>43227</v>
      </c>
      <c r="C421" s="26">
        <v>0.54513888888888895</v>
      </c>
      <c r="D421" s="5" t="s">
        <v>245</v>
      </c>
      <c r="E421" s="5"/>
      <c r="F421" s="32">
        <v>57.5</v>
      </c>
      <c r="G421" s="9">
        <v>2</v>
      </c>
      <c r="H421" s="6">
        <v>3.4782608695652174E-2</v>
      </c>
      <c r="I421" s="7">
        <v>6.83E-2</v>
      </c>
      <c r="J421" s="9">
        <v>314.15899999999999</v>
      </c>
      <c r="K421" s="9">
        <v>0.95619999999999994</v>
      </c>
      <c r="L421" s="9">
        <v>14</v>
      </c>
      <c r="M421" s="14">
        <v>164.27473331938924</v>
      </c>
      <c r="N421" s="9">
        <v>1037</v>
      </c>
      <c r="O421" s="12" t="s">
        <v>86</v>
      </c>
      <c r="P421" s="12" t="s">
        <v>82</v>
      </c>
      <c r="Q421" s="9" t="s">
        <v>87</v>
      </c>
      <c r="R421" s="9" t="s">
        <v>84</v>
      </c>
      <c r="S421" s="9"/>
      <c r="T421" s="18">
        <v>21</v>
      </c>
      <c r="U421" s="18">
        <v>21</v>
      </c>
      <c r="V421" s="9">
        <v>3.7</v>
      </c>
      <c r="Y421" s="9">
        <f t="shared" si="6"/>
        <v>3449.7693997071742</v>
      </c>
      <c r="Z421" s="19" t="s">
        <v>73</v>
      </c>
      <c r="AA421" s="8" t="s">
        <v>246</v>
      </c>
      <c r="AB421" s="8" t="s">
        <v>75</v>
      </c>
      <c r="AC421" s="11" t="s">
        <v>115</v>
      </c>
      <c r="AD421" s="9" t="s">
        <v>85</v>
      </c>
      <c r="AE421" s="14">
        <v>7.2382233599999992</v>
      </c>
      <c r="AF421" s="13"/>
      <c r="AO421" s="34" t="s">
        <v>78</v>
      </c>
      <c r="AP421" s="31">
        <v>2.4400000000000004</v>
      </c>
      <c r="AQ421" s="31">
        <v>3.7</v>
      </c>
      <c r="AR421" s="31">
        <v>2.8</v>
      </c>
      <c r="AS421" s="31">
        <v>1.9</v>
      </c>
      <c r="AT421" s="31">
        <v>1.9</v>
      </c>
      <c r="AU421" s="31">
        <v>1.9</v>
      </c>
    </row>
    <row r="422" spans="1:67" x14ac:dyDescent="0.2">
      <c r="A422" s="5" t="s">
        <v>67</v>
      </c>
      <c r="B422" s="25">
        <v>43227</v>
      </c>
      <c r="C422" s="26">
        <v>0.54513888888888895</v>
      </c>
      <c r="D422" s="5" t="s">
        <v>245</v>
      </c>
      <c r="E422" s="5"/>
      <c r="F422" s="32">
        <v>57.5</v>
      </c>
      <c r="G422" s="9">
        <v>2</v>
      </c>
      <c r="H422" s="6">
        <v>3.4782608695652174E-2</v>
      </c>
      <c r="I422" s="7">
        <v>6.83E-2</v>
      </c>
      <c r="J422" s="9">
        <v>314.15899999999999</v>
      </c>
      <c r="K422" s="9">
        <v>0.95619999999999994</v>
      </c>
      <c r="L422" s="9">
        <v>14</v>
      </c>
      <c r="M422" s="14">
        <v>164.27473331938924</v>
      </c>
      <c r="N422" s="9">
        <v>1352</v>
      </c>
      <c r="O422" s="12" t="s">
        <v>118</v>
      </c>
      <c r="P422" s="12" t="s">
        <v>82</v>
      </c>
      <c r="Q422" s="9" t="s">
        <v>119</v>
      </c>
      <c r="R422" s="9" t="s">
        <v>84</v>
      </c>
      <c r="S422" s="9"/>
      <c r="T422" s="18">
        <v>1</v>
      </c>
      <c r="U422" s="18">
        <v>1</v>
      </c>
      <c r="V422" s="9">
        <v>18.5</v>
      </c>
      <c r="Y422" s="9">
        <f t="shared" si="6"/>
        <v>164.27473331938924</v>
      </c>
      <c r="Z422" s="19" t="s">
        <v>73</v>
      </c>
      <c r="AA422" s="8" t="s">
        <v>246</v>
      </c>
      <c r="AB422" s="8" t="s">
        <v>75</v>
      </c>
      <c r="AC422" s="11" t="s">
        <v>115</v>
      </c>
      <c r="AD422" s="9" t="s">
        <v>120</v>
      </c>
      <c r="AE422" s="14">
        <v>1007.7906560999998</v>
      </c>
      <c r="AF422" s="13"/>
      <c r="AO422" s="34" t="s">
        <v>78</v>
      </c>
      <c r="AP422" s="31">
        <v>18.5</v>
      </c>
      <c r="AQ422" s="31">
        <v>18.5</v>
      </c>
    </row>
    <row r="423" spans="1:67" x14ac:dyDescent="0.2">
      <c r="A423" s="5"/>
      <c r="B423" s="25"/>
      <c r="C423" s="26"/>
      <c r="D423" s="5"/>
      <c r="E423" s="5"/>
      <c r="F423" s="32"/>
      <c r="G423" s="9"/>
      <c r="H423" s="6"/>
      <c r="I423" s="7"/>
      <c r="J423" s="9"/>
      <c r="N423" s="9"/>
      <c r="O423" s="12"/>
      <c r="P423" s="12"/>
      <c r="S423" s="9"/>
      <c r="T423" s="18"/>
      <c r="U423" s="18"/>
      <c r="Y423" s="9" t="e">
        <f t="shared" si="6"/>
        <v>#DIV/0!</v>
      </c>
      <c r="Z423" s="19"/>
      <c r="AC423" s="11"/>
      <c r="AD423" s="9"/>
      <c r="AE423" s="14"/>
      <c r="AF423" s="13"/>
      <c r="AO423" s="34" t="s">
        <v>79</v>
      </c>
      <c r="AP423" s="31">
        <v>10.199999999999999</v>
      </c>
      <c r="AQ423" s="31">
        <v>10.199999999999999</v>
      </c>
    </row>
    <row r="424" spans="1:67" x14ac:dyDescent="0.2">
      <c r="A424" s="5" t="s">
        <v>67</v>
      </c>
      <c r="B424" s="25">
        <v>43227</v>
      </c>
      <c r="C424" s="26">
        <v>0.54513888888888895</v>
      </c>
      <c r="D424" s="5" t="s">
        <v>245</v>
      </c>
      <c r="E424" s="5"/>
      <c r="F424" s="32">
        <v>57.5</v>
      </c>
      <c r="G424" s="9">
        <v>2</v>
      </c>
      <c r="H424" s="6">
        <v>3.4782608695652174E-2</v>
      </c>
      <c r="I424" s="7">
        <v>6.83E-2</v>
      </c>
      <c r="J424" s="9">
        <v>314.15899999999999</v>
      </c>
      <c r="K424" s="9">
        <v>0.95619999999999994</v>
      </c>
      <c r="L424" s="9">
        <v>14</v>
      </c>
      <c r="M424" s="14">
        <v>164.27473331938924</v>
      </c>
      <c r="N424" s="9">
        <v>1364</v>
      </c>
      <c r="O424" s="12" t="s">
        <v>88</v>
      </c>
      <c r="P424" s="12" t="s">
        <v>82</v>
      </c>
      <c r="Q424" s="9" t="s">
        <v>89</v>
      </c>
      <c r="R424" s="9" t="s">
        <v>90</v>
      </c>
      <c r="S424" s="9"/>
      <c r="T424" s="18">
        <v>1</v>
      </c>
      <c r="U424" s="18">
        <v>1</v>
      </c>
      <c r="V424" s="9">
        <v>11.1</v>
      </c>
      <c r="Y424" s="9">
        <f t="shared" si="6"/>
        <v>164.27473331938924</v>
      </c>
      <c r="Z424" s="19" t="s">
        <v>73</v>
      </c>
      <c r="AA424" s="8" t="s">
        <v>246</v>
      </c>
      <c r="AB424" s="8" t="s">
        <v>75</v>
      </c>
      <c r="AC424" s="11" t="s">
        <v>115</v>
      </c>
      <c r="AD424" s="9" t="s">
        <v>91</v>
      </c>
      <c r="AE424" s="14">
        <v>538.67979792749986</v>
      </c>
      <c r="AF424" s="13"/>
      <c r="AO424" s="34" t="s">
        <v>78</v>
      </c>
      <c r="AP424" s="31">
        <v>11.1</v>
      </c>
      <c r="AQ424" s="31">
        <v>11.1</v>
      </c>
    </row>
    <row r="425" spans="1:67" x14ac:dyDescent="0.2">
      <c r="A425" s="5"/>
      <c r="B425" s="25"/>
      <c r="C425" s="26"/>
      <c r="D425" s="5"/>
      <c r="E425" s="5"/>
      <c r="F425" s="32"/>
      <c r="G425" s="9"/>
      <c r="H425" s="6"/>
      <c r="I425" s="7"/>
      <c r="J425" s="9"/>
      <c r="N425" s="9"/>
      <c r="O425" s="12"/>
      <c r="P425" s="12"/>
      <c r="S425" s="9"/>
      <c r="T425" s="18"/>
      <c r="U425" s="18"/>
      <c r="Y425" s="9" t="e">
        <f t="shared" si="6"/>
        <v>#DIV/0!</v>
      </c>
      <c r="Z425" s="19"/>
      <c r="AC425" s="11"/>
      <c r="AD425" s="9"/>
      <c r="AE425" s="14"/>
      <c r="AF425" s="13"/>
      <c r="AO425" s="34" t="s">
        <v>79</v>
      </c>
      <c r="AP425" s="31">
        <v>5.6</v>
      </c>
      <c r="AQ425" s="31">
        <v>5.6</v>
      </c>
    </row>
    <row r="426" spans="1:67" x14ac:dyDescent="0.2">
      <c r="A426" s="5" t="s">
        <v>67</v>
      </c>
      <c r="B426" s="25">
        <v>43227</v>
      </c>
      <c r="C426" s="26">
        <v>0.54513888888888895</v>
      </c>
      <c r="D426" s="5" t="s">
        <v>245</v>
      </c>
      <c r="E426" s="5"/>
      <c r="F426" s="32">
        <v>57.5</v>
      </c>
      <c r="G426" s="9">
        <v>2</v>
      </c>
      <c r="H426" s="6">
        <v>3.4782608695652174E-2</v>
      </c>
      <c r="I426" s="7">
        <v>6.83E-2</v>
      </c>
      <c r="J426" s="9">
        <v>314.15899999999999</v>
      </c>
      <c r="K426" s="9">
        <v>0.95619999999999994</v>
      </c>
      <c r="L426" s="9">
        <v>14</v>
      </c>
      <c r="M426" s="14">
        <v>164.27473331938924</v>
      </c>
      <c r="N426" s="9">
        <v>1733</v>
      </c>
      <c r="O426" s="12" t="s">
        <v>92</v>
      </c>
      <c r="P426" s="12" t="s">
        <v>82</v>
      </c>
      <c r="Q426" s="9" t="s">
        <v>89</v>
      </c>
      <c r="R426" s="9" t="s">
        <v>93</v>
      </c>
      <c r="S426" s="9"/>
      <c r="T426" s="18">
        <v>3</v>
      </c>
      <c r="U426" s="18">
        <v>3</v>
      </c>
      <c r="V426" s="9">
        <v>7.4</v>
      </c>
      <c r="Y426" s="9">
        <f t="shared" si="6"/>
        <v>492.82419995816775</v>
      </c>
      <c r="Z426" s="19" t="s">
        <v>73</v>
      </c>
      <c r="AA426" s="8" t="s">
        <v>246</v>
      </c>
      <c r="AB426" s="8" t="s">
        <v>75</v>
      </c>
      <c r="AC426" s="11" t="s">
        <v>115</v>
      </c>
      <c r="AD426" s="9" t="s">
        <v>91</v>
      </c>
      <c r="AE426" s="14">
        <v>102.64831165999999</v>
      </c>
      <c r="AF426" s="13"/>
      <c r="AO426" s="34" t="s">
        <v>78</v>
      </c>
      <c r="AP426" s="31">
        <v>6.2</v>
      </c>
      <c r="AQ426" s="31">
        <v>5.6</v>
      </c>
      <c r="AR426" s="31">
        <v>5.6</v>
      </c>
      <c r="AS426" s="31">
        <v>7.4</v>
      </c>
    </row>
    <row r="427" spans="1:67" x14ac:dyDescent="0.2">
      <c r="A427" s="5"/>
      <c r="B427" s="25"/>
      <c r="C427" s="26"/>
      <c r="D427" s="5"/>
      <c r="E427" s="5"/>
      <c r="F427" s="32"/>
      <c r="G427" s="9"/>
      <c r="H427" s="6"/>
      <c r="I427" s="7"/>
      <c r="J427" s="9"/>
      <c r="N427" s="9"/>
      <c r="O427" s="12"/>
      <c r="P427" s="12"/>
      <c r="S427" s="9"/>
      <c r="T427" s="18"/>
      <c r="U427" s="18"/>
      <c r="Y427" s="9" t="e">
        <f t="shared" si="6"/>
        <v>#DIV/0!</v>
      </c>
      <c r="Z427" s="19"/>
      <c r="AC427" s="11"/>
      <c r="AD427" s="9"/>
      <c r="AE427" s="14"/>
      <c r="AF427" s="13"/>
      <c r="AO427" s="34" t="s">
        <v>79</v>
      </c>
      <c r="AP427" s="31">
        <v>4</v>
      </c>
      <c r="AQ427" s="31">
        <v>3.7</v>
      </c>
      <c r="AR427" s="31">
        <v>3.7</v>
      </c>
      <c r="AS427" s="31">
        <v>4.5999999999999996</v>
      </c>
    </row>
    <row r="428" spans="1:67" x14ac:dyDescent="0.2">
      <c r="A428" s="5" t="s">
        <v>67</v>
      </c>
      <c r="B428" s="25">
        <v>43227</v>
      </c>
      <c r="C428" s="26">
        <v>0.54513888888888895</v>
      </c>
      <c r="D428" s="5" t="s">
        <v>245</v>
      </c>
      <c r="E428" s="5"/>
      <c r="F428" s="32">
        <v>57.5</v>
      </c>
      <c r="G428" s="9">
        <v>2</v>
      </c>
      <c r="H428" s="6">
        <v>3.4782608695652174E-2</v>
      </c>
      <c r="I428" s="7">
        <v>6.83E-2</v>
      </c>
      <c r="J428" s="9">
        <v>314.15899999999999</v>
      </c>
      <c r="K428" s="9">
        <v>0.95619999999999994</v>
      </c>
      <c r="L428" s="9">
        <v>14</v>
      </c>
      <c r="M428" s="14">
        <v>164.27473331938924</v>
      </c>
      <c r="N428" s="9">
        <v>1419</v>
      </c>
      <c r="O428" s="12" t="s">
        <v>94</v>
      </c>
      <c r="P428" s="12" t="s">
        <v>82</v>
      </c>
      <c r="Q428" s="9" t="s">
        <v>95</v>
      </c>
      <c r="R428" s="9" t="s">
        <v>96</v>
      </c>
      <c r="S428" s="9"/>
      <c r="T428" s="18">
        <v>395</v>
      </c>
      <c r="U428" s="18">
        <v>794</v>
      </c>
      <c r="V428" s="9">
        <v>0.8</v>
      </c>
      <c r="W428" s="9">
        <v>0.8</v>
      </c>
      <c r="X428" s="9">
        <v>0.8</v>
      </c>
      <c r="Y428" s="9">
        <f t="shared" si="6"/>
        <v>64888.519661158753</v>
      </c>
      <c r="Z428" s="19" t="s">
        <v>97</v>
      </c>
      <c r="AA428" s="8" t="s">
        <v>246</v>
      </c>
      <c r="AB428" s="8" t="s">
        <v>75</v>
      </c>
      <c r="AC428" s="11" t="s">
        <v>115</v>
      </c>
      <c r="AD428" s="9" t="s">
        <v>85</v>
      </c>
      <c r="AE428" s="14">
        <v>0.18</v>
      </c>
      <c r="AF428" s="14">
        <v>0.18</v>
      </c>
      <c r="AG428" s="14">
        <v>0.18</v>
      </c>
      <c r="AH428" s="14">
        <v>0.18</v>
      </c>
      <c r="AI428" s="14">
        <v>0.18</v>
      </c>
      <c r="AJ428" s="14">
        <v>0.18</v>
      </c>
      <c r="AK428" s="14">
        <v>0.18</v>
      </c>
      <c r="AL428" s="14">
        <v>0.18</v>
      </c>
      <c r="AM428" s="14">
        <v>0.18</v>
      </c>
      <c r="AN428" s="14">
        <v>0.18</v>
      </c>
      <c r="AO428" s="35" t="s">
        <v>78</v>
      </c>
      <c r="AP428" s="31">
        <v>0.75200000000000033</v>
      </c>
      <c r="AQ428" s="31">
        <v>0.7</v>
      </c>
      <c r="AR428" s="31">
        <v>0.7</v>
      </c>
      <c r="AS428" s="31">
        <v>0.7</v>
      </c>
      <c r="AT428" s="31">
        <v>0.7</v>
      </c>
      <c r="AU428" s="31">
        <v>0.7</v>
      </c>
      <c r="AV428" s="31">
        <v>0.7</v>
      </c>
      <c r="AW428" s="31">
        <v>0.7</v>
      </c>
      <c r="AX428" s="31">
        <v>0.7</v>
      </c>
      <c r="AY428" s="31">
        <v>0.7</v>
      </c>
      <c r="AZ428" s="31">
        <v>0.7</v>
      </c>
      <c r="BA428" s="31">
        <v>0.7</v>
      </c>
      <c r="BB428" s="31">
        <v>0.7</v>
      </c>
      <c r="BC428" s="31">
        <v>0.8</v>
      </c>
      <c r="BD428" s="31">
        <v>0.8</v>
      </c>
      <c r="BE428" s="31">
        <v>0.8</v>
      </c>
      <c r="BF428" s="31">
        <v>0.8</v>
      </c>
      <c r="BG428" s="31">
        <v>0.8</v>
      </c>
      <c r="BH428" s="31">
        <v>0.8</v>
      </c>
      <c r="BI428" s="31">
        <v>0.8</v>
      </c>
      <c r="BJ428" s="31">
        <v>0.8</v>
      </c>
      <c r="BK428" s="31">
        <v>0.8</v>
      </c>
      <c r="BL428" s="31">
        <v>0.8</v>
      </c>
      <c r="BM428" s="31">
        <v>0.8</v>
      </c>
      <c r="BN428" s="31">
        <v>0.8</v>
      </c>
      <c r="BO428" s="31">
        <v>0.8</v>
      </c>
    </row>
    <row r="429" spans="1:67" x14ac:dyDescent="0.2">
      <c r="A429" s="5" t="s">
        <v>67</v>
      </c>
      <c r="B429" s="25">
        <v>43227</v>
      </c>
      <c r="C429" s="26">
        <v>0.51041666666666696</v>
      </c>
      <c r="D429" s="25" t="s">
        <v>247</v>
      </c>
      <c r="E429" s="5">
        <v>3</v>
      </c>
      <c r="F429" s="32">
        <v>64</v>
      </c>
      <c r="G429" s="9">
        <v>2</v>
      </c>
      <c r="H429" s="6">
        <v>3.125E-2</v>
      </c>
      <c r="I429" s="7">
        <v>6.83E-2</v>
      </c>
      <c r="J429" s="9">
        <v>314.15899999999999</v>
      </c>
      <c r="K429" s="9">
        <v>0.95619999999999994</v>
      </c>
      <c r="L429" s="9">
        <v>14</v>
      </c>
      <c r="M429" s="14">
        <v>164.27473331938924</v>
      </c>
      <c r="N429" s="9">
        <v>1031</v>
      </c>
      <c r="O429" s="12" t="s">
        <v>81</v>
      </c>
      <c r="P429" s="12" t="s">
        <v>82</v>
      </c>
      <c r="Q429" s="9" t="s">
        <v>83</v>
      </c>
      <c r="R429" s="9" t="s">
        <v>84</v>
      </c>
      <c r="S429" s="9"/>
      <c r="T429" s="18">
        <v>1</v>
      </c>
      <c r="U429" s="18">
        <v>1</v>
      </c>
      <c r="V429" s="9">
        <v>5.6</v>
      </c>
      <c r="Y429" s="9">
        <f t="shared" si="6"/>
        <v>164.27473331938924</v>
      </c>
      <c r="Z429" s="19" t="s">
        <v>73</v>
      </c>
      <c r="AA429" s="8" t="s">
        <v>248</v>
      </c>
      <c r="AB429" s="8" t="s">
        <v>75</v>
      </c>
      <c r="AC429" s="11" t="s">
        <v>112</v>
      </c>
      <c r="AD429" s="9" t="s">
        <v>85</v>
      </c>
      <c r="AE429" s="14">
        <v>62.044308106666655</v>
      </c>
      <c r="AF429" s="13"/>
      <c r="AO429" s="34" t="s">
        <v>78</v>
      </c>
      <c r="AP429" s="31">
        <v>5.6</v>
      </c>
      <c r="AQ429" s="31">
        <v>5.6</v>
      </c>
    </row>
    <row r="430" spans="1:67" x14ac:dyDescent="0.2">
      <c r="A430" s="5"/>
      <c r="B430" s="25"/>
      <c r="C430" s="26"/>
      <c r="D430" s="25"/>
      <c r="E430" s="5"/>
      <c r="F430" s="32"/>
      <c r="G430" s="9"/>
      <c r="H430" s="6"/>
      <c r="I430" s="7"/>
      <c r="J430" s="9"/>
      <c r="N430" s="9"/>
      <c r="O430" s="12"/>
      <c r="P430" s="12"/>
      <c r="S430" s="9"/>
      <c r="T430" s="18"/>
      <c r="U430" s="18"/>
      <c r="Y430" s="9" t="e">
        <f t="shared" si="6"/>
        <v>#DIV/0!</v>
      </c>
      <c r="Z430" s="19"/>
      <c r="AC430" s="11"/>
      <c r="AD430" s="9"/>
      <c r="AE430" s="14"/>
      <c r="AF430" s="13"/>
      <c r="AO430" s="34" t="s">
        <v>79</v>
      </c>
      <c r="AP430" s="31">
        <v>4.5999999999999996</v>
      </c>
      <c r="AQ430" s="31">
        <v>4.5999999999999996</v>
      </c>
    </row>
    <row r="431" spans="1:67" x14ac:dyDescent="0.2">
      <c r="A431" s="5"/>
      <c r="B431" s="25"/>
      <c r="C431" s="26"/>
      <c r="D431" s="25"/>
      <c r="E431" s="5"/>
      <c r="F431" s="32"/>
      <c r="G431" s="9"/>
      <c r="H431" s="6"/>
      <c r="I431" s="7"/>
      <c r="J431" s="9"/>
      <c r="N431" s="9"/>
      <c r="O431" s="12"/>
      <c r="P431" s="12"/>
      <c r="S431" s="9"/>
      <c r="T431" s="18"/>
      <c r="U431" s="18"/>
      <c r="Y431" s="9" t="e">
        <f t="shared" si="6"/>
        <v>#DIV/0!</v>
      </c>
      <c r="Z431" s="19"/>
      <c r="AC431" s="11"/>
      <c r="AD431" s="9"/>
      <c r="AE431" s="14"/>
      <c r="AF431" s="13"/>
      <c r="AO431" s="34" t="s">
        <v>80</v>
      </c>
      <c r="AP431" s="31">
        <v>4.5999999999999996</v>
      </c>
      <c r="AQ431" s="31">
        <v>4.5999999999999996</v>
      </c>
    </row>
    <row r="432" spans="1:67" x14ac:dyDescent="0.2">
      <c r="A432" s="5" t="s">
        <v>67</v>
      </c>
      <c r="B432" s="25">
        <v>43227</v>
      </c>
      <c r="C432" s="26">
        <v>0.51041666666666696</v>
      </c>
      <c r="D432" s="25" t="s">
        <v>247</v>
      </c>
      <c r="E432" s="5">
        <v>3</v>
      </c>
      <c r="F432" s="32">
        <v>64</v>
      </c>
      <c r="G432" s="9">
        <v>2</v>
      </c>
      <c r="H432" s="6">
        <v>3.125E-2</v>
      </c>
      <c r="I432" s="7">
        <v>6.83E-2</v>
      </c>
      <c r="J432" s="9">
        <v>314.15899999999999</v>
      </c>
      <c r="K432" s="9">
        <v>0.95619999999999994</v>
      </c>
      <c r="L432" s="9">
        <v>14</v>
      </c>
      <c r="M432" s="14">
        <v>164.27473331938924</v>
      </c>
      <c r="N432" s="9">
        <v>1037</v>
      </c>
      <c r="O432" s="12" t="s">
        <v>86</v>
      </c>
      <c r="P432" s="12" t="s">
        <v>82</v>
      </c>
      <c r="Q432" s="9" t="s">
        <v>87</v>
      </c>
      <c r="R432" s="9" t="s">
        <v>84</v>
      </c>
      <c r="S432" s="9"/>
      <c r="T432" s="18">
        <v>31</v>
      </c>
      <c r="U432" s="18">
        <v>31</v>
      </c>
      <c r="V432" s="9">
        <v>2.8</v>
      </c>
      <c r="Y432" s="9">
        <f t="shared" si="6"/>
        <v>5092.5167329010674</v>
      </c>
      <c r="Z432" s="19" t="s">
        <v>73</v>
      </c>
      <c r="AA432" s="8" t="s">
        <v>248</v>
      </c>
      <c r="AB432" s="8" t="s">
        <v>75</v>
      </c>
      <c r="AC432" s="11" t="s">
        <v>112</v>
      </c>
      <c r="AD432" s="9" t="s">
        <v>85</v>
      </c>
      <c r="AE432" s="14">
        <v>4.8490441650000005</v>
      </c>
      <c r="AF432" s="13"/>
      <c r="AO432" s="34" t="s">
        <v>78</v>
      </c>
      <c r="AP432" s="31">
        <v>2.08</v>
      </c>
      <c r="AQ432" s="31">
        <v>2.8</v>
      </c>
      <c r="AR432" s="31">
        <v>1.9</v>
      </c>
      <c r="AS432" s="31">
        <v>1.9</v>
      </c>
      <c r="AT432" s="31">
        <v>1.9</v>
      </c>
      <c r="AU432" s="31">
        <v>1.9</v>
      </c>
    </row>
    <row r="433" spans="1:67" x14ac:dyDescent="0.2">
      <c r="A433" s="5" t="s">
        <v>67</v>
      </c>
      <c r="B433" s="25">
        <v>43227</v>
      </c>
      <c r="C433" s="26">
        <v>0.51041666666666696</v>
      </c>
      <c r="D433" s="25" t="s">
        <v>247</v>
      </c>
      <c r="E433" s="5">
        <v>3</v>
      </c>
      <c r="F433" s="32">
        <v>64</v>
      </c>
      <c r="G433" s="9">
        <v>2</v>
      </c>
      <c r="H433" s="6">
        <v>3.125E-2</v>
      </c>
      <c r="I433" s="7">
        <v>6.83E-2</v>
      </c>
      <c r="J433" s="9">
        <v>314.15899999999999</v>
      </c>
      <c r="K433" s="9">
        <v>0.95619999999999994</v>
      </c>
      <c r="L433" s="9">
        <v>14</v>
      </c>
      <c r="M433" s="14">
        <v>164.27473331938924</v>
      </c>
      <c r="N433" s="9">
        <v>1364</v>
      </c>
      <c r="O433" s="12" t="s">
        <v>88</v>
      </c>
      <c r="P433" s="12" t="s">
        <v>82</v>
      </c>
      <c r="Q433" s="9" t="s">
        <v>89</v>
      </c>
      <c r="R433" s="9" t="s">
        <v>90</v>
      </c>
      <c r="S433" s="9"/>
      <c r="T433" s="18">
        <v>1</v>
      </c>
      <c r="U433" s="18">
        <v>1</v>
      </c>
      <c r="V433" s="9">
        <v>5.6</v>
      </c>
      <c r="Y433" s="9">
        <f t="shared" si="6"/>
        <v>164.27473331938924</v>
      </c>
      <c r="Z433" s="19" t="s">
        <v>73</v>
      </c>
      <c r="AA433" s="8" t="s">
        <v>248</v>
      </c>
      <c r="AB433" s="8" t="s">
        <v>75</v>
      </c>
      <c r="AC433" s="11" t="s">
        <v>112</v>
      </c>
      <c r="AD433" s="9" t="s">
        <v>91</v>
      </c>
      <c r="AE433" s="14">
        <v>76.353203359999995</v>
      </c>
      <c r="AF433" s="13"/>
      <c r="AO433" s="34" t="s">
        <v>78</v>
      </c>
      <c r="AP433" s="31">
        <v>5.6</v>
      </c>
      <c r="AQ433" s="31">
        <v>5.6</v>
      </c>
    </row>
    <row r="434" spans="1:67" x14ac:dyDescent="0.2">
      <c r="A434" s="5"/>
      <c r="B434" s="25"/>
      <c r="C434" s="26"/>
      <c r="D434" s="25"/>
      <c r="E434" s="5"/>
      <c r="F434" s="32"/>
      <c r="G434" s="9"/>
      <c r="H434" s="6"/>
      <c r="I434" s="7"/>
      <c r="J434" s="9"/>
      <c r="N434" s="9"/>
      <c r="O434" s="12"/>
      <c r="P434" s="12"/>
      <c r="S434" s="9"/>
      <c r="T434" s="18"/>
      <c r="U434" s="18"/>
      <c r="Y434" s="9" t="e">
        <f t="shared" si="6"/>
        <v>#DIV/0!</v>
      </c>
      <c r="Z434" s="19"/>
      <c r="AC434" s="11"/>
      <c r="AD434" s="9"/>
      <c r="AE434" s="14"/>
      <c r="AF434" s="13"/>
      <c r="AO434" s="34" t="s">
        <v>79</v>
      </c>
      <c r="AP434" s="31">
        <v>3.7</v>
      </c>
      <c r="AQ434" s="31">
        <v>3.7</v>
      </c>
    </row>
    <row r="435" spans="1:67" x14ac:dyDescent="0.2">
      <c r="A435" s="5" t="s">
        <v>67</v>
      </c>
      <c r="B435" s="25">
        <v>43227</v>
      </c>
      <c r="C435" s="26">
        <v>0.51041666666666696</v>
      </c>
      <c r="D435" s="25" t="s">
        <v>247</v>
      </c>
      <c r="E435" s="5">
        <v>3</v>
      </c>
      <c r="F435" s="32">
        <v>64</v>
      </c>
      <c r="G435" s="9">
        <v>2</v>
      </c>
      <c r="H435" s="6">
        <v>3.125E-2</v>
      </c>
      <c r="I435" s="7">
        <v>6.83E-2</v>
      </c>
      <c r="J435" s="9">
        <v>314.15899999999999</v>
      </c>
      <c r="K435" s="9">
        <v>0.95619999999999994</v>
      </c>
      <c r="L435" s="9">
        <v>14</v>
      </c>
      <c r="M435" s="14">
        <v>164.27473331938924</v>
      </c>
      <c r="N435" s="9">
        <v>1419</v>
      </c>
      <c r="O435" s="12" t="s">
        <v>94</v>
      </c>
      <c r="P435" s="12" t="s">
        <v>82</v>
      </c>
      <c r="Q435" s="9" t="s">
        <v>95</v>
      </c>
      <c r="R435" s="9" t="s">
        <v>96</v>
      </c>
      <c r="S435" s="9"/>
      <c r="T435" s="18">
        <v>368</v>
      </c>
      <c r="U435" s="18">
        <v>736</v>
      </c>
      <c r="V435" s="9">
        <v>0.8</v>
      </c>
      <c r="W435" s="9">
        <v>0.8</v>
      </c>
      <c r="X435" s="9">
        <v>0.8</v>
      </c>
      <c r="Y435" s="9">
        <f t="shared" si="6"/>
        <v>60453.101861535251</v>
      </c>
      <c r="Z435" s="19" t="s">
        <v>97</v>
      </c>
      <c r="AA435" s="8" t="s">
        <v>248</v>
      </c>
      <c r="AB435" s="8" t="s">
        <v>75</v>
      </c>
      <c r="AC435" s="11" t="s">
        <v>112</v>
      </c>
      <c r="AD435" s="9" t="s">
        <v>85</v>
      </c>
      <c r="AE435" s="14">
        <v>0.18</v>
      </c>
      <c r="AF435" s="14">
        <v>0.18</v>
      </c>
      <c r="AG435" s="14">
        <v>0.18</v>
      </c>
      <c r="AH435" s="14">
        <v>0.18</v>
      </c>
      <c r="AI435" s="14">
        <v>0.18</v>
      </c>
      <c r="AJ435" s="14">
        <v>0.18</v>
      </c>
      <c r="AK435" s="14">
        <v>0.18</v>
      </c>
      <c r="AL435" s="14">
        <v>0.18</v>
      </c>
      <c r="AM435" s="14">
        <v>0.18</v>
      </c>
      <c r="AN435" s="14">
        <v>0.18</v>
      </c>
      <c r="AO435" s="35" t="s">
        <v>78</v>
      </c>
      <c r="AP435" s="31">
        <v>0.75200000000000033</v>
      </c>
      <c r="AQ435" s="31">
        <v>0.7</v>
      </c>
      <c r="AR435" s="31">
        <v>0.7</v>
      </c>
      <c r="AS435" s="31">
        <v>0.7</v>
      </c>
      <c r="AT435" s="31">
        <v>0.7</v>
      </c>
      <c r="AU435" s="31">
        <v>0.7</v>
      </c>
      <c r="AV435" s="31">
        <v>0.7</v>
      </c>
      <c r="AW435" s="31">
        <v>0.7</v>
      </c>
      <c r="AX435" s="31">
        <v>0.7</v>
      </c>
      <c r="AY435" s="31">
        <v>0.7</v>
      </c>
      <c r="AZ435" s="31">
        <v>0.7</v>
      </c>
      <c r="BA435" s="31">
        <v>0.7</v>
      </c>
      <c r="BB435" s="31">
        <v>0.7</v>
      </c>
      <c r="BC435" s="31">
        <v>0.8</v>
      </c>
      <c r="BD435" s="31">
        <v>0.8</v>
      </c>
      <c r="BE435" s="31">
        <v>0.8</v>
      </c>
      <c r="BF435" s="31">
        <v>0.8</v>
      </c>
      <c r="BG435" s="31">
        <v>0.8</v>
      </c>
      <c r="BH435" s="31">
        <v>0.8</v>
      </c>
      <c r="BI435" s="31">
        <v>0.8</v>
      </c>
      <c r="BJ435" s="31">
        <v>0.8</v>
      </c>
      <c r="BK435" s="31">
        <v>0.8</v>
      </c>
      <c r="BL435" s="31">
        <v>0.8</v>
      </c>
      <c r="BM435" s="31">
        <v>0.8</v>
      </c>
      <c r="BN435" s="31">
        <v>0.8</v>
      </c>
      <c r="BO435" s="31">
        <v>0.8</v>
      </c>
    </row>
    <row r="436" spans="1:67" x14ac:dyDescent="0.2">
      <c r="A436" s="5" t="s">
        <v>67</v>
      </c>
      <c r="B436" s="25">
        <v>43227</v>
      </c>
      <c r="C436" s="26">
        <v>0.48958333333333298</v>
      </c>
      <c r="D436" s="5" t="s">
        <v>124</v>
      </c>
      <c r="E436" s="5">
        <v>3</v>
      </c>
      <c r="F436" s="32">
        <v>62</v>
      </c>
      <c r="G436" s="9">
        <v>2</v>
      </c>
      <c r="H436" s="6">
        <v>3.2258064516129031E-2</v>
      </c>
      <c r="I436" s="7">
        <v>6.83E-2</v>
      </c>
      <c r="J436" s="9">
        <v>314.15899999999999</v>
      </c>
      <c r="K436" s="9">
        <v>0.4098</v>
      </c>
      <c r="L436" s="9">
        <v>6</v>
      </c>
      <c r="M436" s="14">
        <v>383.30771107857493</v>
      </c>
      <c r="N436" s="9">
        <v>46</v>
      </c>
      <c r="O436" s="12" t="s">
        <v>109</v>
      </c>
      <c r="P436" s="8" t="s">
        <v>70</v>
      </c>
      <c r="Q436" s="9" t="s">
        <v>110</v>
      </c>
      <c r="R436" s="9" t="s">
        <v>84</v>
      </c>
      <c r="S436" s="9"/>
      <c r="T436" s="18">
        <v>1</v>
      </c>
      <c r="U436" s="18">
        <v>1</v>
      </c>
      <c r="V436" s="9">
        <v>9.3000000000000007</v>
      </c>
      <c r="Y436" s="9">
        <f t="shared" si="6"/>
        <v>383.30771107857493</v>
      </c>
      <c r="Z436" s="19" t="s">
        <v>73</v>
      </c>
      <c r="AA436" s="8" t="s">
        <v>249</v>
      </c>
      <c r="AB436" s="8" t="s">
        <v>75</v>
      </c>
      <c r="AC436" s="11" t="s">
        <v>250</v>
      </c>
      <c r="AD436" s="9" t="s">
        <v>77</v>
      </c>
      <c r="AE436" s="14">
        <v>57.26490252</v>
      </c>
      <c r="AF436" s="13"/>
      <c r="AO436" s="34" t="s">
        <v>78</v>
      </c>
      <c r="AP436" s="31">
        <v>9.3000000000000007</v>
      </c>
      <c r="AQ436" s="31">
        <v>9.3000000000000007</v>
      </c>
    </row>
    <row r="437" spans="1:67" x14ac:dyDescent="0.2">
      <c r="A437" s="5"/>
      <c r="B437" s="25"/>
      <c r="C437" s="26"/>
      <c r="D437" s="5"/>
      <c r="E437" s="5"/>
      <c r="F437" s="32"/>
      <c r="G437" s="9"/>
      <c r="H437" s="6"/>
      <c r="I437" s="7"/>
      <c r="J437" s="9"/>
      <c r="N437" s="9"/>
      <c r="O437" s="12"/>
      <c r="S437" s="9"/>
      <c r="T437" s="18"/>
      <c r="U437" s="18"/>
      <c r="Y437" s="9" t="e">
        <f t="shared" si="6"/>
        <v>#DIV/0!</v>
      </c>
      <c r="Z437" s="19"/>
      <c r="AC437" s="11"/>
      <c r="AD437" s="9"/>
      <c r="AE437" s="14"/>
      <c r="AF437" s="13"/>
      <c r="AO437" s="34" t="s">
        <v>79</v>
      </c>
      <c r="AP437" s="31">
        <v>2.8</v>
      </c>
      <c r="AQ437" s="31">
        <v>2.8</v>
      </c>
    </row>
    <row r="438" spans="1:67" x14ac:dyDescent="0.2">
      <c r="A438" s="5"/>
      <c r="B438" s="25"/>
      <c r="C438" s="26"/>
      <c r="D438" s="5"/>
      <c r="E438" s="5"/>
      <c r="F438" s="32"/>
      <c r="G438" s="9"/>
      <c r="H438" s="6"/>
      <c r="I438" s="7"/>
      <c r="J438" s="9"/>
      <c r="N438" s="9"/>
      <c r="O438" s="12"/>
      <c r="S438" s="9"/>
      <c r="T438" s="18"/>
      <c r="U438" s="18"/>
      <c r="Y438" s="9" t="e">
        <f t="shared" si="6"/>
        <v>#DIV/0!</v>
      </c>
      <c r="Z438" s="19"/>
      <c r="AC438" s="11"/>
      <c r="AD438" s="9"/>
      <c r="AE438" s="14"/>
      <c r="AF438" s="13"/>
      <c r="AO438" s="34" t="s">
        <v>80</v>
      </c>
      <c r="AP438" s="31">
        <v>2.8</v>
      </c>
      <c r="AQ438" s="31">
        <v>2.8</v>
      </c>
    </row>
    <row r="439" spans="1:67" x14ac:dyDescent="0.2">
      <c r="A439" s="5" t="s">
        <v>67</v>
      </c>
      <c r="B439" s="25">
        <v>43227</v>
      </c>
      <c r="C439" s="26">
        <v>0.48958333333333298</v>
      </c>
      <c r="D439" s="5" t="s">
        <v>124</v>
      </c>
      <c r="E439" s="5">
        <v>3</v>
      </c>
      <c r="F439" s="32">
        <v>62</v>
      </c>
      <c r="G439" s="9">
        <v>2</v>
      </c>
      <c r="H439" s="6">
        <v>3.2258064516129031E-2</v>
      </c>
      <c r="I439" s="7">
        <v>6.83E-2</v>
      </c>
      <c r="J439" s="9">
        <v>314.15899999999999</v>
      </c>
      <c r="K439" s="9">
        <v>0.4098</v>
      </c>
      <c r="L439" s="9">
        <v>6</v>
      </c>
      <c r="M439" s="14">
        <v>383.30771107857493</v>
      </c>
      <c r="N439" s="9">
        <v>145</v>
      </c>
      <c r="O439" s="12" t="s">
        <v>69</v>
      </c>
      <c r="P439" s="8" t="s">
        <v>70</v>
      </c>
      <c r="Q439" s="9" t="s">
        <v>71</v>
      </c>
      <c r="R439" s="9" t="s">
        <v>72</v>
      </c>
      <c r="S439" s="9"/>
      <c r="T439" s="18">
        <v>9</v>
      </c>
      <c r="U439" s="18">
        <v>9</v>
      </c>
      <c r="V439" s="9">
        <v>18.5</v>
      </c>
      <c r="Y439" s="9">
        <f t="shared" si="6"/>
        <v>3449.7693997071742</v>
      </c>
      <c r="Z439" s="19" t="s">
        <v>73</v>
      </c>
      <c r="AA439" s="8" t="s">
        <v>249</v>
      </c>
      <c r="AB439" s="8" t="s">
        <v>75</v>
      </c>
      <c r="AC439" s="11" t="s">
        <v>250</v>
      </c>
      <c r="AD439" s="9" t="s">
        <v>77</v>
      </c>
      <c r="AE439" s="14">
        <v>441.48921349499994</v>
      </c>
      <c r="AF439" s="13"/>
      <c r="AO439" s="34" t="s">
        <v>78</v>
      </c>
      <c r="AP439" s="31">
        <v>16.66</v>
      </c>
      <c r="AQ439" s="31">
        <v>18.5</v>
      </c>
      <c r="AR439" s="31">
        <v>18.5</v>
      </c>
      <c r="AS439" s="31">
        <v>13</v>
      </c>
      <c r="AT439" s="31">
        <v>18.5</v>
      </c>
      <c r="AU439" s="31">
        <v>14.8</v>
      </c>
    </row>
    <row r="440" spans="1:67" x14ac:dyDescent="0.2">
      <c r="A440" s="5"/>
      <c r="B440" s="25"/>
      <c r="C440" s="26"/>
      <c r="D440" s="5"/>
      <c r="E440" s="5"/>
      <c r="F440" s="32"/>
      <c r="G440" s="9"/>
      <c r="H440" s="6"/>
      <c r="I440" s="7"/>
      <c r="J440" s="9"/>
      <c r="N440" s="9"/>
      <c r="O440" s="12"/>
      <c r="S440" s="9"/>
      <c r="T440" s="18"/>
      <c r="U440" s="18"/>
      <c r="Y440" s="9" t="e">
        <f t="shared" si="6"/>
        <v>#DIV/0!</v>
      </c>
      <c r="Z440" s="19"/>
      <c r="AC440" s="11"/>
      <c r="AD440" s="9"/>
      <c r="AE440" s="14"/>
      <c r="AF440" s="13"/>
      <c r="AO440" s="34" t="s">
        <v>79</v>
      </c>
      <c r="AP440" s="31">
        <v>10.180000000000001</v>
      </c>
      <c r="AQ440" s="31">
        <v>11.1</v>
      </c>
      <c r="AR440" s="31">
        <v>11.1</v>
      </c>
      <c r="AS440" s="31">
        <v>8.3000000000000007</v>
      </c>
      <c r="AT440" s="31">
        <v>11.1</v>
      </c>
      <c r="AU440" s="31">
        <v>9.3000000000000007</v>
      </c>
    </row>
    <row r="441" spans="1:67" x14ac:dyDescent="0.2">
      <c r="A441" s="5"/>
      <c r="B441" s="25"/>
      <c r="C441" s="26"/>
      <c r="D441" s="5"/>
      <c r="E441" s="5"/>
      <c r="F441" s="32"/>
      <c r="G441" s="9"/>
      <c r="H441" s="6"/>
      <c r="I441" s="7"/>
      <c r="J441" s="9"/>
      <c r="N441" s="9"/>
      <c r="O441" s="12"/>
      <c r="S441" s="9"/>
      <c r="T441" s="18"/>
      <c r="U441" s="18"/>
      <c r="Y441" s="9" t="e">
        <f t="shared" si="6"/>
        <v>#DIV/0!</v>
      </c>
      <c r="Z441" s="19"/>
      <c r="AC441" s="11"/>
      <c r="AD441" s="9"/>
      <c r="AE441" s="14"/>
      <c r="AF441" s="13"/>
      <c r="AO441" s="34" t="s">
        <v>80</v>
      </c>
      <c r="AP441" s="31">
        <v>3.34</v>
      </c>
      <c r="AQ441" s="31">
        <v>3.7</v>
      </c>
      <c r="AR441" s="31">
        <v>3.7</v>
      </c>
      <c r="AS441" s="31">
        <v>2.8</v>
      </c>
      <c r="AT441" s="31">
        <v>3.7</v>
      </c>
      <c r="AU441" s="31">
        <v>2.8</v>
      </c>
    </row>
    <row r="442" spans="1:67" x14ac:dyDescent="0.2">
      <c r="A442" s="5" t="s">
        <v>67</v>
      </c>
      <c r="B442" s="25">
        <v>43227</v>
      </c>
      <c r="C442" s="26">
        <v>0.48958333333333298</v>
      </c>
      <c r="D442" s="5" t="s">
        <v>124</v>
      </c>
      <c r="E442" s="5">
        <v>3</v>
      </c>
      <c r="F442" s="32">
        <v>62</v>
      </c>
      <c r="G442" s="9">
        <v>2</v>
      </c>
      <c r="H442" s="6">
        <v>3.2258064516129031E-2</v>
      </c>
      <c r="I442" s="7">
        <v>6.83E-2</v>
      </c>
      <c r="J442" s="9">
        <v>314.15899999999999</v>
      </c>
      <c r="K442" s="9">
        <v>0.4098</v>
      </c>
      <c r="L442" s="9">
        <v>6</v>
      </c>
      <c r="M442" s="14">
        <v>383.30771107857493</v>
      </c>
      <c r="N442" s="9">
        <v>1015</v>
      </c>
      <c r="O442" s="12" t="s">
        <v>251</v>
      </c>
      <c r="P442" s="12" t="s">
        <v>82</v>
      </c>
      <c r="Q442" s="9" t="s">
        <v>252</v>
      </c>
      <c r="R442" s="9" t="s">
        <v>84</v>
      </c>
      <c r="S442" s="9"/>
      <c r="T442" s="18">
        <v>1</v>
      </c>
      <c r="U442" s="18">
        <v>1</v>
      </c>
      <c r="V442" s="9">
        <v>13</v>
      </c>
      <c r="Y442" s="9">
        <f t="shared" si="6"/>
        <v>383.30771107857493</v>
      </c>
      <c r="Z442" s="19" t="s">
        <v>73</v>
      </c>
      <c r="AA442" s="8" t="s">
        <v>249</v>
      </c>
      <c r="AB442" s="8" t="s">
        <v>75</v>
      </c>
      <c r="AC442" s="11" t="s">
        <v>250</v>
      </c>
      <c r="AD442" s="9" t="s">
        <v>215</v>
      </c>
      <c r="AE442" s="14">
        <v>8.5565130637499998</v>
      </c>
      <c r="AF442" s="13"/>
      <c r="AO442" s="34" t="s">
        <v>78</v>
      </c>
      <c r="AP442" s="31">
        <v>13</v>
      </c>
      <c r="AQ442" s="31">
        <v>13</v>
      </c>
    </row>
    <row r="443" spans="1:67" x14ac:dyDescent="0.2">
      <c r="A443" s="5"/>
      <c r="B443" s="25"/>
      <c r="C443" s="26"/>
      <c r="D443" s="5"/>
      <c r="E443" s="5"/>
      <c r="F443" s="32"/>
      <c r="G443" s="9"/>
      <c r="H443" s="6"/>
      <c r="I443" s="7"/>
      <c r="J443" s="9"/>
      <c r="N443" s="9"/>
      <c r="O443" s="12"/>
      <c r="P443" s="12"/>
      <c r="S443" s="9"/>
      <c r="T443" s="18"/>
      <c r="U443" s="18"/>
      <c r="Y443" s="9" t="e">
        <f t="shared" si="6"/>
        <v>#DIV/0!</v>
      </c>
      <c r="Z443" s="19"/>
      <c r="AC443" s="11"/>
      <c r="AD443" s="9"/>
      <c r="AE443" s="14"/>
      <c r="AF443" s="13"/>
      <c r="AO443" s="34" t="s">
        <v>79</v>
      </c>
      <c r="AP443" s="31">
        <v>0.9</v>
      </c>
      <c r="AQ443" s="31">
        <v>0.9</v>
      </c>
    </row>
    <row r="444" spans="1:67" x14ac:dyDescent="0.2">
      <c r="A444" s="5"/>
      <c r="B444" s="25"/>
      <c r="C444" s="26"/>
      <c r="D444" s="5"/>
      <c r="E444" s="5"/>
      <c r="F444" s="32"/>
      <c r="G444" s="9"/>
      <c r="H444" s="6"/>
      <c r="I444" s="7"/>
      <c r="J444" s="9"/>
      <c r="N444" s="9"/>
      <c r="O444" s="12"/>
      <c r="P444" s="12"/>
      <c r="S444" s="9"/>
      <c r="T444" s="18"/>
      <c r="U444" s="18"/>
      <c r="Y444" s="9" t="e">
        <f t="shared" si="6"/>
        <v>#DIV/0!</v>
      </c>
      <c r="Z444" s="19"/>
      <c r="AC444" s="11"/>
      <c r="AD444" s="9"/>
      <c r="AE444" s="14"/>
      <c r="AF444" s="13"/>
      <c r="AO444" s="34" t="s">
        <v>80</v>
      </c>
      <c r="AP444" s="31">
        <v>0.9</v>
      </c>
      <c r="AQ444" s="31">
        <v>0.9</v>
      </c>
    </row>
    <row r="445" spans="1:67" x14ac:dyDescent="0.2">
      <c r="A445" s="5" t="s">
        <v>67</v>
      </c>
      <c r="B445" s="25">
        <v>43227</v>
      </c>
      <c r="C445" s="26">
        <v>0.48958333333333298</v>
      </c>
      <c r="D445" s="5" t="s">
        <v>124</v>
      </c>
      <c r="E445" s="5">
        <v>3</v>
      </c>
      <c r="F445" s="32">
        <v>62</v>
      </c>
      <c r="G445" s="9">
        <v>2</v>
      </c>
      <c r="H445" s="6">
        <v>3.2258064516129031E-2</v>
      </c>
      <c r="I445" s="7">
        <v>6.83E-2</v>
      </c>
      <c r="J445" s="9">
        <v>314.15899999999999</v>
      </c>
      <c r="K445" s="9">
        <v>0.4098</v>
      </c>
      <c r="L445" s="9">
        <v>6</v>
      </c>
      <c r="M445" s="14">
        <v>383.30771107857493</v>
      </c>
      <c r="N445" s="9">
        <v>1037</v>
      </c>
      <c r="O445" s="12" t="s">
        <v>86</v>
      </c>
      <c r="P445" s="12" t="s">
        <v>82</v>
      </c>
      <c r="Q445" s="9" t="s">
        <v>87</v>
      </c>
      <c r="R445" s="9" t="s">
        <v>84</v>
      </c>
      <c r="S445" s="9"/>
      <c r="T445" s="18">
        <v>7</v>
      </c>
      <c r="U445" s="18">
        <v>7</v>
      </c>
      <c r="V445" s="9">
        <v>2.8</v>
      </c>
      <c r="Y445" s="9">
        <f t="shared" si="6"/>
        <v>2683.1539775500241</v>
      </c>
      <c r="Z445" s="19" t="s">
        <v>73</v>
      </c>
      <c r="AA445" s="8" t="s">
        <v>249</v>
      </c>
      <c r="AB445" s="8" t="s">
        <v>75</v>
      </c>
      <c r="AC445" s="11" t="s">
        <v>250</v>
      </c>
      <c r="AD445" s="9" t="s">
        <v>85</v>
      </c>
      <c r="AE445" s="14">
        <v>4.8490441650000005</v>
      </c>
      <c r="AF445" s="13"/>
      <c r="AO445" s="34" t="s">
        <v>78</v>
      </c>
      <c r="AP445" s="31">
        <v>2.08</v>
      </c>
      <c r="AQ445" s="31">
        <v>1.9</v>
      </c>
      <c r="AR445" s="31">
        <v>1.9</v>
      </c>
      <c r="AS445" s="31">
        <v>2.8</v>
      </c>
      <c r="AT445" s="31">
        <v>1.9</v>
      </c>
      <c r="AU445" s="31">
        <v>1.9</v>
      </c>
    </row>
    <row r="446" spans="1:67" x14ac:dyDescent="0.2">
      <c r="A446" s="5" t="s">
        <v>67</v>
      </c>
      <c r="B446" s="25">
        <v>43227</v>
      </c>
      <c r="C446" s="26">
        <v>0.48958333333333298</v>
      </c>
      <c r="D446" s="5" t="s">
        <v>124</v>
      </c>
      <c r="E446" s="5">
        <v>3</v>
      </c>
      <c r="F446" s="32">
        <v>62</v>
      </c>
      <c r="G446" s="9">
        <v>2</v>
      </c>
      <c r="H446" s="6">
        <v>3.2258064516129031E-2</v>
      </c>
      <c r="I446" s="7">
        <v>6.83E-2</v>
      </c>
      <c r="J446" s="9">
        <v>314.15899999999999</v>
      </c>
      <c r="K446" s="9">
        <v>0.4098</v>
      </c>
      <c r="L446" s="9">
        <v>6</v>
      </c>
      <c r="M446" s="14">
        <v>383.30771107857493</v>
      </c>
      <c r="N446" s="9">
        <v>1733</v>
      </c>
      <c r="O446" s="12" t="s">
        <v>92</v>
      </c>
      <c r="P446" s="12" t="s">
        <v>82</v>
      </c>
      <c r="Q446" s="9" t="s">
        <v>89</v>
      </c>
      <c r="R446" s="9" t="s">
        <v>93</v>
      </c>
      <c r="S446" s="9"/>
      <c r="T446" s="18">
        <v>1</v>
      </c>
      <c r="U446" s="18">
        <v>1</v>
      </c>
      <c r="V446" s="9">
        <v>5.6</v>
      </c>
      <c r="Y446" s="9">
        <f t="shared" si="6"/>
        <v>383.30771107857493</v>
      </c>
      <c r="Z446" s="19" t="s">
        <v>73</v>
      </c>
      <c r="AA446" s="8" t="s">
        <v>249</v>
      </c>
      <c r="AB446" s="8" t="s">
        <v>75</v>
      </c>
      <c r="AC446" s="11" t="s">
        <v>250</v>
      </c>
      <c r="AD446" s="9" t="s">
        <v>91</v>
      </c>
      <c r="AE446" s="14">
        <v>76.353203359999995</v>
      </c>
      <c r="AF446" s="13"/>
      <c r="AO446" s="34" t="s">
        <v>78</v>
      </c>
      <c r="AP446" s="31">
        <v>5.6</v>
      </c>
      <c r="AQ446" s="31">
        <v>5.6</v>
      </c>
    </row>
    <row r="447" spans="1:67" x14ac:dyDescent="0.2">
      <c r="A447" s="5"/>
      <c r="B447" s="25"/>
      <c r="C447" s="26"/>
      <c r="D447" s="5"/>
      <c r="E447" s="5"/>
      <c r="F447" s="32"/>
      <c r="G447" s="9"/>
      <c r="H447" s="6"/>
      <c r="I447" s="7"/>
      <c r="J447" s="9"/>
      <c r="N447" s="9"/>
      <c r="O447" s="12"/>
      <c r="P447" s="12"/>
      <c r="S447" s="9"/>
      <c r="T447" s="18"/>
      <c r="U447" s="18"/>
      <c r="Y447" s="9" t="e">
        <f t="shared" si="6"/>
        <v>#DIV/0!</v>
      </c>
      <c r="Z447" s="19"/>
      <c r="AC447" s="11"/>
      <c r="AD447" s="9"/>
      <c r="AE447" s="14"/>
      <c r="AF447" s="13"/>
      <c r="AO447" s="34" t="s">
        <v>79</v>
      </c>
      <c r="AP447" s="31">
        <v>3.7</v>
      </c>
      <c r="AQ447" s="31">
        <v>3.7</v>
      </c>
    </row>
    <row r="448" spans="1:67" x14ac:dyDescent="0.2">
      <c r="A448" s="5" t="s">
        <v>67</v>
      </c>
      <c r="B448" s="25">
        <v>43227</v>
      </c>
      <c r="C448" s="26">
        <v>0.48958333333333298</v>
      </c>
      <c r="D448" s="5" t="s">
        <v>124</v>
      </c>
      <c r="E448" s="5">
        <v>3</v>
      </c>
      <c r="F448" s="32">
        <v>62</v>
      </c>
      <c r="G448" s="9">
        <v>2</v>
      </c>
      <c r="H448" s="6">
        <v>3.2258064516129031E-2</v>
      </c>
      <c r="I448" s="7">
        <v>6.83E-2</v>
      </c>
      <c r="J448" s="9">
        <v>314.15899999999999</v>
      </c>
      <c r="K448" s="9">
        <v>0.4098</v>
      </c>
      <c r="L448" s="9">
        <v>6</v>
      </c>
      <c r="M448" s="14">
        <v>383.30771107857493</v>
      </c>
      <c r="N448" s="9">
        <v>1419</v>
      </c>
      <c r="O448" s="12" t="s">
        <v>94</v>
      </c>
      <c r="P448" s="12" t="s">
        <v>82</v>
      </c>
      <c r="Q448" s="9" t="s">
        <v>95</v>
      </c>
      <c r="R448" s="9" t="s">
        <v>96</v>
      </c>
      <c r="S448" s="9"/>
      <c r="T448" s="18">
        <v>392</v>
      </c>
      <c r="U448" s="18">
        <v>793</v>
      </c>
      <c r="V448" s="9">
        <v>0.8</v>
      </c>
      <c r="W448" s="9">
        <v>0.8</v>
      </c>
      <c r="X448" s="9">
        <v>0.8</v>
      </c>
      <c r="Y448" s="9">
        <f t="shared" si="6"/>
        <v>150256.62274280135</v>
      </c>
      <c r="Z448" s="19" t="s">
        <v>97</v>
      </c>
      <c r="AA448" s="8" t="s">
        <v>249</v>
      </c>
      <c r="AB448" s="8" t="s">
        <v>75</v>
      </c>
      <c r="AC448" s="11" t="s">
        <v>250</v>
      </c>
      <c r="AD448" s="9" t="s">
        <v>85</v>
      </c>
      <c r="AE448" s="14">
        <v>0.18</v>
      </c>
      <c r="AF448" s="14">
        <v>0.18</v>
      </c>
      <c r="AG448" s="14">
        <v>0.18</v>
      </c>
      <c r="AH448" s="14">
        <v>0.18</v>
      </c>
      <c r="AI448" s="14">
        <v>0.18</v>
      </c>
      <c r="AJ448" s="14">
        <v>0.18</v>
      </c>
      <c r="AK448" s="14">
        <v>0.18</v>
      </c>
      <c r="AL448" s="14">
        <v>0.18</v>
      </c>
      <c r="AM448" s="14">
        <v>0.18</v>
      </c>
      <c r="AN448" s="14">
        <v>0.18</v>
      </c>
      <c r="AO448" s="35" t="s">
        <v>78</v>
      </c>
      <c r="AP448" s="31">
        <v>0.75200000000000033</v>
      </c>
      <c r="AQ448" s="31">
        <v>0.7</v>
      </c>
      <c r="AR448" s="31">
        <v>0.7</v>
      </c>
      <c r="AS448" s="31">
        <v>0.7</v>
      </c>
      <c r="AT448" s="31">
        <v>0.7</v>
      </c>
      <c r="AU448" s="31">
        <v>0.7</v>
      </c>
      <c r="AV448" s="31">
        <v>0.7</v>
      </c>
      <c r="AW448" s="31">
        <v>0.7</v>
      </c>
      <c r="AX448" s="31">
        <v>0.7</v>
      </c>
      <c r="AY448" s="31">
        <v>0.7</v>
      </c>
      <c r="AZ448" s="31">
        <v>0.7</v>
      </c>
      <c r="BA448" s="31">
        <v>0.7</v>
      </c>
      <c r="BB448" s="31">
        <v>0.7</v>
      </c>
      <c r="BC448" s="31">
        <v>0.8</v>
      </c>
      <c r="BD448" s="31">
        <v>0.8</v>
      </c>
      <c r="BE448" s="31">
        <v>0.8</v>
      </c>
      <c r="BF448" s="31">
        <v>0.8</v>
      </c>
      <c r="BG448" s="31">
        <v>0.8</v>
      </c>
      <c r="BH448" s="31">
        <v>0.8</v>
      </c>
      <c r="BI448" s="31">
        <v>0.8</v>
      </c>
      <c r="BJ448" s="31">
        <v>0.8</v>
      </c>
      <c r="BK448" s="31">
        <v>0.8</v>
      </c>
      <c r="BL448" s="31">
        <v>0.8</v>
      </c>
      <c r="BM448" s="31">
        <v>0.8</v>
      </c>
      <c r="BN448" s="31">
        <v>0.8</v>
      </c>
      <c r="BO448" s="31">
        <v>0.8</v>
      </c>
    </row>
    <row r="449" spans="1:67" x14ac:dyDescent="0.2">
      <c r="A449" s="5" t="s">
        <v>67</v>
      </c>
      <c r="B449" s="25">
        <v>43227</v>
      </c>
      <c r="C449" s="26">
        <v>0.48958333333333298</v>
      </c>
      <c r="D449" s="5" t="s">
        <v>124</v>
      </c>
      <c r="E449" s="5">
        <v>3</v>
      </c>
      <c r="F449" s="32">
        <v>62</v>
      </c>
      <c r="G449" s="9">
        <v>2</v>
      </c>
      <c r="H449" s="6">
        <v>3.2258064516129031E-2</v>
      </c>
      <c r="I449" s="7">
        <v>6.83E-2</v>
      </c>
      <c r="J449" s="9">
        <v>314.15899999999999</v>
      </c>
      <c r="K449" s="9">
        <v>0.4098</v>
      </c>
      <c r="L449" s="9">
        <v>6</v>
      </c>
      <c r="M449" s="14">
        <v>383.30771107857493</v>
      </c>
      <c r="N449" s="9">
        <v>1420</v>
      </c>
      <c r="O449" s="12" t="s">
        <v>98</v>
      </c>
      <c r="P449" s="12" t="s">
        <v>82</v>
      </c>
      <c r="Q449" s="9" t="s">
        <v>95</v>
      </c>
      <c r="R449" s="9" t="s">
        <v>99</v>
      </c>
      <c r="S449" s="9"/>
      <c r="T449" s="18">
        <v>1</v>
      </c>
      <c r="U449" s="18">
        <v>2</v>
      </c>
      <c r="V449" s="9">
        <v>1.9</v>
      </c>
      <c r="Y449" s="9">
        <f t="shared" si="6"/>
        <v>383.30771107857493</v>
      </c>
      <c r="Z449" s="19" t="s">
        <v>97</v>
      </c>
      <c r="AA449" s="8" t="s">
        <v>249</v>
      </c>
      <c r="AB449" s="8" t="s">
        <v>75</v>
      </c>
      <c r="AC449" s="11" t="s">
        <v>250</v>
      </c>
      <c r="AD449" s="9" t="s">
        <v>85</v>
      </c>
      <c r="AE449" s="14">
        <v>3.5913609683333325</v>
      </c>
      <c r="AF449" s="13"/>
      <c r="AO449" s="34" t="s">
        <v>78</v>
      </c>
      <c r="AP449" s="31">
        <v>1.9</v>
      </c>
      <c r="AQ449" s="31">
        <v>1.9</v>
      </c>
      <c r="AR449" s="31">
        <v>1.9</v>
      </c>
    </row>
    <row r="450" spans="1:67" x14ac:dyDescent="0.2">
      <c r="A450" s="5" t="s">
        <v>67</v>
      </c>
      <c r="B450" s="25">
        <v>43361</v>
      </c>
      <c r="C450" s="26">
        <v>0.69861111111111096</v>
      </c>
      <c r="D450" s="5" t="s">
        <v>124</v>
      </c>
      <c r="E450" s="5">
        <v>3</v>
      </c>
      <c r="F450" s="32">
        <v>61</v>
      </c>
      <c r="G450" s="9">
        <v>2</v>
      </c>
      <c r="H450" s="6">
        <v>3.2786885245901641E-2</v>
      </c>
      <c r="I450" s="7">
        <v>6.83E-2</v>
      </c>
      <c r="J450" s="9">
        <v>314.15899999999999</v>
      </c>
      <c r="K450" s="9">
        <v>0.5464</v>
      </c>
      <c r="L450" s="9">
        <v>8</v>
      </c>
      <c r="M450" s="14">
        <v>287.48078330893117</v>
      </c>
      <c r="N450" s="9">
        <v>190</v>
      </c>
      <c r="O450" s="12" t="s">
        <v>102</v>
      </c>
      <c r="P450" s="8" t="s">
        <v>70</v>
      </c>
      <c r="Q450" s="9" t="s">
        <v>103</v>
      </c>
      <c r="R450" s="9" t="s">
        <v>84</v>
      </c>
      <c r="S450" s="9"/>
      <c r="T450" s="18">
        <v>1</v>
      </c>
      <c r="U450" s="18">
        <v>1</v>
      </c>
      <c r="V450" s="9">
        <v>7.4</v>
      </c>
      <c r="Y450" s="9">
        <f t="shared" si="6"/>
        <v>287.48078330893117</v>
      </c>
      <c r="Z450" s="19" t="s">
        <v>73</v>
      </c>
      <c r="AA450" s="8" t="s">
        <v>253</v>
      </c>
      <c r="AB450" s="8" t="s">
        <v>75</v>
      </c>
      <c r="AC450" s="11" t="s">
        <v>76</v>
      </c>
      <c r="AD450" s="9" t="s">
        <v>104</v>
      </c>
      <c r="AE450" s="14">
        <v>240.84685575999998</v>
      </c>
      <c r="AF450" s="13"/>
      <c r="AO450" s="35" t="s">
        <v>78</v>
      </c>
      <c r="AP450" s="31">
        <v>5.6</v>
      </c>
      <c r="AQ450" s="31">
        <v>5.6</v>
      </c>
    </row>
    <row r="451" spans="1:67" x14ac:dyDescent="0.2">
      <c r="A451" s="5"/>
      <c r="B451" s="25"/>
      <c r="C451" s="26"/>
      <c r="D451" s="5"/>
      <c r="E451" s="5"/>
      <c r="F451" s="32"/>
      <c r="G451" s="9"/>
      <c r="H451" s="6"/>
      <c r="I451" s="7"/>
      <c r="J451" s="9"/>
      <c r="N451" s="9"/>
      <c r="O451" s="12"/>
      <c r="S451" s="9"/>
      <c r="T451" s="18"/>
      <c r="U451" s="18"/>
      <c r="Y451" s="9" t="e">
        <f t="shared" ref="Y451:Y514" si="7">(T451*J451)/(G451*I451*L451)</f>
        <v>#DIV/0!</v>
      </c>
      <c r="Z451" s="19"/>
      <c r="AC451" s="11"/>
      <c r="AD451" s="9"/>
      <c r="AE451" s="14"/>
      <c r="AF451" s="13"/>
      <c r="AO451" s="34" t="s">
        <v>79</v>
      </c>
      <c r="AP451" s="31">
        <v>7.4</v>
      </c>
      <c r="AQ451" s="31">
        <v>7.4</v>
      </c>
    </row>
    <row r="452" spans="1:67" x14ac:dyDescent="0.2">
      <c r="A452" s="5" t="s">
        <v>67</v>
      </c>
      <c r="B452" s="25">
        <v>43361</v>
      </c>
      <c r="C452" s="26">
        <v>0.69861111111111096</v>
      </c>
      <c r="D452" s="5" t="s">
        <v>124</v>
      </c>
      <c r="E452" s="5">
        <v>3</v>
      </c>
      <c r="F452" s="32">
        <v>61</v>
      </c>
      <c r="G452" s="9">
        <v>2</v>
      </c>
      <c r="H452" s="6">
        <v>3.2786885245901641E-2</v>
      </c>
      <c r="I452" s="7">
        <v>6.83E-2</v>
      </c>
      <c r="J452" s="9">
        <v>314.15899999999999</v>
      </c>
      <c r="K452" s="9">
        <v>0.5464</v>
      </c>
      <c r="L452" s="9">
        <v>8</v>
      </c>
      <c r="M452" s="14">
        <v>287.48078330893117</v>
      </c>
      <c r="N452" s="9">
        <v>1037</v>
      </c>
      <c r="O452" s="12" t="s">
        <v>86</v>
      </c>
      <c r="P452" s="12" t="s">
        <v>82</v>
      </c>
      <c r="Q452" s="9" t="s">
        <v>87</v>
      </c>
      <c r="R452" s="9" t="s">
        <v>84</v>
      </c>
      <c r="S452" s="9"/>
      <c r="T452" s="18">
        <v>32</v>
      </c>
      <c r="U452" s="18">
        <v>32</v>
      </c>
      <c r="V452" s="9">
        <v>3.7</v>
      </c>
      <c r="Y452" s="9">
        <f t="shared" si="7"/>
        <v>9199.3850658857973</v>
      </c>
      <c r="Z452" s="19" t="s">
        <v>73</v>
      </c>
      <c r="AA452" s="8" t="s">
        <v>253</v>
      </c>
      <c r="AB452" s="8" t="s">
        <v>75</v>
      </c>
      <c r="AC452" s="11" t="s">
        <v>76</v>
      </c>
      <c r="AD452" s="9" t="s">
        <v>85</v>
      </c>
      <c r="AE452" s="14">
        <v>11.494030613333329</v>
      </c>
      <c r="AF452" s="13"/>
      <c r="AO452" s="35" t="s">
        <v>78</v>
      </c>
      <c r="AP452" s="31">
        <v>2.8</v>
      </c>
      <c r="AQ452" s="31">
        <v>2.8</v>
      </c>
      <c r="AR452" s="31">
        <v>2.8</v>
      </c>
      <c r="AS452" s="31">
        <v>2.8</v>
      </c>
      <c r="AT452" s="31">
        <v>3.7</v>
      </c>
      <c r="AU452" s="31">
        <v>1.9</v>
      </c>
    </row>
    <row r="453" spans="1:67" x14ac:dyDescent="0.2">
      <c r="A453" s="5" t="s">
        <v>67</v>
      </c>
      <c r="B453" s="25">
        <v>43361</v>
      </c>
      <c r="C453" s="26">
        <v>0.69861111111111096</v>
      </c>
      <c r="D453" s="5" t="s">
        <v>124</v>
      </c>
      <c r="E453" s="5">
        <v>3</v>
      </c>
      <c r="F453" s="32">
        <v>61</v>
      </c>
      <c r="G453" s="9">
        <v>2</v>
      </c>
      <c r="H453" s="6">
        <v>3.2786885245901641E-2</v>
      </c>
      <c r="I453" s="7">
        <v>6.83E-2</v>
      </c>
      <c r="J453" s="9">
        <v>314.15899999999999</v>
      </c>
      <c r="K453" s="9">
        <v>0.5464</v>
      </c>
      <c r="L453" s="9">
        <v>8</v>
      </c>
      <c r="M453" s="14">
        <v>287.48078330893117</v>
      </c>
      <c r="N453" s="9">
        <v>1733</v>
      </c>
      <c r="O453" s="12" t="s">
        <v>92</v>
      </c>
      <c r="P453" s="12" t="s">
        <v>82</v>
      </c>
      <c r="Q453" s="9" t="s">
        <v>89</v>
      </c>
      <c r="R453" s="9" t="s">
        <v>93</v>
      </c>
      <c r="S453" s="9"/>
      <c r="T453" s="18">
        <v>2</v>
      </c>
      <c r="U453" s="18">
        <v>2</v>
      </c>
      <c r="V453" s="9">
        <v>6.5</v>
      </c>
      <c r="Y453" s="9">
        <f t="shared" si="7"/>
        <v>574.96156661786233</v>
      </c>
      <c r="Z453" s="19" t="s">
        <v>73</v>
      </c>
      <c r="AA453" s="8" t="s">
        <v>253</v>
      </c>
      <c r="AB453" s="8" t="s">
        <v>75</v>
      </c>
      <c r="AC453" s="11" t="s">
        <v>76</v>
      </c>
      <c r="AD453" s="9" t="s">
        <v>91</v>
      </c>
      <c r="AE453" s="14">
        <v>112.822350875</v>
      </c>
      <c r="AF453" s="13"/>
      <c r="AO453" s="35" t="s">
        <v>78</v>
      </c>
      <c r="AP453" s="31">
        <v>6.5</v>
      </c>
      <c r="AQ453" s="31">
        <v>6.5</v>
      </c>
      <c r="AR453" s="31">
        <v>6.5</v>
      </c>
    </row>
    <row r="454" spans="1:67" x14ac:dyDescent="0.2">
      <c r="A454" s="5"/>
      <c r="B454" s="25"/>
      <c r="C454" s="26"/>
      <c r="D454" s="5"/>
      <c r="E454" s="5"/>
      <c r="F454" s="32"/>
      <c r="G454" s="9"/>
      <c r="H454" s="6"/>
      <c r="I454" s="7"/>
      <c r="J454" s="9"/>
      <c r="N454" s="9"/>
      <c r="O454" s="12"/>
      <c r="P454" s="12"/>
      <c r="S454" s="9"/>
      <c r="T454" s="18"/>
      <c r="U454" s="18"/>
      <c r="Y454" s="9" t="e">
        <f t="shared" si="7"/>
        <v>#DIV/0!</v>
      </c>
      <c r="Z454" s="19"/>
      <c r="AC454" s="11"/>
      <c r="AD454" s="9"/>
      <c r="AE454" s="14"/>
      <c r="AF454" s="13"/>
      <c r="AO454" s="34" t="s">
        <v>79</v>
      </c>
      <c r="AP454" s="31">
        <v>3.7</v>
      </c>
      <c r="AQ454" s="31">
        <v>3.7</v>
      </c>
      <c r="AR454" s="31">
        <v>3.7</v>
      </c>
    </row>
    <row r="455" spans="1:67" x14ac:dyDescent="0.2">
      <c r="A455" s="5" t="s">
        <v>67</v>
      </c>
      <c r="B455" s="25">
        <v>43361</v>
      </c>
      <c r="C455" s="26">
        <v>0.69861111111111096</v>
      </c>
      <c r="D455" s="5" t="s">
        <v>124</v>
      </c>
      <c r="E455" s="5">
        <v>3</v>
      </c>
      <c r="F455" s="32">
        <v>61</v>
      </c>
      <c r="G455" s="9">
        <v>2</v>
      </c>
      <c r="H455" s="6">
        <v>3.2786885245901641E-2</v>
      </c>
      <c r="I455" s="7">
        <v>6.83E-2</v>
      </c>
      <c r="J455" s="9">
        <v>314.15899999999999</v>
      </c>
      <c r="K455" s="9">
        <v>0.5464</v>
      </c>
      <c r="L455" s="9">
        <v>8</v>
      </c>
      <c r="M455" s="14">
        <v>287.48078330893117</v>
      </c>
      <c r="N455" s="9">
        <v>1365</v>
      </c>
      <c r="O455" s="12" t="s">
        <v>121</v>
      </c>
      <c r="P455" s="12" t="s">
        <v>82</v>
      </c>
      <c r="Q455" s="9" t="s">
        <v>122</v>
      </c>
      <c r="R455" s="9" t="s">
        <v>123</v>
      </c>
      <c r="S455" s="9"/>
      <c r="T455" s="18">
        <v>4</v>
      </c>
      <c r="U455" s="18">
        <v>4</v>
      </c>
      <c r="V455" s="9">
        <v>13</v>
      </c>
      <c r="Y455" s="9">
        <f t="shared" si="7"/>
        <v>1149.9231332357247</v>
      </c>
      <c r="Z455" s="19" t="s">
        <v>73</v>
      </c>
      <c r="AA455" s="8" t="s">
        <v>253</v>
      </c>
      <c r="AB455" s="8" t="s">
        <v>75</v>
      </c>
      <c r="AC455" s="11" t="s">
        <v>76</v>
      </c>
      <c r="AD455" s="9" t="s">
        <v>91</v>
      </c>
      <c r="AE455" s="14">
        <v>814.03178385416652</v>
      </c>
      <c r="AF455" s="13"/>
      <c r="AO455" s="35" t="s">
        <v>78</v>
      </c>
      <c r="AP455" s="31">
        <v>12.525</v>
      </c>
      <c r="AQ455" s="31">
        <v>13</v>
      </c>
      <c r="AR455" s="31">
        <v>11.1</v>
      </c>
      <c r="AS455" s="31">
        <v>13</v>
      </c>
      <c r="AT455" s="31">
        <v>13</v>
      </c>
    </row>
    <row r="456" spans="1:67" x14ac:dyDescent="0.2">
      <c r="A456" s="5"/>
      <c r="B456" s="25"/>
      <c r="C456" s="26"/>
      <c r="D456" s="5"/>
      <c r="E456" s="5"/>
      <c r="F456" s="32"/>
      <c r="G456" s="9"/>
      <c r="H456" s="6"/>
      <c r="I456" s="7"/>
      <c r="J456" s="9"/>
      <c r="N456" s="9"/>
      <c r="O456" s="12"/>
      <c r="P456" s="12"/>
      <c r="S456" s="9"/>
      <c r="T456" s="18"/>
      <c r="U456" s="18"/>
      <c r="Y456" s="9" t="e">
        <f t="shared" si="7"/>
        <v>#DIV/0!</v>
      </c>
      <c r="Z456" s="19"/>
      <c r="AC456" s="11"/>
      <c r="AD456" s="9"/>
      <c r="AE456" s="14"/>
      <c r="AF456" s="13"/>
      <c r="AO456" s="34" t="s">
        <v>79</v>
      </c>
      <c r="AP456" s="31">
        <v>7.4</v>
      </c>
      <c r="AQ456" s="31">
        <v>7.4</v>
      </c>
      <c r="AR456" s="31">
        <v>7.4</v>
      </c>
      <c r="AS456" s="31">
        <v>7.4</v>
      </c>
      <c r="AT456" s="31">
        <v>7.4</v>
      </c>
    </row>
    <row r="457" spans="1:67" x14ac:dyDescent="0.2">
      <c r="A457" s="5" t="s">
        <v>67</v>
      </c>
      <c r="B457" s="25">
        <v>43361</v>
      </c>
      <c r="C457" s="26">
        <v>0.69861111111111096</v>
      </c>
      <c r="D457" s="5" t="s">
        <v>124</v>
      </c>
      <c r="E457" s="5">
        <v>3</v>
      </c>
      <c r="F457" s="32">
        <v>61</v>
      </c>
      <c r="G457" s="9">
        <v>2</v>
      </c>
      <c r="H457" s="6">
        <v>3.2786885245901641E-2</v>
      </c>
      <c r="I457" s="7">
        <v>6.83E-2</v>
      </c>
      <c r="J457" s="9">
        <v>314.15899999999999</v>
      </c>
      <c r="K457" s="9">
        <v>0.5464</v>
      </c>
      <c r="L457" s="9">
        <v>8</v>
      </c>
      <c r="M457" s="14">
        <v>287.48078330893117</v>
      </c>
      <c r="N457" s="9">
        <v>1419</v>
      </c>
      <c r="O457" s="12" t="s">
        <v>94</v>
      </c>
      <c r="P457" s="12" t="s">
        <v>82</v>
      </c>
      <c r="Q457" s="9" t="s">
        <v>95</v>
      </c>
      <c r="R457" s="9" t="s">
        <v>96</v>
      </c>
      <c r="S457" s="9"/>
      <c r="T457" s="18">
        <v>395</v>
      </c>
      <c r="U457" s="18">
        <v>800</v>
      </c>
      <c r="V457" s="9">
        <v>0.8</v>
      </c>
      <c r="W457" s="9">
        <v>0.8</v>
      </c>
      <c r="X457" s="9">
        <v>0.8</v>
      </c>
      <c r="Y457" s="9">
        <f t="shared" si="7"/>
        <v>113554.90940702781</v>
      </c>
      <c r="Z457" s="19" t="s">
        <v>97</v>
      </c>
      <c r="AA457" s="8" t="s">
        <v>253</v>
      </c>
      <c r="AB457" s="8" t="s">
        <v>75</v>
      </c>
      <c r="AC457" s="11" t="s">
        <v>76</v>
      </c>
      <c r="AD457" s="9" t="s">
        <v>85</v>
      </c>
      <c r="AE457" s="14">
        <v>0.18</v>
      </c>
      <c r="AF457" s="14">
        <v>0.18</v>
      </c>
      <c r="AG457" s="14">
        <v>0.18</v>
      </c>
      <c r="AH457" s="14">
        <v>0.18</v>
      </c>
      <c r="AI457" s="14">
        <v>0.18</v>
      </c>
      <c r="AJ457" s="14">
        <v>0.18</v>
      </c>
      <c r="AK457" s="14">
        <v>0.18</v>
      </c>
      <c r="AL457" s="14">
        <v>0.18</v>
      </c>
      <c r="AM457" s="14">
        <v>0.18</v>
      </c>
      <c r="AN457" s="14">
        <v>0.18</v>
      </c>
      <c r="AO457" s="35" t="s">
        <v>78</v>
      </c>
      <c r="AP457" s="31">
        <v>0.75200000000000033</v>
      </c>
      <c r="AQ457" s="31">
        <v>0.7</v>
      </c>
      <c r="AR457" s="31">
        <v>0.7</v>
      </c>
      <c r="AS457" s="31">
        <v>0.7</v>
      </c>
      <c r="AT457" s="31">
        <v>0.7</v>
      </c>
      <c r="AU457" s="31">
        <v>0.7</v>
      </c>
      <c r="AV457" s="31">
        <v>0.7</v>
      </c>
      <c r="AW457" s="31">
        <v>0.7</v>
      </c>
      <c r="AX457" s="31">
        <v>0.7</v>
      </c>
      <c r="AY457" s="31">
        <v>0.7</v>
      </c>
      <c r="AZ457" s="31">
        <v>0.7</v>
      </c>
      <c r="BA457" s="31">
        <v>0.7</v>
      </c>
      <c r="BB457" s="31">
        <v>0.7</v>
      </c>
      <c r="BC457" s="31">
        <v>0.8</v>
      </c>
      <c r="BD457" s="31">
        <v>0.8</v>
      </c>
      <c r="BE457" s="31">
        <v>0.8</v>
      </c>
      <c r="BF457" s="31">
        <v>0.8</v>
      </c>
      <c r="BG457" s="31">
        <v>0.8</v>
      </c>
      <c r="BH457" s="31">
        <v>0.8</v>
      </c>
      <c r="BI457" s="31">
        <v>0.8</v>
      </c>
      <c r="BJ457" s="31">
        <v>0.8</v>
      </c>
      <c r="BK457" s="31">
        <v>0.8</v>
      </c>
      <c r="BL457" s="31">
        <v>0.8</v>
      </c>
      <c r="BM457" s="31">
        <v>0.8</v>
      </c>
      <c r="BN457" s="31">
        <v>0.8</v>
      </c>
      <c r="BO457" s="31">
        <v>0.8</v>
      </c>
    </row>
    <row r="458" spans="1:67" x14ac:dyDescent="0.2">
      <c r="A458" s="5" t="s">
        <v>67</v>
      </c>
      <c r="B458" s="25">
        <v>43361</v>
      </c>
      <c r="C458" s="26">
        <v>0.69861111111111096</v>
      </c>
      <c r="D458" s="5" t="s">
        <v>124</v>
      </c>
      <c r="E458" s="5">
        <v>3</v>
      </c>
      <c r="F458" s="32">
        <v>61</v>
      </c>
      <c r="G458" s="9">
        <v>2</v>
      </c>
      <c r="H458" s="6">
        <v>3.2786885245901641E-2</v>
      </c>
      <c r="I458" s="7">
        <v>6.83E-2</v>
      </c>
      <c r="J458" s="9">
        <v>314.15899999999999</v>
      </c>
      <c r="K458" s="9">
        <v>0.5464</v>
      </c>
      <c r="L458" s="9">
        <v>8</v>
      </c>
      <c r="M458" s="14">
        <v>287.48078330893117</v>
      </c>
      <c r="N458" s="9">
        <v>1507</v>
      </c>
      <c r="O458" s="12" t="s">
        <v>185</v>
      </c>
      <c r="P458" s="12" t="s">
        <v>82</v>
      </c>
      <c r="Q458" s="9" t="s">
        <v>133</v>
      </c>
      <c r="R458" s="9" t="s">
        <v>186</v>
      </c>
      <c r="S458" s="9"/>
      <c r="T458" s="18">
        <v>1</v>
      </c>
      <c r="U458" s="18">
        <v>3</v>
      </c>
      <c r="V458" s="9">
        <v>3.7</v>
      </c>
      <c r="Y458" s="9">
        <f t="shared" si="7"/>
        <v>287.48078330893117</v>
      </c>
      <c r="Z458" s="19" t="s">
        <v>134</v>
      </c>
      <c r="AA458" s="8" t="s">
        <v>253</v>
      </c>
      <c r="AB458" s="8" t="s">
        <v>75</v>
      </c>
      <c r="AC458" s="11" t="s">
        <v>76</v>
      </c>
      <c r="AD458" s="9" t="s">
        <v>104</v>
      </c>
      <c r="AE458" s="14">
        <v>10.490554407499999</v>
      </c>
      <c r="AF458" s="13"/>
      <c r="AO458" s="35" t="s">
        <v>78</v>
      </c>
      <c r="AP458" s="31">
        <v>3.7000000000000006</v>
      </c>
      <c r="AQ458" s="31">
        <v>3.7</v>
      </c>
      <c r="AR458" s="31">
        <v>3.7</v>
      </c>
      <c r="AS458" s="31">
        <v>3.7</v>
      </c>
    </row>
    <row r="459" spans="1:67" x14ac:dyDescent="0.2">
      <c r="A459" s="5"/>
      <c r="B459" s="25"/>
      <c r="C459" s="26"/>
      <c r="D459" s="5"/>
      <c r="E459" s="5"/>
      <c r="F459" s="32"/>
      <c r="G459" s="9"/>
      <c r="H459" s="6"/>
      <c r="I459" s="7"/>
      <c r="J459" s="9"/>
      <c r="N459" s="9"/>
      <c r="O459" s="12"/>
      <c r="P459" s="12"/>
      <c r="S459" s="9"/>
      <c r="T459" s="18"/>
      <c r="U459" s="18"/>
      <c r="Y459" s="9" t="e">
        <f t="shared" si="7"/>
        <v>#DIV/0!</v>
      </c>
      <c r="Z459" s="19"/>
      <c r="AC459" s="11"/>
      <c r="AD459" s="9"/>
      <c r="AE459" s="14"/>
      <c r="AF459" s="13"/>
      <c r="AO459" s="34" t="s">
        <v>79</v>
      </c>
      <c r="AP459" s="31">
        <v>1.8999999999999997</v>
      </c>
      <c r="AQ459" s="31">
        <v>1.9</v>
      </c>
      <c r="AR459" s="31">
        <v>1.9</v>
      </c>
      <c r="AS459" s="31">
        <v>1.9</v>
      </c>
    </row>
    <row r="460" spans="1:67" x14ac:dyDescent="0.2">
      <c r="A460" s="5" t="s">
        <v>67</v>
      </c>
      <c r="B460" s="25">
        <v>43361</v>
      </c>
      <c r="C460" s="26">
        <v>0.69861111111111096</v>
      </c>
      <c r="D460" s="5" t="s">
        <v>124</v>
      </c>
      <c r="E460" s="5">
        <v>3</v>
      </c>
      <c r="F460" s="32">
        <v>61</v>
      </c>
      <c r="G460" s="9">
        <v>2</v>
      </c>
      <c r="H460" s="6">
        <v>3.2786885245901641E-2</v>
      </c>
      <c r="I460" s="7">
        <v>6.83E-2</v>
      </c>
      <c r="J460" s="9">
        <v>314.15899999999999</v>
      </c>
      <c r="K460" s="9">
        <v>0.5464</v>
      </c>
      <c r="L460" s="9">
        <v>8</v>
      </c>
      <c r="M460" s="14">
        <v>287.48078330893117</v>
      </c>
      <c r="N460" s="9">
        <v>1508</v>
      </c>
      <c r="O460" s="12" t="s">
        <v>132</v>
      </c>
      <c r="P460" s="12" t="s">
        <v>82</v>
      </c>
      <c r="Q460" s="9" t="s">
        <v>133</v>
      </c>
      <c r="R460" s="9" t="s">
        <v>84</v>
      </c>
      <c r="S460" s="9"/>
      <c r="T460" s="18">
        <v>1</v>
      </c>
      <c r="U460" s="18">
        <v>4</v>
      </c>
      <c r="V460" s="9">
        <v>1.9</v>
      </c>
      <c r="Y460" s="9">
        <f t="shared" si="7"/>
        <v>287.48078330893117</v>
      </c>
      <c r="Z460" s="19" t="s">
        <v>134</v>
      </c>
      <c r="AA460" s="8" t="s">
        <v>253</v>
      </c>
      <c r="AB460" s="8" t="s">
        <v>75</v>
      </c>
      <c r="AC460" s="11" t="s">
        <v>76</v>
      </c>
      <c r="AD460" s="9" t="s">
        <v>104</v>
      </c>
      <c r="AE460" s="14">
        <v>5.3870414524999992</v>
      </c>
      <c r="AF460" s="13"/>
      <c r="AO460" s="35" t="s">
        <v>78</v>
      </c>
      <c r="AP460" s="31">
        <v>1.9</v>
      </c>
      <c r="AQ460" s="31">
        <v>1.9</v>
      </c>
      <c r="AR460" s="31">
        <v>1.9</v>
      </c>
      <c r="AS460" s="31">
        <v>1.9</v>
      </c>
      <c r="AT460" s="31">
        <v>1.9</v>
      </c>
    </row>
    <row r="461" spans="1:67" x14ac:dyDescent="0.2">
      <c r="A461" s="5"/>
      <c r="B461" s="25"/>
      <c r="C461" s="26"/>
      <c r="D461" s="5"/>
      <c r="E461" s="5"/>
      <c r="F461" s="32"/>
      <c r="G461" s="9"/>
      <c r="H461" s="6"/>
      <c r="I461" s="7"/>
      <c r="J461" s="9"/>
      <c r="N461" s="9"/>
      <c r="O461" s="12"/>
      <c r="P461" s="12"/>
      <c r="S461" s="9"/>
      <c r="T461" s="18"/>
      <c r="U461" s="18"/>
      <c r="Y461" s="9" t="e">
        <f t="shared" si="7"/>
        <v>#DIV/0!</v>
      </c>
      <c r="Z461" s="19"/>
      <c r="AC461" s="11"/>
      <c r="AD461" s="9"/>
      <c r="AE461" s="14"/>
      <c r="AF461" s="13"/>
      <c r="AO461" s="34" t="s">
        <v>79</v>
      </c>
      <c r="AP461" s="31">
        <v>1.9</v>
      </c>
      <c r="AQ461" s="31">
        <v>1.9</v>
      </c>
      <c r="AR461" s="31">
        <v>1.9</v>
      </c>
      <c r="AS461" s="31">
        <v>1.9</v>
      </c>
      <c r="AT461" s="31">
        <v>1.9</v>
      </c>
    </row>
    <row r="462" spans="1:67" x14ac:dyDescent="0.2">
      <c r="A462" s="5" t="s">
        <v>67</v>
      </c>
      <c r="B462" s="25">
        <v>43227</v>
      </c>
      <c r="C462" s="26">
        <v>0.44791666666666702</v>
      </c>
      <c r="D462" s="5" t="s">
        <v>219</v>
      </c>
      <c r="E462" s="5"/>
      <c r="F462" s="32">
        <v>58.5</v>
      </c>
      <c r="G462" s="9">
        <v>2</v>
      </c>
      <c r="H462" s="6">
        <v>3.4188034188034191E-2</v>
      </c>
      <c r="I462" s="7">
        <v>6.83E-2</v>
      </c>
      <c r="J462" s="9">
        <v>314.15899999999999</v>
      </c>
      <c r="K462" s="9">
        <v>0.4098</v>
      </c>
      <c r="L462" s="9">
        <v>6</v>
      </c>
      <c r="M462" s="14">
        <v>383.30771107857493</v>
      </c>
      <c r="N462" s="9">
        <v>1037</v>
      </c>
      <c r="O462" s="12" t="s">
        <v>86</v>
      </c>
      <c r="P462" s="12" t="s">
        <v>82</v>
      </c>
      <c r="Q462" s="9" t="s">
        <v>87</v>
      </c>
      <c r="R462" s="9" t="s">
        <v>84</v>
      </c>
      <c r="S462" s="9"/>
      <c r="T462" s="18">
        <v>1</v>
      </c>
      <c r="U462" s="18">
        <v>1</v>
      </c>
      <c r="V462" s="9">
        <v>1.9</v>
      </c>
      <c r="Y462" s="9">
        <f t="shared" si="7"/>
        <v>383.30771107857493</v>
      </c>
      <c r="Z462" s="19" t="s">
        <v>73</v>
      </c>
      <c r="AA462" s="8" t="s">
        <v>254</v>
      </c>
      <c r="AB462" s="8" t="s">
        <v>75</v>
      </c>
      <c r="AC462" s="11" t="s">
        <v>76</v>
      </c>
      <c r="AD462" s="9" t="s">
        <v>85</v>
      </c>
      <c r="AE462" s="14">
        <v>3.5913609683333325</v>
      </c>
      <c r="AF462" s="13"/>
      <c r="AO462" s="34" t="s">
        <v>78</v>
      </c>
      <c r="AP462" s="31">
        <v>1.9</v>
      </c>
      <c r="AQ462" s="31">
        <v>1.9</v>
      </c>
    </row>
    <row r="463" spans="1:67" x14ac:dyDescent="0.2">
      <c r="A463" s="5" t="s">
        <v>67</v>
      </c>
      <c r="B463" s="25">
        <v>43227</v>
      </c>
      <c r="C463" s="26">
        <v>0.44791666666666702</v>
      </c>
      <c r="D463" s="5" t="s">
        <v>219</v>
      </c>
      <c r="E463" s="5"/>
      <c r="F463" s="32">
        <v>58.5</v>
      </c>
      <c r="G463" s="9">
        <v>2</v>
      </c>
      <c r="H463" s="6">
        <v>3.4188034188034191E-2</v>
      </c>
      <c r="I463" s="7">
        <v>6.83E-2</v>
      </c>
      <c r="J463" s="9">
        <v>314.15899999999999</v>
      </c>
      <c r="K463" s="9">
        <v>0.4098</v>
      </c>
      <c r="L463" s="9">
        <v>6</v>
      </c>
      <c r="M463" s="14">
        <v>383.30771107857493</v>
      </c>
      <c r="N463" s="9">
        <v>1806</v>
      </c>
      <c r="O463" s="12" t="s">
        <v>206</v>
      </c>
      <c r="P463" s="12" t="s">
        <v>82</v>
      </c>
      <c r="Q463" s="9" t="s">
        <v>207</v>
      </c>
      <c r="R463" s="9" t="s">
        <v>84</v>
      </c>
      <c r="S463" s="9"/>
      <c r="T463" s="18">
        <v>3</v>
      </c>
      <c r="U463" s="18">
        <v>3</v>
      </c>
      <c r="V463" s="9">
        <v>3.7</v>
      </c>
      <c r="Y463" s="9">
        <f t="shared" si="7"/>
        <v>1149.9231332357247</v>
      </c>
      <c r="Z463" s="19" t="s">
        <v>73</v>
      </c>
      <c r="AA463" s="8" t="s">
        <v>254</v>
      </c>
      <c r="AB463" s="8" t="s">
        <v>75</v>
      </c>
      <c r="AC463" s="11" t="s">
        <v>76</v>
      </c>
      <c r="AD463" s="9" t="s">
        <v>120</v>
      </c>
      <c r="AE463" s="14">
        <v>12.108211458333333</v>
      </c>
      <c r="AF463" s="13"/>
      <c r="AO463" s="34" t="s">
        <v>78</v>
      </c>
      <c r="AP463" s="31">
        <v>3.7000000000000006</v>
      </c>
      <c r="AQ463" s="31">
        <v>3.7</v>
      </c>
      <c r="AR463" s="31">
        <v>3.7</v>
      </c>
      <c r="AS463" s="31">
        <v>3.7</v>
      </c>
    </row>
    <row r="464" spans="1:67" x14ac:dyDescent="0.2">
      <c r="A464" s="5"/>
      <c r="B464" s="25"/>
      <c r="C464" s="26"/>
      <c r="D464" s="5"/>
      <c r="E464" s="5"/>
      <c r="F464" s="32"/>
      <c r="G464" s="9"/>
      <c r="H464" s="6"/>
      <c r="I464" s="7"/>
      <c r="J464" s="9"/>
      <c r="N464" s="9"/>
      <c r="O464" s="12"/>
      <c r="P464" s="12"/>
      <c r="S464" s="9"/>
      <c r="T464" s="18"/>
      <c r="U464" s="18"/>
      <c r="Y464" s="9" t="e">
        <f t="shared" si="7"/>
        <v>#DIV/0!</v>
      </c>
      <c r="Z464" s="19"/>
      <c r="AC464" s="11"/>
      <c r="AD464" s="9"/>
      <c r="AE464" s="14"/>
      <c r="AF464" s="13"/>
      <c r="AO464" s="34" t="s">
        <v>79</v>
      </c>
      <c r="AP464" s="31">
        <v>2.4999999999999996</v>
      </c>
      <c r="AQ464" s="31">
        <v>1.9</v>
      </c>
      <c r="AR464" s="31">
        <v>2.8</v>
      </c>
      <c r="AS464" s="31">
        <v>2.8</v>
      </c>
    </row>
    <row r="465" spans="1:67" x14ac:dyDescent="0.2">
      <c r="A465" s="5" t="s">
        <v>67</v>
      </c>
      <c r="B465" s="25">
        <v>43227</v>
      </c>
      <c r="C465" s="26">
        <v>0.44791666666666702</v>
      </c>
      <c r="D465" s="5" t="s">
        <v>219</v>
      </c>
      <c r="E465" s="5"/>
      <c r="F465" s="32">
        <v>58.5</v>
      </c>
      <c r="G465" s="9">
        <v>2</v>
      </c>
      <c r="H465" s="6">
        <v>3.4188034188034191E-2</v>
      </c>
      <c r="I465" s="7">
        <v>6.83E-2</v>
      </c>
      <c r="J465" s="9">
        <v>314.15899999999999</v>
      </c>
      <c r="K465" s="9">
        <v>0.4098</v>
      </c>
      <c r="L465" s="9">
        <v>6</v>
      </c>
      <c r="M465" s="14">
        <v>383.30771107857493</v>
      </c>
      <c r="N465" s="9">
        <v>1733</v>
      </c>
      <c r="O465" s="12" t="s">
        <v>92</v>
      </c>
      <c r="P465" s="12" t="s">
        <v>82</v>
      </c>
      <c r="Q465" s="9" t="s">
        <v>89</v>
      </c>
      <c r="R465" s="9" t="s">
        <v>93</v>
      </c>
      <c r="S465" s="9"/>
      <c r="T465" s="18">
        <v>3</v>
      </c>
      <c r="U465" s="18">
        <v>3</v>
      </c>
      <c r="V465" s="9">
        <v>5.6</v>
      </c>
      <c r="Y465" s="9">
        <f t="shared" si="7"/>
        <v>1149.9231332357247</v>
      </c>
      <c r="Z465" s="19" t="s">
        <v>73</v>
      </c>
      <c r="AA465" s="8" t="s">
        <v>254</v>
      </c>
      <c r="AB465" s="8" t="s">
        <v>75</v>
      </c>
      <c r="AC465" s="11" t="s">
        <v>76</v>
      </c>
      <c r="AD465" s="9" t="s">
        <v>91</v>
      </c>
      <c r="AE465" s="14">
        <v>76.353203359999995</v>
      </c>
      <c r="AF465" s="13"/>
      <c r="AO465" s="34" t="s">
        <v>78</v>
      </c>
      <c r="AP465" s="31">
        <v>5.5999999999999988</v>
      </c>
      <c r="AQ465" s="31">
        <v>5.6</v>
      </c>
      <c r="AR465" s="31">
        <v>5.6</v>
      </c>
      <c r="AS465" s="31">
        <v>5.6</v>
      </c>
    </row>
    <row r="466" spans="1:67" x14ac:dyDescent="0.2">
      <c r="A466" s="5"/>
      <c r="B466" s="25"/>
      <c r="C466" s="26"/>
      <c r="D466" s="5"/>
      <c r="E466" s="5"/>
      <c r="F466" s="32"/>
      <c r="G466" s="9"/>
      <c r="H466" s="6"/>
      <c r="I466" s="7"/>
      <c r="J466" s="9"/>
      <c r="N466" s="9"/>
      <c r="O466" s="12"/>
      <c r="P466" s="12"/>
      <c r="S466" s="9"/>
      <c r="T466" s="18"/>
      <c r="U466" s="18"/>
      <c r="Y466" s="9" t="e">
        <f t="shared" si="7"/>
        <v>#DIV/0!</v>
      </c>
      <c r="Z466" s="19"/>
      <c r="AC466" s="11"/>
      <c r="AD466" s="9"/>
      <c r="AE466" s="14"/>
      <c r="AF466" s="13"/>
      <c r="AO466" s="34" t="s">
        <v>79</v>
      </c>
      <c r="AP466" s="31">
        <v>3.7000000000000006</v>
      </c>
      <c r="AQ466" s="31">
        <v>3.7</v>
      </c>
      <c r="AR466" s="31">
        <v>3.7</v>
      </c>
      <c r="AS466" s="31">
        <v>3.7</v>
      </c>
    </row>
    <row r="467" spans="1:67" x14ac:dyDescent="0.2">
      <c r="A467" s="5" t="s">
        <v>67</v>
      </c>
      <c r="B467" s="25">
        <v>43227</v>
      </c>
      <c r="C467" s="26">
        <v>0.44791666666666702</v>
      </c>
      <c r="D467" s="5" t="s">
        <v>219</v>
      </c>
      <c r="E467" s="5"/>
      <c r="F467" s="32">
        <v>58.5</v>
      </c>
      <c r="G467" s="9">
        <v>2</v>
      </c>
      <c r="H467" s="6">
        <v>3.4188034188034191E-2</v>
      </c>
      <c r="I467" s="7">
        <v>6.83E-2</v>
      </c>
      <c r="J467" s="9">
        <v>314.15899999999999</v>
      </c>
      <c r="K467" s="9">
        <v>0.4098</v>
      </c>
      <c r="L467" s="9">
        <v>6</v>
      </c>
      <c r="M467" s="14">
        <v>383.30771107857493</v>
      </c>
      <c r="N467" s="9">
        <v>1419</v>
      </c>
      <c r="O467" s="12" t="s">
        <v>94</v>
      </c>
      <c r="P467" s="12" t="s">
        <v>82</v>
      </c>
      <c r="Q467" s="9" t="s">
        <v>95</v>
      </c>
      <c r="R467" s="9" t="s">
        <v>96</v>
      </c>
      <c r="S467" s="9"/>
      <c r="T467" s="18">
        <v>436</v>
      </c>
      <c r="U467" s="18">
        <v>880</v>
      </c>
      <c r="V467" s="9">
        <v>0.8</v>
      </c>
      <c r="W467" s="9">
        <v>0.8</v>
      </c>
      <c r="X467" s="9">
        <v>0.8</v>
      </c>
      <c r="Y467" s="9">
        <f t="shared" si="7"/>
        <v>167122.16203025865</v>
      </c>
      <c r="Z467" s="19" t="s">
        <v>97</v>
      </c>
      <c r="AA467" s="8" t="s">
        <v>254</v>
      </c>
      <c r="AB467" s="8" t="s">
        <v>75</v>
      </c>
      <c r="AC467" s="11" t="s">
        <v>76</v>
      </c>
      <c r="AD467" s="9" t="s">
        <v>85</v>
      </c>
      <c r="AE467" s="14">
        <v>0.18</v>
      </c>
      <c r="AF467" s="14">
        <v>0.18</v>
      </c>
      <c r="AG467" s="14">
        <v>0.18</v>
      </c>
      <c r="AH467" s="14">
        <v>0.18</v>
      </c>
      <c r="AI467" s="14">
        <v>0.18</v>
      </c>
      <c r="AJ467" s="14">
        <v>0.18</v>
      </c>
      <c r="AK467" s="14">
        <v>0.18</v>
      </c>
      <c r="AL467" s="14">
        <v>0.18</v>
      </c>
      <c r="AM467" s="14">
        <v>0.18</v>
      </c>
      <c r="AN467" s="14">
        <v>0.18</v>
      </c>
      <c r="AO467" s="35" t="s">
        <v>78</v>
      </c>
      <c r="AP467" s="31">
        <v>0.75200000000000033</v>
      </c>
      <c r="AQ467" s="31">
        <v>0.7</v>
      </c>
      <c r="AR467" s="31">
        <v>0.7</v>
      </c>
      <c r="AS467" s="31">
        <v>0.7</v>
      </c>
      <c r="AT467" s="31">
        <v>0.7</v>
      </c>
      <c r="AU467" s="31">
        <v>0.7</v>
      </c>
      <c r="AV467" s="31">
        <v>0.7</v>
      </c>
      <c r="AW467" s="31">
        <v>0.7</v>
      </c>
      <c r="AX467" s="31">
        <v>0.7</v>
      </c>
      <c r="AY467" s="31">
        <v>0.7</v>
      </c>
      <c r="AZ467" s="31">
        <v>0.7</v>
      </c>
      <c r="BA467" s="31">
        <v>0.7</v>
      </c>
      <c r="BB467" s="31">
        <v>0.7</v>
      </c>
      <c r="BC467" s="31">
        <v>0.8</v>
      </c>
      <c r="BD467" s="31">
        <v>0.8</v>
      </c>
      <c r="BE467" s="31">
        <v>0.8</v>
      </c>
      <c r="BF467" s="31">
        <v>0.8</v>
      </c>
      <c r="BG467" s="31">
        <v>0.8</v>
      </c>
      <c r="BH467" s="31">
        <v>0.8</v>
      </c>
      <c r="BI467" s="31">
        <v>0.8</v>
      </c>
      <c r="BJ467" s="31">
        <v>0.8</v>
      </c>
      <c r="BK467" s="31">
        <v>0.8</v>
      </c>
      <c r="BL467" s="31">
        <v>0.8</v>
      </c>
      <c r="BM467" s="31">
        <v>0.8</v>
      </c>
      <c r="BN467" s="31">
        <v>0.8</v>
      </c>
      <c r="BO467" s="31">
        <v>0.8</v>
      </c>
    </row>
    <row r="468" spans="1:67" x14ac:dyDescent="0.2">
      <c r="A468" s="5" t="s">
        <v>67</v>
      </c>
      <c r="B468" s="25">
        <v>43361</v>
      </c>
      <c r="C468" s="26">
        <v>0.65277777777777801</v>
      </c>
      <c r="D468" s="5" t="s">
        <v>219</v>
      </c>
      <c r="E468" s="5"/>
      <c r="F468" s="32">
        <v>64.5</v>
      </c>
      <c r="G468" s="9">
        <v>2</v>
      </c>
      <c r="H468" s="6">
        <v>3.1007751937984496E-2</v>
      </c>
      <c r="I468" s="7">
        <v>6.83E-2</v>
      </c>
      <c r="J468" s="9">
        <v>314.15899999999999</v>
      </c>
      <c r="K468" s="9">
        <v>0.4098</v>
      </c>
      <c r="L468" s="9">
        <v>6</v>
      </c>
      <c r="M468" s="14">
        <v>383.30771107857493</v>
      </c>
      <c r="N468" s="9">
        <v>145</v>
      </c>
      <c r="O468" s="12" t="s">
        <v>69</v>
      </c>
      <c r="P468" s="8" t="s">
        <v>70</v>
      </c>
      <c r="Q468" s="9" t="s">
        <v>71</v>
      </c>
      <c r="R468" s="9" t="s">
        <v>72</v>
      </c>
      <c r="S468" s="9"/>
      <c r="T468" s="18">
        <v>2</v>
      </c>
      <c r="U468" s="18">
        <v>2</v>
      </c>
      <c r="V468" s="9">
        <v>18.5</v>
      </c>
      <c r="Y468" s="9">
        <f t="shared" si="7"/>
        <v>766.61542215714985</v>
      </c>
      <c r="Z468" s="19" t="s">
        <v>73</v>
      </c>
      <c r="AA468" s="8" t="s">
        <v>255</v>
      </c>
      <c r="AB468" s="8" t="s">
        <v>75</v>
      </c>
      <c r="AC468" s="11" t="s">
        <v>76</v>
      </c>
      <c r="AD468" s="9" t="s">
        <v>77</v>
      </c>
      <c r="AE468" s="14">
        <v>374.59690841999998</v>
      </c>
      <c r="AF468" s="13"/>
      <c r="AO468" s="35" t="s">
        <v>78</v>
      </c>
      <c r="AP468" s="31">
        <v>16.649999999999999</v>
      </c>
      <c r="AQ468" s="31">
        <v>18.5</v>
      </c>
      <c r="AR468" s="31">
        <v>14.8</v>
      </c>
    </row>
    <row r="469" spans="1:67" x14ac:dyDescent="0.2">
      <c r="A469" s="5"/>
      <c r="B469" s="25"/>
      <c r="C469" s="26"/>
      <c r="D469" s="5"/>
      <c r="E469" s="5"/>
      <c r="F469" s="32"/>
      <c r="G469" s="9"/>
      <c r="H469" s="6"/>
      <c r="I469" s="7"/>
      <c r="J469" s="9"/>
      <c r="N469" s="9"/>
      <c r="O469" s="12"/>
      <c r="S469" s="9"/>
      <c r="T469" s="18"/>
      <c r="U469" s="18"/>
      <c r="Y469" s="9" t="e">
        <f t="shared" si="7"/>
        <v>#DIV/0!</v>
      </c>
      <c r="Z469" s="19"/>
      <c r="AC469" s="11"/>
      <c r="AD469" s="9"/>
      <c r="AE469" s="14"/>
      <c r="AF469" s="13"/>
      <c r="AO469" s="34" t="s">
        <v>79</v>
      </c>
      <c r="AP469" s="31">
        <v>10.199999999999999</v>
      </c>
      <c r="AQ469" s="31">
        <v>11.1</v>
      </c>
      <c r="AR469" s="31">
        <v>9.3000000000000007</v>
      </c>
    </row>
    <row r="470" spans="1:67" x14ac:dyDescent="0.2">
      <c r="A470" s="5"/>
      <c r="B470" s="25"/>
      <c r="C470" s="26"/>
      <c r="D470" s="5"/>
      <c r="E470" s="5"/>
      <c r="F470" s="32"/>
      <c r="G470" s="9"/>
      <c r="H470" s="6"/>
      <c r="I470" s="7"/>
      <c r="J470" s="9"/>
      <c r="N470" s="9"/>
      <c r="O470" s="12"/>
      <c r="S470" s="9"/>
      <c r="T470" s="18"/>
      <c r="U470" s="18"/>
      <c r="Y470" s="9" t="e">
        <f t="shared" si="7"/>
        <v>#DIV/0!</v>
      </c>
      <c r="Z470" s="19"/>
      <c r="AC470" s="11"/>
      <c r="AD470" s="9"/>
      <c r="AE470" s="14"/>
      <c r="AF470" s="13"/>
      <c r="AO470" s="34" t="s">
        <v>80</v>
      </c>
      <c r="AP470" s="31">
        <v>2.8</v>
      </c>
      <c r="AQ470" s="31">
        <v>2.8</v>
      </c>
      <c r="AR470" s="31">
        <v>2.8</v>
      </c>
    </row>
    <row r="471" spans="1:67" x14ac:dyDescent="0.2">
      <c r="A471" s="5" t="s">
        <v>67</v>
      </c>
      <c r="B471" s="25">
        <v>43361</v>
      </c>
      <c r="C471" s="26">
        <v>0.65277777777777801</v>
      </c>
      <c r="D471" s="5" t="s">
        <v>219</v>
      </c>
      <c r="E471" s="5"/>
      <c r="F471" s="32">
        <v>64.5</v>
      </c>
      <c r="G471" s="9">
        <v>2</v>
      </c>
      <c r="H471" s="6">
        <v>3.1007751937984496E-2</v>
      </c>
      <c r="I471" s="7">
        <v>6.83E-2</v>
      </c>
      <c r="J471" s="9">
        <v>314.15899999999999</v>
      </c>
      <c r="K471" s="9">
        <v>0.4098</v>
      </c>
      <c r="L471" s="9">
        <v>6</v>
      </c>
      <c r="M471" s="14">
        <v>383.30771107857493</v>
      </c>
      <c r="N471" s="9">
        <v>1037</v>
      </c>
      <c r="O471" s="12" t="s">
        <v>86</v>
      </c>
      <c r="P471" s="12" t="s">
        <v>82</v>
      </c>
      <c r="Q471" s="9" t="s">
        <v>87</v>
      </c>
      <c r="R471" s="9" t="s">
        <v>84</v>
      </c>
      <c r="S471" s="9"/>
      <c r="T471" s="18">
        <v>12</v>
      </c>
      <c r="U471" s="18">
        <v>12</v>
      </c>
      <c r="V471" s="9">
        <v>2.8</v>
      </c>
      <c r="Y471" s="9">
        <f t="shared" si="7"/>
        <v>4599.6925329428987</v>
      </c>
      <c r="Z471" s="19" t="s">
        <v>73</v>
      </c>
      <c r="AA471" s="8" t="s">
        <v>255</v>
      </c>
      <c r="AB471" s="8" t="s">
        <v>75</v>
      </c>
      <c r="AC471" s="11" t="s">
        <v>76</v>
      </c>
      <c r="AD471" s="9" t="s">
        <v>85</v>
      </c>
      <c r="AE471" s="14">
        <v>6.3706209216666645</v>
      </c>
      <c r="AF471" s="13"/>
      <c r="AO471" s="35" t="s">
        <v>78</v>
      </c>
      <c r="AP471" s="31">
        <v>2.2600000000000002</v>
      </c>
      <c r="AQ471" s="31">
        <v>1.9</v>
      </c>
      <c r="AR471" s="31">
        <v>1.9</v>
      </c>
      <c r="AS471" s="31">
        <v>1.9</v>
      </c>
      <c r="AT471" s="31">
        <v>2.8</v>
      </c>
      <c r="AU471" s="31">
        <v>2.8</v>
      </c>
    </row>
    <row r="472" spans="1:67" x14ac:dyDescent="0.2">
      <c r="A472" s="5" t="s">
        <v>67</v>
      </c>
      <c r="B472" s="25">
        <v>43361</v>
      </c>
      <c r="C472" s="26">
        <v>0.65277777777777801</v>
      </c>
      <c r="D472" s="5" t="s">
        <v>219</v>
      </c>
      <c r="E472" s="5"/>
      <c r="F472" s="32">
        <v>64.5</v>
      </c>
      <c r="G472" s="9">
        <v>2</v>
      </c>
      <c r="H472" s="6">
        <v>3.1007751937984496E-2</v>
      </c>
      <c r="I472" s="7">
        <v>6.83E-2</v>
      </c>
      <c r="J472" s="9">
        <v>314.15899999999999</v>
      </c>
      <c r="K472" s="9">
        <v>0.4098</v>
      </c>
      <c r="L472" s="9">
        <v>6</v>
      </c>
      <c r="M472" s="14">
        <v>383.30771107857493</v>
      </c>
      <c r="N472" s="9">
        <v>1419</v>
      </c>
      <c r="O472" s="12" t="s">
        <v>94</v>
      </c>
      <c r="P472" s="12" t="s">
        <v>82</v>
      </c>
      <c r="Q472" s="9" t="s">
        <v>95</v>
      </c>
      <c r="R472" s="9" t="s">
        <v>96</v>
      </c>
      <c r="S472" s="9"/>
      <c r="T472" s="18">
        <v>387</v>
      </c>
      <c r="U472" s="18">
        <v>777</v>
      </c>
      <c r="V472" s="9">
        <v>0.8</v>
      </c>
      <c r="W472" s="9">
        <v>0.8</v>
      </c>
      <c r="X472" s="9">
        <v>0.8</v>
      </c>
      <c r="Y472" s="9">
        <f t="shared" si="7"/>
        <v>148340.0841874085</v>
      </c>
      <c r="Z472" s="19" t="s">
        <v>97</v>
      </c>
      <c r="AA472" s="8" t="s">
        <v>255</v>
      </c>
      <c r="AB472" s="8" t="s">
        <v>75</v>
      </c>
      <c r="AC472" s="11" t="s">
        <v>76</v>
      </c>
      <c r="AD472" s="9" t="s">
        <v>85</v>
      </c>
      <c r="AE472" s="14">
        <v>0.18</v>
      </c>
      <c r="AF472" s="14">
        <v>0.18</v>
      </c>
      <c r="AG472" s="14">
        <v>0.18</v>
      </c>
      <c r="AH472" s="14">
        <v>0.18</v>
      </c>
      <c r="AI472" s="14">
        <v>0.18</v>
      </c>
      <c r="AJ472" s="14">
        <v>0.18</v>
      </c>
      <c r="AK472" s="14">
        <v>0.18</v>
      </c>
      <c r="AL472" s="14">
        <v>0.18</v>
      </c>
      <c r="AM472" s="14">
        <v>0.18</v>
      </c>
      <c r="AN472" s="14">
        <v>0.18</v>
      </c>
      <c r="AO472" s="35" t="s">
        <v>78</v>
      </c>
      <c r="AP472" s="31">
        <v>0.75200000000000033</v>
      </c>
      <c r="AQ472" s="31">
        <v>0.7</v>
      </c>
      <c r="AR472" s="31">
        <v>0.7</v>
      </c>
      <c r="AS472" s="31">
        <v>0.7</v>
      </c>
      <c r="AT472" s="31">
        <v>0.7</v>
      </c>
      <c r="AU472" s="31">
        <v>0.7</v>
      </c>
      <c r="AV472" s="31">
        <v>0.7</v>
      </c>
      <c r="AW472" s="31">
        <v>0.7</v>
      </c>
      <c r="AX472" s="31">
        <v>0.7</v>
      </c>
      <c r="AY472" s="31">
        <v>0.7</v>
      </c>
      <c r="AZ472" s="31">
        <v>0.7</v>
      </c>
      <c r="BA472" s="31">
        <v>0.7</v>
      </c>
      <c r="BB472" s="31">
        <v>0.7</v>
      </c>
      <c r="BC472" s="31">
        <v>0.8</v>
      </c>
      <c r="BD472" s="31">
        <v>0.8</v>
      </c>
      <c r="BE472" s="31">
        <v>0.8</v>
      </c>
      <c r="BF472" s="31">
        <v>0.8</v>
      </c>
      <c r="BG472" s="31">
        <v>0.8</v>
      </c>
      <c r="BH472" s="31">
        <v>0.8</v>
      </c>
      <c r="BI472" s="31">
        <v>0.8</v>
      </c>
      <c r="BJ472" s="31">
        <v>0.8</v>
      </c>
      <c r="BK472" s="31">
        <v>0.8</v>
      </c>
      <c r="BL472" s="31">
        <v>0.8</v>
      </c>
      <c r="BM472" s="31">
        <v>0.8</v>
      </c>
      <c r="BN472" s="31">
        <v>0.8</v>
      </c>
      <c r="BO472" s="31">
        <v>0.8</v>
      </c>
    </row>
    <row r="473" spans="1:67" x14ac:dyDescent="0.2">
      <c r="A473" s="5" t="s">
        <v>67</v>
      </c>
      <c r="B473" s="25">
        <v>43227</v>
      </c>
      <c r="C473" s="26">
        <v>0.35416666666666702</v>
      </c>
      <c r="D473" s="5" t="s">
        <v>256</v>
      </c>
      <c r="E473" s="5">
        <v>3</v>
      </c>
      <c r="F473" s="32">
        <v>62</v>
      </c>
      <c r="G473" s="9">
        <v>2</v>
      </c>
      <c r="H473" s="6">
        <v>3.2258064516129031E-2</v>
      </c>
      <c r="I473" s="7">
        <v>6.83E-2</v>
      </c>
      <c r="J473" s="9">
        <v>314.15899999999999</v>
      </c>
      <c r="K473" s="9">
        <v>0.47809999999999997</v>
      </c>
      <c r="L473" s="9">
        <v>7</v>
      </c>
      <c r="M473" s="14">
        <v>328.54946663877848</v>
      </c>
      <c r="N473" s="9">
        <v>190</v>
      </c>
      <c r="O473" s="12" t="s">
        <v>102</v>
      </c>
      <c r="P473" s="8" t="s">
        <v>70</v>
      </c>
      <c r="Q473" s="9" t="s">
        <v>103</v>
      </c>
      <c r="R473" s="9" t="s">
        <v>84</v>
      </c>
      <c r="S473" s="9"/>
      <c r="T473" s="18">
        <v>1</v>
      </c>
      <c r="U473" s="18">
        <v>1</v>
      </c>
      <c r="V473" s="9">
        <v>4.5999999999999996</v>
      </c>
      <c r="Y473" s="9">
        <f t="shared" si="7"/>
        <v>328.54946663877848</v>
      </c>
      <c r="Z473" s="19" t="s">
        <v>73</v>
      </c>
      <c r="AA473" s="8" t="s">
        <v>257</v>
      </c>
      <c r="AB473" s="8" t="s">
        <v>75</v>
      </c>
      <c r="AC473" s="11" t="s">
        <v>258</v>
      </c>
      <c r="AD473" s="9" t="s">
        <v>104</v>
      </c>
      <c r="AE473" s="14">
        <v>46.533231079999993</v>
      </c>
      <c r="AF473" s="13"/>
      <c r="AO473" s="34" t="s">
        <v>78</v>
      </c>
      <c r="AP473" s="31">
        <v>2.8</v>
      </c>
      <c r="AQ473" s="31">
        <v>2.8</v>
      </c>
    </row>
    <row r="474" spans="1:67" x14ac:dyDescent="0.2">
      <c r="A474" s="5"/>
      <c r="B474" s="25"/>
      <c r="C474" s="26"/>
      <c r="D474" s="5"/>
      <c r="E474" s="5"/>
      <c r="F474" s="32"/>
      <c r="G474" s="9"/>
      <c r="H474" s="6"/>
      <c r="I474" s="7"/>
      <c r="J474" s="9"/>
      <c r="N474" s="9"/>
      <c r="O474" s="12"/>
      <c r="S474" s="9"/>
      <c r="T474" s="18"/>
      <c r="U474" s="18"/>
      <c r="Y474" s="9" t="e">
        <f t="shared" si="7"/>
        <v>#DIV/0!</v>
      </c>
      <c r="Z474" s="19"/>
      <c r="AC474" s="11"/>
      <c r="AD474" s="9"/>
      <c r="AE474" s="14"/>
      <c r="AF474" s="13"/>
      <c r="AO474" s="34" t="s">
        <v>79</v>
      </c>
      <c r="AP474" s="31">
        <v>4.5999999999999996</v>
      </c>
      <c r="AQ474" s="31">
        <v>4.5999999999999996</v>
      </c>
    </row>
    <row r="475" spans="1:67" x14ac:dyDescent="0.2">
      <c r="A475" s="5" t="s">
        <v>67</v>
      </c>
      <c r="B475" s="25">
        <v>43227</v>
      </c>
      <c r="C475" s="26">
        <v>0.35416666666666702</v>
      </c>
      <c r="D475" s="5" t="s">
        <v>256</v>
      </c>
      <c r="E475" s="5">
        <v>3</v>
      </c>
      <c r="F475" s="32">
        <v>62</v>
      </c>
      <c r="G475" s="9">
        <v>2</v>
      </c>
      <c r="H475" s="6">
        <v>3.2258064516129031E-2</v>
      </c>
      <c r="I475" s="7">
        <v>6.83E-2</v>
      </c>
      <c r="J475" s="9">
        <v>314.15899999999999</v>
      </c>
      <c r="K475" s="9">
        <v>0.47809999999999997</v>
      </c>
      <c r="L475" s="9">
        <v>7</v>
      </c>
      <c r="M475" s="14">
        <v>328.54946663877848</v>
      </c>
      <c r="N475" s="9">
        <v>1031</v>
      </c>
      <c r="O475" s="12" t="s">
        <v>81</v>
      </c>
      <c r="P475" s="12" t="s">
        <v>82</v>
      </c>
      <c r="Q475" s="9" t="s">
        <v>83</v>
      </c>
      <c r="R475" s="9" t="s">
        <v>84</v>
      </c>
      <c r="S475" s="9"/>
      <c r="T475" s="18">
        <v>1</v>
      </c>
      <c r="U475" s="18">
        <v>1</v>
      </c>
      <c r="V475" s="9">
        <v>7.4</v>
      </c>
      <c r="Y475" s="9">
        <f t="shared" si="7"/>
        <v>328.54946663877848</v>
      </c>
      <c r="Z475" s="19" t="s">
        <v>73</v>
      </c>
      <c r="AA475" s="8" t="s">
        <v>257</v>
      </c>
      <c r="AB475" s="8" t="s">
        <v>75</v>
      </c>
      <c r="AC475" s="11" t="s">
        <v>258</v>
      </c>
      <c r="AD475" s="9" t="s">
        <v>85</v>
      </c>
      <c r="AE475" s="14">
        <v>141.03644706666665</v>
      </c>
      <c r="AF475" s="13"/>
      <c r="AO475" s="34" t="s">
        <v>78</v>
      </c>
      <c r="AP475" s="31">
        <v>7.4</v>
      </c>
      <c r="AQ475" s="31">
        <v>7.4</v>
      </c>
    </row>
    <row r="476" spans="1:67" x14ac:dyDescent="0.2">
      <c r="A476" s="5"/>
      <c r="B476" s="25"/>
      <c r="C476" s="26"/>
      <c r="D476" s="5"/>
      <c r="E476" s="5"/>
      <c r="F476" s="32"/>
      <c r="G476" s="9"/>
      <c r="H476" s="6"/>
      <c r="I476" s="7"/>
      <c r="J476" s="9"/>
      <c r="N476" s="9"/>
      <c r="O476" s="12"/>
      <c r="P476" s="12"/>
      <c r="S476" s="9"/>
      <c r="T476" s="18"/>
      <c r="U476" s="18"/>
      <c r="Y476" s="9" t="e">
        <f t="shared" si="7"/>
        <v>#DIV/0!</v>
      </c>
      <c r="Z476" s="19"/>
      <c r="AC476" s="11"/>
      <c r="AD476" s="9"/>
      <c r="AE476" s="14"/>
      <c r="AF476" s="13"/>
      <c r="AO476" s="34" t="s">
        <v>79</v>
      </c>
      <c r="AP476" s="31">
        <v>6.5</v>
      </c>
      <c r="AQ476" s="31">
        <v>6.5</v>
      </c>
    </row>
    <row r="477" spans="1:67" x14ac:dyDescent="0.2">
      <c r="A477" s="5"/>
      <c r="B477" s="25"/>
      <c r="C477" s="26"/>
      <c r="D477" s="5"/>
      <c r="E477" s="5"/>
      <c r="F477" s="32"/>
      <c r="G477" s="9"/>
      <c r="H477" s="6"/>
      <c r="I477" s="7"/>
      <c r="J477" s="9"/>
      <c r="N477" s="9"/>
      <c r="O477" s="12"/>
      <c r="P477" s="12"/>
      <c r="S477" s="9"/>
      <c r="T477" s="18"/>
      <c r="U477" s="18"/>
      <c r="Y477" s="9" t="e">
        <f t="shared" si="7"/>
        <v>#DIV/0!</v>
      </c>
      <c r="Z477" s="19"/>
      <c r="AC477" s="11"/>
      <c r="AD477" s="9"/>
      <c r="AE477" s="14"/>
      <c r="AF477" s="13"/>
      <c r="AO477" s="34" t="s">
        <v>80</v>
      </c>
      <c r="AP477" s="31">
        <v>5.6</v>
      </c>
      <c r="AQ477" s="31">
        <v>5.6</v>
      </c>
    </row>
    <row r="478" spans="1:67" x14ac:dyDescent="0.2">
      <c r="A478" s="5" t="s">
        <v>67</v>
      </c>
      <c r="B478" s="25">
        <v>43227</v>
      </c>
      <c r="C478" s="26">
        <v>0.35416666666666702</v>
      </c>
      <c r="D478" s="5" t="s">
        <v>256</v>
      </c>
      <c r="E478" s="5">
        <v>3</v>
      </c>
      <c r="F478" s="32">
        <v>62</v>
      </c>
      <c r="G478" s="9">
        <v>2</v>
      </c>
      <c r="H478" s="6">
        <v>3.2258064516129031E-2</v>
      </c>
      <c r="I478" s="7">
        <v>6.83E-2</v>
      </c>
      <c r="J478" s="9">
        <v>314.15899999999999</v>
      </c>
      <c r="K478" s="9">
        <v>0.47809999999999997</v>
      </c>
      <c r="L478" s="9">
        <v>7</v>
      </c>
      <c r="M478" s="14">
        <v>328.54946663877848</v>
      </c>
      <c r="N478" s="9">
        <v>1037</v>
      </c>
      <c r="O478" s="12" t="s">
        <v>86</v>
      </c>
      <c r="P478" s="12" t="s">
        <v>82</v>
      </c>
      <c r="Q478" s="9" t="s">
        <v>87</v>
      </c>
      <c r="R478" s="9" t="s">
        <v>84</v>
      </c>
      <c r="S478" s="9"/>
      <c r="T478" s="18">
        <v>4</v>
      </c>
      <c r="U478" s="18">
        <v>4</v>
      </c>
      <c r="V478" s="9">
        <v>3.7</v>
      </c>
      <c r="Y478" s="9">
        <f t="shared" si="7"/>
        <v>1314.1978665551139</v>
      </c>
      <c r="Z478" s="19" t="s">
        <v>73</v>
      </c>
      <c r="AA478" s="8" t="s">
        <v>257</v>
      </c>
      <c r="AB478" s="8" t="s">
        <v>75</v>
      </c>
      <c r="AC478" s="11" t="s">
        <v>258</v>
      </c>
      <c r="AD478" s="9" t="s">
        <v>85</v>
      </c>
      <c r="AE478" s="14">
        <v>14.137154999999998</v>
      </c>
      <c r="AF478" s="13"/>
      <c r="AO478" s="34" t="s">
        <v>78</v>
      </c>
      <c r="AP478" s="31">
        <v>3.0250000000000004</v>
      </c>
      <c r="AQ478" s="31">
        <v>3.7</v>
      </c>
      <c r="AR478" s="31">
        <v>2.8</v>
      </c>
      <c r="AS478" s="31">
        <v>2.8</v>
      </c>
      <c r="AT478" s="31">
        <v>2.8</v>
      </c>
    </row>
    <row r="479" spans="1:67" x14ac:dyDescent="0.2">
      <c r="A479" s="5" t="s">
        <v>67</v>
      </c>
      <c r="B479" s="25">
        <v>43227</v>
      </c>
      <c r="C479" s="26">
        <v>0.35416666666666702</v>
      </c>
      <c r="D479" s="5" t="s">
        <v>256</v>
      </c>
      <c r="E479" s="5">
        <v>3</v>
      </c>
      <c r="F479" s="32">
        <v>62</v>
      </c>
      <c r="G479" s="9">
        <v>2</v>
      </c>
      <c r="H479" s="6">
        <v>3.2258064516129031E-2</v>
      </c>
      <c r="I479" s="7">
        <v>6.83E-2</v>
      </c>
      <c r="J479" s="9">
        <v>314.15899999999999</v>
      </c>
      <c r="K479" s="9">
        <v>0.47809999999999997</v>
      </c>
      <c r="L479" s="9">
        <v>7</v>
      </c>
      <c r="M479" s="14">
        <v>328.54946663877848</v>
      </c>
      <c r="N479" s="9">
        <v>1733</v>
      </c>
      <c r="O479" s="12" t="s">
        <v>92</v>
      </c>
      <c r="P479" s="12" t="s">
        <v>82</v>
      </c>
      <c r="Q479" s="9" t="s">
        <v>89</v>
      </c>
      <c r="R479" s="9" t="s">
        <v>93</v>
      </c>
      <c r="S479" s="9"/>
      <c r="T479" s="18">
        <v>1</v>
      </c>
      <c r="U479" s="18">
        <v>1</v>
      </c>
      <c r="V479" s="9">
        <v>5.6</v>
      </c>
      <c r="Y479" s="9">
        <f t="shared" si="7"/>
        <v>328.54946663877848</v>
      </c>
      <c r="Z479" s="19" t="s">
        <v>73</v>
      </c>
      <c r="AA479" s="8" t="s">
        <v>257</v>
      </c>
      <c r="AB479" s="8" t="s">
        <v>75</v>
      </c>
      <c r="AC479" s="11" t="s">
        <v>258</v>
      </c>
      <c r="AD479" s="9" t="s">
        <v>91</v>
      </c>
      <c r="AE479" s="14">
        <v>76.353203359999995</v>
      </c>
      <c r="AF479" s="13"/>
      <c r="AO479" s="34" t="s">
        <v>78</v>
      </c>
      <c r="AP479" s="31">
        <v>5.6</v>
      </c>
      <c r="AQ479" s="31">
        <v>5.6</v>
      </c>
    </row>
    <row r="480" spans="1:67" x14ac:dyDescent="0.2">
      <c r="A480" s="5"/>
      <c r="B480" s="25"/>
      <c r="C480" s="26"/>
      <c r="D480" s="5"/>
      <c r="E480" s="5"/>
      <c r="F480" s="32"/>
      <c r="G480" s="9"/>
      <c r="H480" s="6"/>
      <c r="I480" s="7"/>
      <c r="J480" s="9"/>
      <c r="N480" s="9"/>
      <c r="O480" s="12"/>
      <c r="P480" s="12"/>
      <c r="S480" s="9"/>
      <c r="T480" s="18"/>
      <c r="U480" s="18"/>
      <c r="Y480" s="9" t="e">
        <f t="shared" si="7"/>
        <v>#DIV/0!</v>
      </c>
      <c r="Z480" s="19"/>
      <c r="AC480" s="11"/>
      <c r="AD480" s="9"/>
      <c r="AE480" s="14"/>
      <c r="AF480" s="13"/>
      <c r="AO480" s="34" t="s">
        <v>79</v>
      </c>
      <c r="AP480" s="31">
        <v>3.7</v>
      </c>
      <c r="AQ480" s="31">
        <v>3.7</v>
      </c>
    </row>
    <row r="481" spans="1:67" x14ac:dyDescent="0.2">
      <c r="A481" s="5" t="s">
        <v>67</v>
      </c>
      <c r="B481" s="25">
        <v>43227</v>
      </c>
      <c r="C481" s="26">
        <v>0.35416666666666702</v>
      </c>
      <c r="D481" s="5" t="s">
        <v>256</v>
      </c>
      <c r="E481" s="5">
        <v>3</v>
      </c>
      <c r="F481" s="32">
        <v>62</v>
      </c>
      <c r="G481" s="9">
        <v>2</v>
      </c>
      <c r="H481" s="6">
        <v>3.2258064516129031E-2</v>
      </c>
      <c r="I481" s="7">
        <v>6.83E-2</v>
      </c>
      <c r="J481" s="9">
        <v>314.15899999999999</v>
      </c>
      <c r="K481" s="9">
        <v>0.47809999999999997</v>
      </c>
      <c r="L481" s="9">
        <v>7</v>
      </c>
      <c r="M481" s="14">
        <v>328.54946663877848</v>
      </c>
      <c r="N481" s="9">
        <v>1419</v>
      </c>
      <c r="O481" s="12" t="s">
        <v>94</v>
      </c>
      <c r="P481" s="12" t="s">
        <v>82</v>
      </c>
      <c r="Q481" s="9" t="s">
        <v>95</v>
      </c>
      <c r="R481" s="9" t="s">
        <v>96</v>
      </c>
      <c r="S481" s="9"/>
      <c r="T481" s="18">
        <v>428</v>
      </c>
      <c r="U481" s="18">
        <v>858</v>
      </c>
      <c r="V481" s="9">
        <v>0.8</v>
      </c>
      <c r="W481" s="9">
        <v>0.8</v>
      </c>
      <c r="X481" s="9">
        <v>0.8</v>
      </c>
      <c r="Y481" s="9">
        <f t="shared" si="7"/>
        <v>140619.1717213972</v>
      </c>
      <c r="Z481" s="19" t="s">
        <v>97</v>
      </c>
      <c r="AA481" s="8" t="s">
        <v>257</v>
      </c>
      <c r="AB481" s="8" t="s">
        <v>75</v>
      </c>
      <c r="AC481" s="11" t="s">
        <v>258</v>
      </c>
      <c r="AD481" s="9" t="s">
        <v>85</v>
      </c>
      <c r="AE481" s="14">
        <v>0.18</v>
      </c>
      <c r="AF481" s="14">
        <v>0.18</v>
      </c>
      <c r="AG481" s="14">
        <v>0.18</v>
      </c>
      <c r="AH481" s="14">
        <v>0.18</v>
      </c>
      <c r="AI481" s="14">
        <v>0.18</v>
      </c>
      <c r="AJ481" s="14">
        <v>0.18</v>
      </c>
      <c r="AK481" s="14">
        <v>0.18</v>
      </c>
      <c r="AL481" s="14">
        <v>0.18</v>
      </c>
      <c r="AM481" s="14">
        <v>0.18</v>
      </c>
      <c r="AN481" s="14">
        <v>0.18</v>
      </c>
      <c r="AO481" s="35" t="s">
        <v>78</v>
      </c>
      <c r="AP481" s="31">
        <v>0.75200000000000033</v>
      </c>
      <c r="AQ481" s="31">
        <v>0.7</v>
      </c>
      <c r="AR481" s="31">
        <v>0.7</v>
      </c>
      <c r="AS481" s="31">
        <v>0.7</v>
      </c>
      <c r="AT481" s="31">
        <v>0.7</v>
      </c>
      <c r="AU481" s="31">
        <v>0.7</v>
      </c>
      <c r="AV481" s="31">
        <v>0.7</v>
      </c>
      <c r="AW481" s="31">
        <v>0.7</v>
      </c>
      <c r="AX481" s="31">
        <v>0.7</v>
      </c>
      <c r="AY481" s="31">
        <v>0.7</v>
      </c>
      <c r="AZ481" s="31">
        <v>0.7</v>
      </c>
      <c r="BA481" s="31">
        <v>0.7</v>
      </c>
      <c r="BB481" s="31">
        <v>0.7</v>
      </c>
      <c r="BC481" s="31">
        <v>0.8</v>
      </c>
      <c r="BD481" s="31">
        <v>0.8</v>
      </c>
      <c r="BE481" s="31">
        <v>0.8</v>
      </c>
      <c r="BF481" s="31">
        <v>0.8</v>
      </c>
      <c r="BG481" s="31">
        <v>0.8</v>
      </c>
      <c r="BH481" s="31">
        <v>0.8</v>
      </c>
      <c r="BI481" s="31">
        <v>0.8</v>
      </c>
      <c r="BJ481" s="31">
        <v>0.8</v>
      </c>
      <c r="BK481" s="31">
        <v>0.8</v>
      </c>
      <c r="BL481" s="31">
        <v>0.8</v>
      </c>
      <c r="BM481" s="31">
        <v>0.8</v>
      </c>
      <c r="BN481" s="31">
        <v>0.8</v>
      </c>
      <c r="BO481" s="31">
        <v>0.8</v>
      </c>
    </row>
    <row r="482" spans="1:67" x14ac:dyDescent="0.2">
      <c r="A482" s="5" t="s">
        <v>67</v>
      </c>
      <c r="B482" s="25">
        <v>43361</v>
      </c>
      <c r="C482" s="26">
        <v>0.64930555555555602</v>
      </c>
      <c r="D482" s="5" t="s">
        <v>222</v>
      </c>
      <c r="E482" s="5">
        <v>3</v>
      </c>
      <c r="F482" s="32">
        <v>62</v>
      </c>
      <c r="G482" s="9">
        <v>2</v>
      </c>
      <c r="H482" s="6">
        <v>3.2258064516129031E-2</v>
      </c>
      <c r="I482" s="7">
        <v>6.83E-2</v>
      </c>
      <c r="J482" s="9">
        <v>314.15899999999999</v>
      </c>
      <c r="K482" s="9">
        <v>0.4098</v>
      </c>
      <c r="L482" s="9">
        <v>6</v>
      </c>
      <c r="M482" s="14">
        <v>383.30771107857493</v>
      </c>
      <c r="N482" s="9">
        <v>1037</v>
      </c>
      <c r="O482" s="12" t="s">
        <v>86</v>
      </c>
      <c r="P482" s="12" t="s">
        <v>82</v>
      </c>
      <c r="Q482" s="9" t="s">
        <v>87</v>
      </c>
      <c r="R482" s="9" t="s">
        <v>84</v>
      </c>
      <c r="S482" s="9"/>
      <c r="T482" s="18">
        <v>15</v>
      </c>
      <c r="U482" s="18">
        <v>15</v>
      </c>
      <c r="V482" s="9">
        <v>2.8</v>
      </c>
      <c r="Y482" s="9">
        <f t="shared" si="7"/>
        <v>5749.6156661786245</v>
      </c>
      <c r="Z482" s="19" t="s">
        <v>73</v>
      </c>
      <c r="AA482" s="8" t="s">
        <v>259</v>
      </c>
      <c r="AB482" s="8" t="s">
        <v>75</v>
      </c>
      <c r="AC482" s="11" t="s">
        <v>76</v>
      </c>
      <c r="AD482" s="9" t="s">
        <v>85</v>
      </c>
      <c r="AE482" s="14">
        <v>6.3706209216666645</v>
      </c>
      <c r="AF482" s="13"/>
      <c r="AO482" s="35" t="s">
        <v>78</v>
      </c>
      <c r="AP482" s="31">
        <v>2.2599999999999998</v>
      </c>
      <c r="AQ482" s="31">
        <v>1.9</v>
      </c>
      <c r="AR482" s="31">
        <v>1.9</v>
      </c>
      <c r="AS482" s="31">
        <v>2.8</v>
      </c>
      <c r="AT482" s="31">
        <v>2.8</v>
      </c>
      <c r="AU482" s="31">
        <v>1.9</v>
      </c>
    </row>
    <row r="483" spans="1:67" x14ac:dyDescent="0.2">
      <c r="A483" s="5" t="s">
        <v>67</v>
      </c>
      <c r="B483" s="25">
        <v>43361</v>
      </c>
      <c r="C483" s="26">
        <v>0.64930555555555602</v>
      </c>
      <c r="D483" s="5" t="s">
        <v>222</v>
      </c>
      <c r="E483" s="5">
        <v>3</v>
      </c>
      <c r="F483" s="32">
        <v>62</v>
      </c>
      <c r="G483" s="9">
        <v>2</v>
      </c>
      <c r="H483" s="6">
        <v>3.2258064516129031E-2</v>
      </c>
      <c r="I483" s="7">
        <v>6.83E-2</v>
      </c>
      <c r="J483" s="9">
        <v>314.15899999999999</v>
      </c>
      <c r="K483" s="9">
        <v>0.4098</v>
      </c>
      <c r="L483" s="9">
        <v>6</v>
      </c>
      <c r="M483" s="14">
        <v>383.30771107857493</v>
      </c>
      <c r="N483" s="9">
        <v>1140</v>
      </c>
      <c r="O483" s="12" t="s">
        <v>126</v>
      </c>
      <c r="P483" s="12" t="s">
        <v>82</v>
      </c>
      <c r="Q483" s="9" t="s">
        <v>127</v>
      </c>
      <c r="R483" s="9" t="s">
        <v>128</v>
      </c>
      <c r="S483" s="9"/>
      <c r="T483" s="18">
        <v>1</v>
      </c>
      <c r="U483" s="18">
        <v>1</v>
      </c>
      <c r="V483" s="9">
        <v>11.1</v>
      </c>
      <c r="Y483" s="9">
        <f t="shared" si="7"/>
        <v>383.30771107857493</v>
      </c>
      <c r="Z483" s="19" t="s">
        <v>73</v>
      </c>
      <c r="AA483" s="8" t="s">
        <v>259</v>
      </c>
      <c r="AB483" s="8" t="s">
        <v>75</v>
      </c>
      <c r="AC483" s="11" t="s">
        <v>76</v>
      </c>
      <c r="AD483" s="9" t="s">
        <v>129</v>
      </c>
      <c r="AE483" s="14">
        <v>45.565621359999987</v>
      </c>
      <c r="AF483" s="13"/>
      <c r="AO483" s="35" t="s">
        <v>78</v>
      </c>
      <c r="AP483" s="31">
        <v>11.1</v>
      </c>
      <c r="AQ483" s="31">
        <v>11.1</v>
      </c>
    </row>
    <row r="484" spans="1:67" x14ac:dyDescent="0.2">
      <c r="A484" s="5"/>
      <c r="B484" s="25"/>
      <c r="C484" s="26"/>
      <c r="D484" s="5"/>
      <c r="E484" s="5"/>
      <c r="F484" s="32"/>
      <c r="G484" s="9"/>
      <c r="H484" s="6"/>
      <c r="I484" s="7"/>
      <c r="J484" s="9"/>
      <c r="N484" s="9"/>
      <c r="O484" s="12"/>
      <c r="P484" s="12"/>
      <c r="S484" s="9"/>
      <c r="T484" s="18"/>
      <c r="U484" s="18"/>
      <c r="Y484" s="9" t="e">
        <f t="shared" si="7"/>
        <v>#DIV/0!</v>
      </c>
      <c r="Z484" s="19"/>
      <c r="AC484" s="11"/>
      <c r="AD484" s="9"/>
      <c r="AE484" s="14"/>
      <c r="AF484" s="13"/>
      <c r="AO484" s="34" t="s">
        <v>79</v>
      </c>
      <c r="AP484" s="31">
        <v>2.8</v>
      </c>
      <c r="AQ484" s="31">
        <v>2.8</v>
      </c>
    </row>
    <row r="485" spans="1:67" x14ac:dyDescent="0.2">
      <c r="A485" s="5" t="s">
        <v>67</v>
      </c>
      <c r="B485" s="25">
        <v>43361</v>
      </c>
      <c r="C485" s="26">
        <v>0.64930555555555602</v>
      </c>
      <c r="D485" s="5" t="s">
        <v>222</v>
      </c>
      <c r="E485" s="5">
        <v>3</v>
      </c>
      <c r="F485" s="32">
        <v>62</v>
      </c>
      <c r="G485" s="9">
        <v>2</v>
      </c>
      <c r="H485" s="6">
        <v>3.2258064516129031E-2</v>
      </c>
      <c r="I485" s="7">
        <v>6.83E-2</v>
      </c>
      <c r="J485" s="9">
        <v>314.15899999999999</v>
      </c>
      <c r="K485" s="9">
        <v>0.4098</v>
      </c>
      <c r="L485" s="9">
        <v>6</v>
      </c>
      <c r="M485" s="14">
        <v>383.30771107857493</v>
      </c>
      <c r="N485" s="9">
        <v>1365</v>
      </c>
      <c r="O485" s="12" t="s">
        <v>121</v>
      </c>
      <c r="P485" s="12" t="s">
        <v>82</v>
      </c>
      <c r="Q485" s="9" t="s">
        <v>122</v>
      </c>
      <c r="R485" s="9" t="s">
        <v>123</v>
      </c>
      <c r="S485" s="9"/>
      <c r="T485" s="18">
        <v>1</v>
      </c>
      <c r="U485" s="18">
        <v>1</v>
      </c>
      <c r="V485" s="9">
        <v>11.1</v>
      </c>
      <c r="Y485" s="9">
        <f t="shared" si="7"/>
        <v>383.30771107857493</v>
      </c>
      <c r="Z485" s="19" t="s">
        <v>73</v>
      </c>
      <c r="AA485" s="8" t="s">
        <v>259</v>
      </c>
      <c r="AB485" s="8" t="s">
        <v>75</v>
      </c>
      <c r="AC485" s="11" t="s">
        <v>76</v>
      </c>
      <c r="AD485" s="9" t="s">
        <v>91</v>
      </c>
      <c r="AE485" s="14">
        <v>596.74109351249979</v>
      </c>
      <c r="AF485" s="13"/>
      <c r="AO485" s="35" t="s">
        <v>78</v>
      </c>
      <c r="AP485" s="31">
        <v>11.1</v>
      </c>
      <c r="AQ485" s="31">
        <v>11.1</v>
      </c>
    </row>
    <row r="486" spans="1:67" x14ac:dyDescent="0.2">
      <c r="A486" s="5"/>
      <c r="B486" s="25"/>
      <c r="C486" s="26"/>
      <c r="D486" s="5"/>
      <c r="E486" s="5"/>
      <c r="F486" s="32"/>
      <c r="G486" s="9"/>
      <c r="H486" s="6"/>
      <c r="I486" s="7"/>
      <c r="J486" s="9"/>
      <c r="N486" s="9"/>
      <c r="O486" s="12"/>
      <c r="P486" s="12"/>
      <c r="S486" s="9"/>
      <c r="T486" s="18"/>
      <c r="U486" s="18"/>
      <c r="Y486" s="9" t="e">
        <f t="shared" si="7"/>
        <v>#DIV/0!</v>
      </c>
      <c r="Z486" s="19"/>
      <c r="AC486" s="11"/>
      <c r="AD486" s="9"/>
      <c r="AE486" s="14"/>
      <c r="AF486" s="13"/>
      <c r="AO486" s="34" t="s">
        <v>79</v>
      </c>
      <c r="AP486" s="31">
        <v>7.4</v>
      </c>
      <c r="AQ486" s="31">
        <v>7.4</v>
      </c>
    </row>
    <row r="487" spans="1:67" x14ac:dyDescent="0.2">
      <c r="A487" s="5" t="s">
        <v>67</v>
      </c>
      <c r="B487" s="25">
        <v>43361</v>
      </c>
      <c r="C487" s="26">
        <v>0.64930555555555602</v>
      </c>
      <c r="D487" s="5" t="s">
        <v>222</v>
      </c>
      <c r="E487" s="5">
        <v>3</v>
      </c>
      <c r="F487" s="32">
        <v>62</v>
      </c>
      <c r="G487" s="9">
        <v>2</v>
      </c>
      <c r="H487" s="6">
        <v>3.2258064516129031E-2</v>
      </c>
      <c r="I487" s="7">
        <v>6.83E-2</v>
      </c>
      <c r="J487" s="9">
        <v>314.15899999999999</v>
      </c>
      <c r="K487" s="9">
        <v>0.4098</v>
      </c>
      <c r="L487" s="9">
        <v>6</v>
      </c>
      <c r="M487" s="14">
        <v>383.30771107857493</v>
      </c>
      <c r="N487" s="9">
        <v>1419</v>
      </c>
      <c r="O487" s="12" t="s">
        <v>94</v>
      </c>
      <c r="P487" s="12" t="s">
        <v>82</v>
      </c>
      <c r="Q487" s="9" t="s">
        <v>95</v>
      </c>
      <c r="R487" s="9" t="s">
        <v>96</v>
      </c>
      <c r="S487" s="9"/>
      <c r="T487" s="18">
        <v>413</v>
      </c>
      <c r="U487" s="18">
        <v>833</v>
      </c>
      <c r="V487" s="9">
        <v>0.8</v>
      </c>
      <c r="W487" s="9">
        <v>0.8</v>
      </c>
      <c r="X487" s="9">
        <v>0.8</v>
      </c>
      <c r="Y487" s="9">
        <f t="shared" si="7"/>
        <v>158306.08467545145</v>
      </c>
      <c r="Z487" s="19" t="s">
        <v>97</v>
      </c>
      <c r="AA487" s="8" t="s">
        <v>259</v>
      </c>
      <c r="AB487" s="8" t="s">
        <v>75</v>
      </c>
      <c r="AC487" s="11" t="s">
        <v>76</v>
      </c>
      <c r="AD487" s="9" t="s">
        <v>85</v>
      </c>
      <c r="AE487" s="14">
        <v>0.18</v>
      </c>
      <c r="AF487" s="14">
        <v>0.18</v>
      </c>
      <c r="AG487" s="14">
        <v>0.18</v>
      </c>
      <c r="AH487" s="14">
        <v>0.18</v>
      </c>
      <c r="AI487" s="14">
        <v>0.18</v>
      </c>
      <c r="AJ487" s="14">
        <v>0.18</v>
      </c>
      <c r="AK487" s="14">
        <v>0.18</v>
      </c>
      <c r="AL487" s="14">
        <v>0.18</v>
      </c>
      <c r="AM487" s="14">
        <v>0.18</v>
      </c>
      <c r="AN487" s="14">
        <v>0.18</v>
      </c>
      <c r="AO487" s="35" t="s">
        <v>78</v>
      </c>
      <c r="AP487" s="31">
        <v>0.75200000000000033</v>
      </c>
      <c r="AQ487" s="31">
        <v>0.7</v>
      </c>
      <c r="AR487" s="31">
        <v>0.7</v>
      </c>
      <c r="AS487" s="31">
        <v>0.7</v>
      </c>
      <c r="AT487" s="31">
        <v>0.7</v>
      </c>
      <c r="AU487" s="31">
        <v>0.7</v>
      </c>
      <c r="AV487" s="31">
        <v>0.7</v>
      </c>
      <c r="AW487" s="31">
        <v>0.7</v>
      </c>
      <c r="AX487" s="31">
        <v>0.7</v>
      </c>
      <c r="AY487" s="31">
        <v>0.7</v>
      </c>
      <c r="AZ487" s="31">
        <v>0.7</v>
      </c>
      <c r="BA487" s="31">
        <v>0.7</v>
      </c>
      <c r="BB487" s="31">
        <v>0.7</v>
      </c>
      <c r="BC487" s="31">
        <v>0.8</v>
      </c>
      <c r="BD487" s="31">
        <v>0.8</v>
      </c>
      <c r="BE487" s="31">
        <v>0.8</v>
      </c>
      <c r="BF487" s="31">
        <v>0.8</v>
      </c>
      <c r="BG487" s="31">
        <v>0.8</v>
      </c>
      <c r="BH487" s="31">
        <v>0.8</v>
      </c>
      <c r="BI487" s="31">
        <v>0.8</v>
      </c>
      <c r="BJ487" s="31">
        <v>0.8</v>
      </c>
      <c r="BK487" s="31">
        <v>0.8</v>
      </c>
      <c r="BL487" s="31">
        <v>0.8</v>
      </c>
      <c r="BM487" s="31">
        <v>0.8</v>
      </c>
      <c r="BN487" s="31">
        <v>0.8</v>
      </c>
      <c r="BO487" s="31">
        <v>0.8</v>
      </c>
    </row>
    <row r="488" spans="1:67" x14ac:dyDescent="0.2">
      <c r="A488" s="5" t="s">
        <v>67</v>
      </c>
      <c r="B488" s="25">
        <v>43290</v>
      </c>
      <c r="C488" s="26">
        <v>0.64583333333333304</v>
      </c>
      <c r="D488" s="5" t="s">
        <v>222</v>
      </c>
      <c r="E488" s="5">
        <v>3</v>
      </c>
      <c r="F488" s="32">
        <v>55.5</v>
      </c>
      <c r="G488" s="9">
        <v>1</v>
      </c>
      <c r="H488" s="6">
        <v>1.8018018018018018E-2</v>
      </c>
      <c r="I488" s="7">
        <v>6.83E-2</v>
      </c>
      <c r="J488" s="9">
        <v>314.15899999999999</v>
      </c>
      <c r="K488" s="9">
        <v>0.8196</v>
      </c>
      <c r="L488" s="9">
        <v>12</v>
      </c>
      <c r="M488" s="14">
        <v>383.30771107857493</v>
      </c>
      <c r="N488" s="9">
        <v>145</v>
      </c>
      <c r="O488" s="12" t="s">
        <v>69</v>
      </c>
      <c r="P488" s="8" t="s">
        <v>70</v>
      </c>
      <c r="Q488" s="9" t="s">
        <v>71</v>
      </c>
      <c r="R488" s="9" t="s">
        <v>72</v>
      </c>
      <c r="S488" s="9"/>
      <c r="T488" s="18">
        <v>1</v>
      </c>
      <c r="U488" s="18">
        <v>1</v>
      </c>
      <c r="V488" s="9">
        <v>14.8</v>
      </c>
      <c r="Y488" s="9">
        <f t="shared" si="7"/>
        <v>383.30771107857493</v>
      </c>
      <c r="Z488" s="19" t="s">
        <v>73</v>
      </c>
      <c r="AA488" s="8" t="s">
        <v>260</v>
      </c>
      <c r="AB488" s="8" t="s">
        <v>75</v>
      </c>
      <c r="AC488" s="11" t="s">
        <v>221</v>
      </c>
      <c r="AD488" s="9" t="s">
        <v>77</v>
      </c>
      <c r="AE488" s="14">
        <v>302.68591332</v>
      </c>
      <c r="AF488" s="13"/>
      <c r="AO488" s="34" t="s">
        <v>78</v>
      </c>
      <c r="AP488" s="31">
        <v>14.8</v>
      </c>
      <c r="AQ488" s="31">
        <v>14.8</v>
      </c>
    </row>
    <row r="489" spans="1:67" x14ac:dyDescent="0.2">
      <c r="A489" s="5"/>
      <c r="B489" s="25"/>
      <c r="C489" s="26"/>
      <c r="D489" s="5"/>
      <c r="E489" s="5"/>
      <c r="F489" s="32"/>
      <c r="G489" s="9"/>
      <c r="H489" s="6"/>
      <c r="I489" s="7"/>
      <c r="J489" s="9"/>
      <c r="N489" s="9"/>
      <c r="O489" s="12"/>
      <c r="S489" s="9"/>
      <c r="T489" s="18"/>
      <c r="U489" s="18"/>
      <c r="Y489" s="9" t="e">
        <f t="shared" si="7"/>
        <v>#DIV/0!</v>
      </c>
      <c r="Z489" s="19"/>
      <c r="AC489" s="11"/>
      <c r="AD489" s="9"/>
      <c r="AE489" s="14"/>
      <c r="AF489" s="13"/>
      <c r="AO489" s="34" t="s">
        <v>79</v>
      </c>
      <c r="AP489" s="31">
        <v>9.3000000000000007</v>
      </c>
      <c r="AQ489" s="31">
        <v>9.3000000000000007</v>
      </c>
    </row>
    <row r="490" spans="1:67" x14ac:dyDescent="0.2">
      <c r="A490" s="5"/>
      <c r="B490" s="25"/>
      <c r="C490" s="26"/>
      <c r="D490" s="5"/>
      <c r="E490" s="5"/>
      <c r="F490" s="32"/>
      <c r="G490" s="9"/>
      <c r="H490" s="6"/>
      <c r="I490" s="7"/>
      <c r="J490" s="9"/>
      <c r="N490" s="9"/>
      <c r="O490" s="12"/>
      <c r="S490" s="9"/>
      <c r="T490" s="18"/>
      <c r="U490" s="18"/>
      <c r="Y490" s="9" t="e">
        <f t="shared" si="7"/>
        <v>#DIV/0!</v>
      </c>
      <c r="Z490" s="19"/>
      <c r="AC490" s="11"/>
      <c r="AD490" s="9"/>
      <c r="AE490" s="14"/>
      <c r="AF490" s="13"/>
      <c r="AO490" s="34" t="s">
        <v>80</v>
      </c>
      <c r="AP490" s="31">
        <v>2.8</v>
      </c>
      <c r="AQ490" s="31">
        <v>2.8</v>
      </c>
    </row>
    <row r="491" spans="1:67" x14ac:dyDescent="0.2">
      <c r="A491" s="5" t="s">
        <v>67</v>
      </c>
      <c r="B491" s="25">
        <v>43290</v>
      </c>
      <c r="C491" s="26">
        <v>0.64583333333333304</v>
      </c>
      <c r="D491" s="5" t="s">
        <v>222</v>
      </c>
      <c r="E491" s="5">
        <v>3</v>
      </c>
      <c r="F491" s="32">
        <v>55.5</v>
      </c>
      <c r="G491" s="9">
        <v>1</v>
      </c>
      <c r="H491" s="6">
        <v>1.8018018018018018E-2</v>
      </c>
      <c r="I491" s="7">
        <v>6.83E-2</v>
      </c>
      <c r="J491" s="9">
        <v>314.15899999999999</v>
      </c>
      <c r="K491" s="9">
        <v>0.8196</v>
      </c>
      <c r="L491" s="9">
        <v>12</v>
      </c>
      <c r="M491" s="14">
        <v>383.30771107857493</v>
      </c>
      <c r="N491" s="9">
        <v>190</v>
      </c>
      <c r="O491" s="12" t="s">
        <v>102</v>
      </c>
      <c r="P491" s="8" t="s">
        <v>70</v>
      </c>
      <c r="Q491" s="9" t="s">
        <v>103</v>
      </c>
      <c r="R491" s="9" t="s">
        <v>84</v>
      </c>
      <c r="S491" s="9"/>
      <c r="T491" s="18">
        <v>2</v>
      </c>
      <c r="U491" s="18">
        <v>2</v>
      </c>
      <c r="V491" s="9">
        <v>7.4</v>
      </c>
      <c r="Y491" s="9">
        <f t="shared" si="7"/>
        <v>766.61542215714985</v>
      </c>
      <c r="Z491" s="19" t="s">
        <v>73</v>
      </c>
      <c r="AA491" s="8" t="s">
        <v>260</v>
      </c>
      <c r="AB491" s="8" t="s">
        <v>75</v>
      </c>
      <c r="AC491" s="11" t="s">
        <v>221</v>
      </c>
      <c r="AD491" s="9" t="s">
        <v>104</v>
      </c>
      <c r="AE491" s="14">
        <v>152.64200412499997</v>
      </c>
      <c r="AF491" s="13"/>
      <c r="AO491" s="34" t="s">
        <v>78</v>
      </c>
      <c r="AP491" s="31">
        <v>4.5999999999999996</v>
      </c>
      <c r="AQ491" s="31">
        <v>4.5999999999999996</v>
      </c>
      <c r="AR491" s="31">
        <v>4.5999999999999996</v>
      </c>
    </row>
    <row r="492" spans="1:67" x14ac:dyDescent="0.2">
      <c r="A492" s="5"/>
      <c r="B492" s="25"/>
      <c r="C492" s="26"/>
      <c r="D492" s="5"/>
      <c r="E492" s="5"/>
      <c r="F492" s="32"/>
      <c r="G492" s="9"/>
      <c r="H492" s="6"/>
      <c r="I492" s="7"/>
      <c r="J492" s="9"/>
      <c r="N492" s="9"/>
      <c r="O492" s="12"/>
      <c r="S492" s="9"/>
      <c r="T492" s="18"/>
      <c r="U492" s="18"/>
      <c r="Y492" s="9" t="e">
        <f t="shared" si="7"/>
        <v>#DIV/0!</v>
      </c>
      <c r="Z492" s="19"/>
      <c r="AC492" s="11"/>
      <c r="AD492" s="9"/>
      <c r="AE492" s="14"/>
      <c r="AF492" s="13"/>
      <c r="AO492" s="34" t="s">
        <v>79</v>
      </c>
      <c r="AP492" s="31">
        <v>6.5</v>
      </c>
      <c r="AQ492" s="31">
        <v>7.4</v>
      </c>
      <c r="AR492" s="31">
        <v>5.6</v>
      </c>
    </row>
    <row r="493" spans="1:67" x14ac:dyDescent="0.2">
      <c r="A493" s="5" t="s">
        <v>67</v>
      </c>
      <c r="B493" s="25">
        <v>43290</v>
      </c>
      <c r="C493" s="26">
        <v>0.64583333333333304</v>
      </c>
      <c r="D493" s="5" t="s">
        <v>222</v>
      </c>
      <c r="E493" s="5">
        <v>3</v>
      </c>
      <c r="F493" s="32">
        <v>55.5</v>
      </c>
      <c r="G493" s="9">
        <v>1</v>
      </c>
      <c r="H493" s="6">
        <v>1.8018018018018018E-2</v>
      </c>
      <c r="I493" s="7">
        <v>6.83E-2</v>
      </c>
      <c r="J493" s="9">
        <v>314.15899999999999</v>
      </c>
      <c r="K493" s="9">
        <v>0.8196</v>
      </c>
      <c r="L493" s="9">
        <v>12</v>
      </c>
      <c r="M493" s="14">
        <v>383.30771107857493</v>
      </c>
      <c r="N493" s="9">
        <v>1037</v>
      </c>
      <c r="O493" s="12" t="s">
        <v>86</v>
      </c>
      <c r="P493" s="12" t="s">
        <v>82</v>
      </c>
      <c r="Q493" s="9" t="s">
        <v>87</v>
      </c>
      <c r="R493" s="9" t="s">
        <v>84</v>
      </c>
      <c r="S493" s="9"/>
      <c r="T493" s="18">
        <v>12</v>
      </c>
      <c r="U493" s="18">
        <v>12</v>
      </c>
      <c r="V493" s="9">
        <v>2.8</v>
      </c>
      <c r="Y493" s="9">
        <f t="shared" si="7"/>
        <v>4599.6925329428987</v>
      </c>
      <c r="Z493" s="19" t="s">
        <v>73</v>
      </c>
      <c r="AA493" s="8" t="s">
        <v>260</v>
      </c>
      <c r="AB493" s="8" t="s">
        <v>75</v>
      </c>
      <c r="AC493" s="11" t="s">
        <v>221</v>
      </c>
      <c r="AD493" s="9" t="s">
        <v>85</v>
      </c>
      <c r="AE493" s="14">
        <v>9.2027643066666673</v>
      </c>
      <c r="AF493" s="13"/>
      <c r="AO493" s="34" t="s">
        <v>78</v>
      </c>
      <c r="AP493" s="31">
        <v>2.62</v>
      </c>
      <c r="AQ493" s="31">
        <v>2.8</v>
      </c>
      <c r="AR493" s="31">
        <v>2.8</v>
      </c>
      <c r="AS493" s="31">
        <v>1.9</v>
      </c>
      <c r="AT493" s="31">
        <v>2.8</v>
      </c>
      <c r="AU493" s="31">
        <v>2.8</v>
      </c>
    </row>
    <row r="494" spans="1:67" x14ac:dyDescent="0.2">
      <c r="A494" s="5" t="s">
        <v>67</v>
      </c>
      <c r="B494" s="25">
        <v>43290</v>
      </c>
      <c r="C494" s="26">
        <v>0.64583333333333304</v>
      </c>
      <c r="D494" s="5" t="s">
        <v>222</v>
      </c>
      <c r="E494" s="5">
        <v>3</v>
      </c>
      <c r="F494" s="32">
        <v>55.5</v>
      </c>
      <c r="G494" s="9">
        <v>1</v>
      </c>
      <c r="H494" s="6">
        <v>1.8018018018018018E-2</v>
      </c>
      <c r="I494" s="7">
        <v>6.83E-2</v>
      </c>
      <c r="J494" s="9">
        <v>314.15899999999999</v>
      </c>
      <c r="K494" s="9">
        <v>0.8196</v>
      </c>
      <c r="L494" s="9">
        <v>12</v>
      </c>
      <c r="M494" s="14">
        <v>383.30771107857493</v>
      </c>
      <c r="N494" s="9">
        <v>1352</v>
      </c>
      <c r="O494" s="12" t="s">
        <v>118</v>
      </c>
      <c r="P494" s="12" t="s">
        <v>82</v>
      </c>
      <c r="Q494" s="9" t="s">
        <v>119</v>
      </c>
      <c r="R494" s="9" t="s">
        <v>84</v>
      </c>
      <c r="S494" s="9"/>
      <c r="T494" s="18">
        <v>1</v>
      </c>
      <c r="U494" s="18">
        <v>1</v>
      </c>
      <c r="V494" s="9">
        <v>14.8</v>
      </c>
      <c r="Y494" s="9">
        <f t="shared" si="7"/>
        <v>383.30771107857493</v>
      </c>
      <c r="Z494" s="19" t="s">
        <v>73</v>
      </c>
      <c r="AA494" s="8" t="s">
        <v>260</v>
      </c>
      <c r="AB494" s="8" t="s">
        <v>75</v>
      </c>
      <c r="AC494" s="11" t="s">
        <v>221</v>
      </c>
      <c r="AD494" s="9" t="s">
        <v>120</v>
      </c>
      <c r="AE494" s="14">
        <v>670.23309377999999</v>
      </c>
      <c r="AF494" s="13"/>
      <c r="AO494" s="34" t="s">
        <v>78</v>
      </c>
      <c r="AP494" s="31">
        <v>14.8</v>
      </c>
      <c r="AQ494" s="31">
        <v>14.8</v>
      </c>
    </row>
    <row r="495" spans="1:67" x14ac:dyDescent="0.2">
      <c r="A495" s="5"/>
      <c r="B495" s="25"/>
      <c r="C495" s="26"/>
      <c r="D495" s="5"/>
      <c r="E495" s="5"/>
      <c r="F495" s="32"/>
      <c r="G495" s="9"/>
      <c r="H495" s="6"/>
      <c r="I495" s="7"/>
      <c r="J495" s="9"/>
      <c r="N495" s="9"/>
      <c r="O495" s="12"/>
      <c r="P495" s="12"/>
      <c r="S495" s="9"/>
      <c r="T495" s="18"/>
      <c r="U495" s="18"/>
      <c r="Y495" s="9" t="e">
        <f t="shared" si="7"/>
        <v>#DIV/0!</v>
      </c>
      <c r="Z495" s="19"/>
      <c r="AC495" s="11"/>
      <c r="AD495" s="9"/>
      <c r="AE495" s="14"/>
      <c r="AF495" s="13"/>
      <c r="AO495" s="34" t="s">
        <v>79</v>
      </c>
      <c r="AP495" s="31">
        <v>9.3000000000000007</v>
      </c>
      <c r="AQ495" s="31">
        <v>9.3000000000000007</v>
      </c>
    </row>
    <row r="496" spans="1:67" x14ac:dyDescent="0.2">
      <c r="A496" s="5" t="s">
        <v>67</v>
      </c>
      <c r="B496" s="25">
        <v>43290</v>
      </c>
      <c r="C496" s="26">
        <v>0.64583333333333304</v>
      </c>
      <c r="D496" s="5" t="s">
        <v>222</v>
      </c>
      <c r="E496" s="5">
        <v>3</v>
      </c>
      <c r="F496" s="32">
        <v>55.5</v>
      </c>
      <c r="G496" s="9">
        <v>1</v>
      </c>
      <c r="H496" s="6">
        <v>1.8018018018018018E-2</v>
      </c>
      <c r="I496" s="7">
        <v>6.83E-2</v>
      </c>
      <c r="J496" s="9">
        <v>314.15899999999999</v>
      </c>
      <c r="K496" s="9">
        <v>0.8196</v>
      </c>
      <c r="L496" s="9">
        <v>12</v>
      </c>
      <c r="M496" s="14">
        <v>383.30771107857493</v>
      </c>
      <c r="N496" s="9">
        <v>1364</v>
      </c>
      <c r="O496" s="12" t="s">
        <v>88</v>
      </c>
      <c r="P496" s="12" t="s">
        <v>82</v>
      </c>
      <c r="Q496" s="9" t="s">
        <v>89</v>
      </c>
      <c r="R496" s="9" t="s">
        <v>90</v>
      </c>
      <c r="S496" s="9"/>
      <c r="T496" s="18">
        <v>2</v>
      </c>
      <c r="U496" s="18">
        <v>2</v>
      </c>
      <c r="V496" s="9">
        <v>10.199999999999999</v>
      </c>
      <c r="Y496" s="9">
        <f t="shared" si="7"/>
        <v>766.61542215714985</v>
      </c>
      <c r="Z496" s="19" t="s">
        <v>73</v>
      </c>
      <c r="AA496" s="8" t="s">
        <v>260</v>
      </c>
      <c r="AB496" s="8" t="s">
        <v>75</v>
      </c>
      <c r="AC496" s="11" t="s">
        <v>221</v>
      </c>
      <c r="AD496" s="9" t="s">
        <v>91</v>
      </c>
      <c r="AE496" s="14">
        <v>387.20515628666669</v>
      </c>
      <c r="AF496" s="13"/>
      <c r="AO496" s="34" t="s">
        <v>78</v>
      </c>
      <c r="AP496" s="31">
        <v>9.75</v>
      </c>
      <c r="AQ496" s="31">
        <v>10.199999999999999</v>
      </c>
      <c r="AR496" s="31">
        <v>9.3000000000000007</v>
      </c>
    </row>
    <row r="497" spans="1:67" x14ac:dyDescent="0.2">
      <c r="A497" s="5"/>
      <c r="B497" s="25"/>
      <c r="C497" s="26"/>
      <c r="D497" s="5"/>
      <c r="E497" s="5"/>
      <c r="F497" s="32"/>
      <c r="G497" s="9"/>
      <c r="H497" s="6"/>
      <c r="I497" s="7"/>
      <c r="J497" s="9"/>
      <c r="N497" s="9"/>
      <c r="O497" s="12"/>
      <c r="P497" s="12"/>
      <c r="S497" s="9"/>
      <c r="T497" s="18"/>
      <c r="U497" s="18"/>
      <c r="Y497" s="9" t="e">
        <f t="shared" si="7"/>
        <v>#DIV/0!</v>
      </c>
      <c r="Z497" s="19"/>
      <c r="AC497" s="11"/>
      <c r="AD497" s="9"/>
      <c r="AE497" s="14"/>
      <c r="AF497" s="13"/>
      <c r="AO497" s="34" t="s">
        <v>79</v>
      </c>
      <c r="AP497" s="31">
        <v>5.6</v>
      </c>
      <c r="AQ497" s="31">
        <v>5.6</v>
      </c>
      <c r="AR497" s="31">
        <v>5.6</v>
      </c>
    </row>
    <row r="498" spans="1:67" x14ac:dyDescent="0.2">
      <c r="A498" s="5" t="s">
        <v>67</v>
      </c>
      <c r="B498" s="25">
        <v>43290</v>
      </c>
      <c r="C498" s="26">
        <v>0.64583333333333304</v>
      </c>
      <c r="D498" s="5" t="s">
        <v>222</v>
      </c>
      <c r="E498" s="5">
        <v>3</v>
      </c>
      <c r="F498" s="32">
        <v>55.5</v>
      </c>
      <c r="G498" s="9">
        <v>1</v>
      </c>
      <c r="H498" s="6">
        <v>1.8018018018018018E-2</v>
      </c>
      <c r="I498" s="7">
        <v>6.83E-2</v>
      </c>
      <c r="J498" s="9">
        <v>314.15899999999999</v>
      </c>
      <c r="K498" s="9">
        <v>0.8196</v>
      </c>
      <c r="L498" s="9">
        <v>12</v>
      </c>
      <c r="M498" s="14">
        <v>383.30771107857493</v>
      </c>
      <c r="N498" s="9">
        <v>1419</v>
      </c>
      <c r="O498" s="12" t="s">
        <v>94</v>
      </c>
      <c r="P498" s="12" t="s">
        <v>82</v>
      </c>
      <c r="Q498" s="9" t="s">
        <v>95</v>
      </c>
      <c r="R498" s="9" t="s">
        <v>96</v>
      </c>
      <c r="S498" s="9"/>
      <c r="T498" s="18">
        <v>401</v>
      </c>
      <c r="U498" s="18">
        <v>807</v>
      </c>
      <c r="V498" s="9">
        <v>0.8</v>
      </c>
      <c r="W498" s="9">
        <v>0.8</v>
      </c>
      <c r="X498" s="9">
        <v>0.8</v>
      </c>
      <c r="Y498" s="9">
        <f t="shared" si="7"/>
        <v>153706.39214250853</v>
      </c>
      <c r="Z498" s="19" t="s">
        <v>97</v>
      </c>
      <c r="AA498" s="8" t="s">
        <v>260</v>
      </c>
      <c r="AB498" s="8" t="s">
        <v>75</v>
      </c>
      <c r="AC498" s="11" t="s">
        <v>221</v>
      </c>
      <c r="AD498" s="9" t="s">
        <v>85</v>
      </c>
      <c r="AE498" s="14">
        <v>0.18</v>
      </c>
      <c r="AF498" s="14">
        <v>0.18</v>
      </c>
      <c r="AG498" s="14">
        <v>0.18</v>
      </c>
      <c r="AH498" s="14">
        <v>0.18</v>
      </c>
      <c r="AI498" s="14">
        <v>0.18</v>
      </c>
      <c r="AJ498" s="14">
        <v>0.18</v>
      </c>
      <c r="AK498" s="14">
        <v>0.18</v>
      </c>
      <c r="AL498" s="14">
        <v>0.18</v>
      </c>
      <c r="AM498" s="14">
        <v>0.18</v>
      </c>
      <c r="AN498" s="14">
        <v>0.18</v>
      </c>
      <c r="AO498" s="35" t="s">
        <v>78</v>
      </c>
      <c r="AP498" s="31">
        <v>0.75200000000000033</v>
      </c>
      <c r="AQ498" s="31">
        <v>0.7</v>
      </c>
      <c r="AR498" s="31">
        <v>0.7</v>
      </c>
      <c r="AS498" s="31">
        <v>0.7</v>
      </c>
      <c r="AT498" s="31">
        <v>0.7</v>
      </c>
      <c r="AU498" s="31">
        <v>0.7</v>
      </c>
      <c r="AV498" s="31">
        <v>0.7</v>
      </c>
      <c r="AW498" s="31">
        <v>0.7</v>
      </c>
      <c r="AX498" s="31">
        <v>0.7</v>
      </c>
      <c r="AY498" s="31">
        <v>0.7</v>
      </c>
      <c r="AZ498" s="31">
        <v>0.7</v>
      </c>
      <c r="BA498" s="31">
        <v>0.7</v>
      </c>
      <c r="BB498" s="31">
        <v>0.7</v>
      </c>
      <c r="BC498" s="31">
        <v>0.8</v>
      </c>
      <c r="BD498" s="31">
        <v>0.8</v>
      </c>
      <c r="BE498" s="31">
        <v>0.8</v>
      </c>
      <c r="BF498" s="31">
        <v>0.8</v>
      </c>
      <c r="BG498" s="31">
        <v>0.8</v>
      </c>
      <c r="BH498" s="31">
        <v>0.8</v>
      </c>
      <c r="BI498" s="31">
        <v>0.8</v>
      </c>
      <c r="BJ498" s="31">
        <v>0.8</v>
      </c>
      <c r="BK498" s="31">
        <v>0.8</v>
      </c>
      <c r="BL498" s="31">
        <v>0.8</v>
      </c>
      <c r="BM498" s="31">
        <v>0.8</v>
      </c>
      <c r="BN498" s="31">
        <v>0.8</v>
      </c>
      <c r="BO498" s="31">
        <v>0.8</v>
      </c>
    </row>
    <row r="499" spans="1:67" x14ac:dyDescent="0.2">
      <c r="A499" s="5" t="s">
        <v>67</v>
      </c>
      <c r="B499" s="25">
        <v>43290</v>
      </c>
      <c r="C499" s="26">
        <v>0.64583333333333304</v>
      </c>
      <c r="D499" s="5" t="s">
        <v>222</v>
      </c>
      <c r="E499" s="5">
        <v>3</v>
      </c>
      <c r="F499" s="32">
        <v>55.5</v>
      </c>
      <c r="G499" s="9">
        <v>1</v>
      </c>
      <c r="H499" s="6">
        <v>1.8018018018018018E-2</v>
      </c>
      <c r="I499" s="7">
        <v>6.83E-2</v>
      </c>
      <c r="J499" s="9">
        <v>314.15899999999999</v>
      </c>
      <c r="K499" s="9">
        <v>0.8196</v>
      </c>
      <c r="L499" s="9">
        <v>12</v>
      </c>
      <c r="M499" s="14">
        <v>383.30771107857493</v>
      </c>
      <c r="N499" s="9">
        <v>1421</v>
      </c>
      <c r="O499" s="12" t="s">
        <v>130</v>
      </c>
      <c r="P499" s="12" t="s">
        <v>82</v>
      </c>
      <c r="Q499" s="9" t="s">
        <v>95</v>
      </c>
      <c r="R499" s="9" t="s">
        <v>131</v>
      </c>
      <c r="S499" s="9"/>
      <c r="T499" s="18">
        <v>1</v>
      </c>
      <c r="U499" s="18">
        <v>1</v>
      </c>
      <c r="V499" s="9">
        <v>5.6</v>
      </c>
      <c r="Y499" s="9">
        <f t="shared" si="7"/>
        <v>383.30771107857493</v>
      </c>
      <c r="Z499" s="19" t="s">
        <v>73</v>
      </c>
      <c r="AA499" s="8" t="s">
        <v>260</v>
      </c>
      <c r="AB499" s="8" t="s">
        <v>75</v>
      </c>
      <c r="AC499" s="11" t="s">
        <v>221</v>
      </c>
      <c r="AD499" s="9" t="s">
        <v>85</v>
      </c>
      <c r="AE499" s="14">
        <v>91.952244906666635</v>
      </c>
      <c r="AF499" s="13"/>
      <c r="AO499" s="34" t="s">
        <v>78</v>
      </c>
      <c r="AP499" s="31">
        <v>5.6</v>
      </c>
      <c r="AQ499" s="31">
        <v>5.6</v>
      </c>
    </row>
    <row r="500" spans="1:67" x14ac:dyDescent="0.2">
      <c r="A500" s="5" t="s">
        <v>67</v>
      </c>
      <c r="B500" s="25">
        <v>43290</v>
      </c>
      <c r="C500" s="26">
        <v>0.64583333333333304</v>
      </c>
      <c r="D500" s="5" t="s">
        <v>222</v>
      </c>
      <c r="E500" s="5">
        <v>3</v>
      </c>
      <c r="F500" s="32">
        <v>55.5</v>
      </c>
      <c r="G500" s="9">
        <v>1</v>
      </c>
      <c r="H500" s="6">
        <v>1.8018018018018018E-2</v>
      </c>
      <c r="I500" s="7">
        <v>6.83E-2</v>
      </c>
      <c r="J500" s="9">
        <v>314.15899999999999</v>
      </c>
      <c r="K500" s="9">
        <v>0.8196</v>
      </c>
      <c r="L500" s="9">
        <v>12</v>
      </c>
      <c r="M500" s="14">
        <v>383.30771107857493</v>
      </c>
      <c r="N500" s="9">
        <v>1423</v>
      </c>
      <c r="O500" s="12" t="s">
        <v>163</v>
      </c>
      <c r="P500" s="12" t="s">
        <v>82</v>
      </c>
      <c r="Q500" s="9" t="s">
        <v>95</v>
      </c>
      <c r="R500" s="9" t="s">
        <v>84</v>
      </c>
      <c r="S500" s="9"/>
      <c r="T500" s="18">
        <v>1</v>
      </c>
      <c r="U500" s="18">
        <v>3</v>
      </c>
      <c r="V500" s="9">
        <v>2.8</v>
      </c>
      <c r="Y500" s="9">
        <f t="shared" si="7"/>
        <v>383.30771107857493</v>
      </c>
      <c r="Z500" s="19" t="s">
        <v>97</v>
      </c>
      <c r="AA500" s="8" t="s">
        <v>260</v>
      </c>
      <c r="AB500" s="8" t="s">
        <v>75</v>
      </c>
      <c r="AC500" s="11" t="s">
        <v>221</v>
      </c>
      <c r="AD500" s="9" t="s">
        <v>85</v>
      </c>
      <c r="AE500" s="14">
        <v>11.494030613333329</v>
      </c>
      <c r="AF500" s="13"/>
      <c r="AO500" s="34" t="s">
        <v>78</v>
      </c>
      <c r="AP500" s="31">
        <v>2.7999999999999994</v>
      </c>
      <c r="AQ500" s="31">
        <v>2.8</v>
      </c>
      <c r="AR500" s="31">
        <v>2.8</v>
      </c>
      <c r="AS500" s="31">
        <v>2.8</v>
      </c>
    </row>
    <row r="501" spans="1:67" x14ac:dyDescent="0.2">
      <c r="A501" s="5" t="s">
        <v>67</v>
      </c>
      <c r="B501" s="25">
        <v>43390</v>
      </c>
      <c r="C501" s="26">
        <v>0.59027777777777801</v>
      </c>
      <c r="D501" s="5" t="s">
        <v>200</v>
      </c>
      <c r="E501" s="5">
        <v>3</v>
      </c>
      <c r="F501" s="32">
        <v>62</v>
      </c>
      <c r="G501" s="9">
        <v>2</v>
      </c>
      <c r="H501" s="6">
        <v>3.2258064516129031E-2</v>
      </c>
      <c r="I501" s="7">
        <v>6.83E-2</v>
      </c>
      <c r="J501" s="9">
        <v>314.15899999999999</v>
      </c>
      <c r="K501" s="9">
        <v>0.68300000000000005</v>
      </c>
      <c r="L501" s="9">
        <v>10</v>
      </c>
      <c r="M501" s="14">
        <v>229.98462664714492</v>
      </c>
      <c r="N501" s="9">
        <v>749</v>
      </c>
      <c r="O501" s="12" t="s">
        <v>261</v>
      </c>
      <c r="P501" s="8" t="s">
        <v>70</v>
      </c>
      <c r="Q501" s="9" t="s">
        <v>191</v>
      </c>
      <c r="R501" s="9" t="s">
        <v>84</v>
      </c>
      <c r="S501" s="9"/>
      <c r="T501" s="18">
        <v>3</v>
      </c>
      <c r="U501" s="18">
        <v>3</v>
      </c>
      <c r="V501" s="9">
        <v>16.7</v>
      </c>
      <c r="Y501" s="9">
        <f t="shared" si="7"/>
        <v>689.95387994143482</v>
      </c>
      <c r="Z501" s="19" t="s">
        <v>73</v>
      </c>
      <c r="AA501" s="8" t="s">
        <v>262</v>
      </c>
      <c r="AB501" s="8" t="s">
        <v>75</v>
      </c>
      <c r="AC501" s="11" t="s">
        <v>76</v>
      </c>
      <c r="AD501" s="9" t="s">
        <v>193</v>
      </c>
      <c r="AE501" s="14">
        <v>80.289999999999992</v>
      </c>
      <c r="AF501" s="13"/>
      <c r="AO501" s="34" t="s">
        <v>78</v>
      </c>
      <c r="AP501" s="31">
        <v>15.466666666666667</v>
      </c>
      <c r="AQ501" s="31">
        <v>13</v>
      </c>
      <c r="AR501" s="31">
        <v>16.7</v>
      </c>
      <c r="AS501" s="31">
        <v>16.7</v>
      </c>
    </row>
    <row r="502" spans="1:67" x14ac:dyDescent="0.2">
      <c r="A502" s="5"/>
      <c r="B502" s="25"/>
      <c r="C502" s="26"/>
      <c r="D502" s="5"/>
      <c r="E502" s="5"/>
      <c r="F502" s="32"/>
      <c r="G502" s="9"/>
      <c r="H502" s="6"/>
      <c r="I502" s="7"/>
      <c r="J502" s="9"/>
      <c r="N502" s="9"/>
      <c r="O502" s="12"/>
      <c r="S502" s="9"/>
      <c r="T502" s="18"/>
      <c r="U502" s="18"/>
      <c r="Y502" s="9" t="e">
        <f t="shared" si="7"/>
        <v>#DIV/0!</v>
      </c>
      <c r="Z502" s="19"/>
      <c r="AC502" s="11"/>
      <c r="AD502" s="9"/>
      <c r="AE502" s="14"/>
      <c r="AF502" s="13"/>
      <c r="AO502" s="34" t="s">
        <v>79</v>
      </c>
      <c r="AP502" s="31">
        <v>3.7000000000000006</v>
      </c>
      <c r="AQ502" s="31">
        <v>3.7</v>
      </c>
      <c r="AR502" s="31">
        <v>3.7</v>
      </c>
      <c r="AS502" s="31">
        <v>3.7</v>
      </c>
    </row>
    <row r="503" spans="1:67" x14ac:dyDescent="0.2">
      <c r="A503" s="5"/>
      <c r="B503" s="25"/>
      <c r="C503" s="26"/>
      <c r="D503" s="5"/>
      <c r="E503" s="5"/>
      <c r="F503" s="32"/>
      <c r="G503" s="9"/>
      <c r="H503" s="6"/>
      <c r="I503" s="7"/>
      <c r="J503" s="9"/>
      <c r="N503" s="9"/>
      <c r="O503" s="12"/>
      <c r="S503" s="9"/>
      <c r="T503" s="18"/>
      <c r="U503" s="18"/>
      <c r="Y503" s="9" t="e">
        <f t="shared" si="7"/>
        <v>#DIV/0!</v>
      </c>
      <c r="Z503" s="19"/>
      <c r="AC503" s="11"/>
      <c r="AD503" s="9"/>
      <c r="AE503" s="14"/>
      <c r="AF503" s="13"/>
      <c r="AO503" s="34" t="s">
        <v>80</v>
      </c>
      <c r="AP503" s="31">
        <v>2.7999999999999994</v>
      </c>
      <c r="AQ503" s="31">
        <v>2.8</v>
      </c>
      <c r="AR503" s="31">
        <v>2.8</v>
      </c>
      <c r="AS503" s="31">
        <v>2.8</v>
      </c>
    </row>
    <row r="504" spans="1:67" x14ac:dyDescent="0.2">
      <c r="A504" s="5" t="s">
        <v>67</v>
      </c>
      <c r="B504" s="25">
        <v>43390</v>
      </c>
      <c r="C504" s="26">
        <v>0.59027777777777801</v>
      </c>
      <c r="D504" s="5" t="s">
        <v>200</v>
      </c>
      <c r="E504" s="5">
        <v>3</v>
      </c>
      <c r="F504" s="32">
        <v>62</v>
      </c>
      <c r="G504" s="9">
        <v>2</v>
      </c>
      <c r="H504" s="6">
        <v>3.2258064516129031E-2</v>
      </c>
      <c r="I504" s="7">
        <v>6.83E-2</v>
      </c>
      <c r="J504" s="9">
        <v>314.15899999999999</v>
      </c>
      <c r="K504" s="9">
        <v>0.68300000000000005</v>
      </c>
      <c r="L504" s="9">
        <v>10</v>
      </c>
      <c r="M504" s="14">
        <v>229.98462664714492</v>
      </c>
      <c r="N504" s="9">
        <v>1037</v>
      </c>
      <c r="O504" s="12" t="s">
        <v>86</v>
      </c>
      <c r="P504" s="12" t="s">
        <v>82</v>
      </c>
      <c r="Q504" s="9" t="s">
        <v>87</v>
      </c>
      <c r="R504" s="9" t="s">
        <v>84</v>
      </c>
      <c r="S504" s="9"/>
      <c r="T504" s="18">
        <v>5</v>
      </c>
      <c r="U504" s="18">
        <v>5</v>
      </c>
      <c r="V504" s="9">
        <v>2.8</v>
      </c>
      <c r="Y504" s="9">
        <f t="shared" si="7"/>
        <v>1149.9231332357247</v>
      </c>
      <c r="Z504" s="19" t="s">
        <v>73</v>
      </c>
      <c r="AA504" s="8" t="s">
        <v>262</v>
      </c>
      <c r="AB504" s="8" t="s">
        <v>75</v>
      </c>
      <c r="AC504" s="11" t="s">
        <v>76</v>
      </c>
      <c r="AD504" s="9" t="s">
        <v>85</v>
      </c>
      <c r="AE504" s="14">
        <v>7.2382233599999992</v>
      </c>
      <c r="AF504" s="13"/>
      <c r="AO504" s="34" t="s">
        <v>78</v>
      </c>
      <c r="AP504" s="31">
        <v>2.44</v>
      </c>
      <c r="AQ504" s="31">
        <v>2.8</v>
      </c>
      <c r="AR504" s="31">
        <v>1.9</v>
      </c>
      <c r="AS504" s="31">
        <v>1.9</v>
      </c>
      <c r="AT504" s="31">
        <v>2.8</v>
      </c>
      <c r="AU504" s="31">
        <v>2.8</v>
      </c>
    </row>
    <row r="505" spans="1:67" x14ac:dyDescent="0.2">
      <c r="A505" s="5" t="s">
        <v>67</v>
      </c>
      <c r="B505" s="25">
        <v>43390</v>
      </c>
      <c r="C505" s="26">
        <v>0.59027777777777801</v>
      </c>
      <c r="D505" s="5" t="s">
        <v>200</v>
      </c>
      <c r="E505" s="5">
        <v>3</v>
      </c>
      <c r="F505" s="32">
        <v>62</v>
      </c>
      <c r="G505" s="9">
        <v>2</v>
      </c>
      <c r="H505" s="6">
        <v>3.2258064516129031E-2</v>
      </c>
      <c r="I505" s="7">
        <v>6.83E-2</v>
      </c>
      <c r="J505" s="9">
        <v>314.15899999999999</v>
      </c>
      <c r="K505" s="9">
        <v>0.68300000000000005</v>
      </c>
      <c r="L505" s="9">
        <v>10</v>
      </c>
      <c r="M505" s="14">
        <v>229.98462664714492</v>
      </c>
      <c r="N505" s="9">
        <v>1365</v>
      </c>
      <c r="O505" s="12" t="s">
        <v>121</v>
      </c>
      <c r="P505" s="12" t="s">
        <v>82</v>
      </c>
      <c r="Q505" s="9" t="s">
        <v>122</v>
      </c>
      <c r="R505" s="9" t="s">
        <v>123</v>
      </c>
      <c r="S505" s="9"/>
      <c r="T505" s="18">
        <v>2</v>
      </c>
      <c r="U505" s="18">
        <v>2</v>
      </c>
      <c r="V505" s="9">
        <v>11.1</v>
      </c>
      <c r="Y505" s="9">
        <f t="shared" si="7"/>
        <v>459.96925329428984</v>
      </c>
      <c r="Z505" s="19" t="s">
        <v>73</v>
      </c>
      <c r="AA505" s="8" t="s">
        <v>262</v>
      </c>
      <c r="AB505" s="8" t="s">
        <v>75</v>
      </c>
      <c r="AC505" s="11" t="s">
        <v>76</v>
      </c>
      <c r="AD505" s="9" t="s">
        <v>91</v>
      </c>
      <c r="AE505" s="14">
        <v>596.74109351249979</v>
      </c>
      <c r="AF505" s="13"/>
      <c r="AO505" s="34" t="s">
        <v>78</v>
      </c>
      <c r="AP505" s="31">
        <v>11.1</v>
      </c>
      <c r="AQ505" s="31">
        <v>11.1</v>
      </c>
      <c r="AR505" s="31">
        <v>11.1</v>
      </c>
    </row>
    <row r="506" spans="1:67" x14ac:dyDescent="0.2">
      <c r="A506" s="5"/>
      <c r="B506" s="25"/>
      <c r="C506" s="26"/>
      <c r="D506" s="5"/>
      <c r="E506" s="5"/>
      <c r="F506" s="32"/>
      <c r="G506" s="9"/>
      <c r="H506" s="6"/>
      <c r="I506" s="7"/>
      <c r="J506" s="9"/>
      <c r="N506" s="9"/>
      <c r="O506" s="12"/>
      <c r="P506" s="12"/>
      <c r="S506" s="9"/>
      <c r="T506" s="18"/>
      <c r="U506" s="18"/>
      <c r="Y506" s="9" t="e">
        <f t="shared" si="7"/>
        <v>#DIV/0!</v>
      </c>
      <c r="Z506" s="19"/>
      <c r="AC506" s="11"/>
      <c r="AD506" s="9"/>
      <c r="AE506" s="14"/>
      <c r="AF506" s="13"/>
      <c r="AO506" s="34" t="s">
        <v>79</v>
      </c>
      <c r="AP506" s="31">
        <v>7.4</v>
      </c>
      <c r="AQ506" s="31">
        <v>7.4</v>
      </c>
      <c r="AR506" s="31">
        <v>7.4</v>
      </c>
    </row>
    <row r="507" spans="1:67" x14ac:dyDescent="0.2">
      <c r="A507" s="5" t="s">
        <v>67</v>
      </c>
      <c r="B507" s="25">
        <v>43390</v>
      </c>
      <c r="C507" s="26">
        <v>0.59027777777777801</v>
      </c>
      <c r="D507" s="5" t="s">
        <v>200</v>
      </c>
      <c r="E507" s="5">
        <v>3</v>
      </c>
      <c r="F507" s="32">
        <v>62</v>
      </c>
      <c r="G507" s="9">
        <v>2</v>
      </c>
      <c r="H507" s="6">
        <v>3.2258064516129031E-2</v>
      </c>
      <c r="I507" s="7">
        <v>6.83E-2</v>
      </c>
      <c r="J507" s="9">
        <v>314.15899999999999</v>
      </c>
      <c r="K507" s="9">
        <v>0.68300000000000005</v>
      </c>
      <c r="L507" s="9">
        <v>10</v>
      </c>
      <c r="M507" s="14">
        <v>229.98462664714492</v>
      </c>
      <c r="N507" s="9">
        <v>1419</v>
      </c>
      <c r="O507" s="12" t="s">
        <v>94</v>
      </c>
      <c r="P507" s="12" t="s">
        <v>82</v>
      </c>
      <c r="Q507" s="9" t="s">
        <v>95</v>
      </c>
      <c r="R507" s="9" t="s">
        <v>96</v>
      </c>
      <c r="S507" s="9"/>
      <c r="T507" s="18">
        <v>401</v>
      </c>
      <c r="U507" s="18">
        <v>811</v>
      </c>
      <c r="V507" s="9">
        <v>0.8</v>
      </c>
      <c r="W507" s="9">
        <v>0.8</v>
      </c>
      <c r="X507" s="9">
        <v>0.8</v>
      </c>
      <c r="Y507" s="9">
        <f t="shared" si="7"/>
        <v>92223.835285505105</v>
      </c>
      <c r="Z507" s="19" t="s">
        <v>97</v>
      </c>
      <c r="AA507" s="8" t="s">
        <v>262</v>
      </c>
      <c r="AB507" s="8" t="s">
        <v>75</v>
      </c>
      <c r="AC507" s="11" t="s">
        <v>76</v>
      </c>
      <c r="AD507" s="9" t="s">
        <v>85</v>
      </c>
      <c r="AE507" s="14">
        <v>0.18</v>
      </c>
      <c r="AF507" s="14">
        <v>0.18</v>
      </c>
      <c r="AG507" s="14">
        <v>0.18</v>
      </c>
      <c r="AH507" s="14">
        <v>0.18</v>
      </c>
      <c r="AI507" s="14">
        <v>0.18</v>
      </c>
      <c r="AJ507" s="14">
        <v>0.18</v>
      </c>
      <c r="AK507" s="14">
        <v>0.18</v>
      </c>
      <c r="AL507" s="14">
        <v>0.18</v>
      </c>
      <c r="AM507" s="14">
        <v>0.18</v>
      </c>
      <c r="AN507" s="14">
        <v>0.18</v>
      </c>
      <c r="AO507" s="35" t="s">
        <v>78</v>
      </c>
      <c r="AP507" s="31">
        <v>0.75200000000000033</v>
      </c>
      <c r="AQ507" s="31">
        <v>0.7</v>
      </c>
      <c r="AR507" s="31">
        <v>0.7</v>
      </c>
      <c r="AS507" s="31">
        <v>0.7</v>
      </c>
      <c r="AT507" s="31">
        <v>0.7</v>
      </c>
      <c r="AU507" s="31">
        <v>0.7</v>
      </c>
      <c r="AV507" s="31">
        <v>0.7</v>
      </c>
      <c r="AW507" s="31">
        <v>0.7</v>
      </c>
      <c r="AX507" s="31">
        <v>0.7</v>
      </c>
      <c r="AY507" s="31">
        <v>0.7</v>
      </c>
      <c r="AZ507" s="31">
        <v>0.7</v>
      </c>
      <c r="BA507" s="31">
        <v>0.7</v>
      </c>
      <c r="BB507" s="31">
        <v>0.7</v>
      </c>
      <c r="BC507" s="31">
        <v>0.8</v>
      </c>
      <c r="BD507" s="31">
        <v>0.8</v>
      </c>
      <c r="BE507" s="31">
        <v>0.8</v>
      </c>
      <c r="BF507" s="31">
        <v>0.8</v>
      </c>
      <c r="BG507" s="31">
        <v>0.8</v>
      </c>
      <c r="BH507" s="31">
        <v>0.8</v>
      </c>
      <c r="BI507" s="31">
        <v>0.8</v>
      </c>
      <c r="BJ507" s="31">
        <v>0.8</v>
      </c>
      <c r="BK507" s="31">
        <v>0.8</v>
      </c>
      <c r="BL507" s="31">
        <v>0.8</v>
      </c>
      <c r="BM507" s="31">
        <v>0.8</v>
      </c>
      <c r="BN507" s="31">
        <v>0.8</v>
      </c>
      <c r="BO507" s="31">
        <v>0.8</v>
      </c>
    </row>
    <row r="508" spans="1:67" x14ac:dyDescent="0.2">
      <c r="A508" s="5" t="s">
        <v>67</v>
      </c>
      <c r="B508" s="25">
        <v>43390</v>
      </c>
      <c r="C508" s="26">
        <v>0.59027777777777801</v>
      </c>
      <c r="D508" s="5" t="s">
        <v>200</v>
      </c>
      <c r="E508" s="5">
        <v>3</v>
      </c>
      <c r="F508" s="32">
        <v>62</v>
      </c>
      <c r="G508" s="9">
        <v>2</v>
      </c>
      <c r="H508" s="6">
        <v>3.2258064516129031E-2</v>
      </c>
      <c r="I508" s="7">
        <v>6.83E-2</v>
      </c>
      <c r="J508" s="9">
        <v>314.15899999999999</v>
      </c>
      <c r="K508" s="9">
        <v>0.68300000000000005</v>
      </c>
      <c r="L508" s="9">
        <v>10</v>
      </c>
      <c r="M508" s="14">
        <v>229.98462664714492</v>
      </c>
      <c r="N508" s="9">
        <v>1526</v>
      </c>
      <c r="O508" s="8" t="s">
        <v>156</v>
      </c>
      <c r="P508" s="12" t="s">
        <v>82</v>
      </c>
      <c r="Q508" s="9" t="s">
        <v>157</v>
      </c>
      <c r="R508" s="9" t="s">
        <v>84</v>
      </c>
      <c r="S508" s="9"/>
      <c r="T508" s="18">
        <v>1</v>
      </c>
      <c r="U508" s="18">
        <v>2</v>
      </c>
      <c r="V508" s="9">
        <v>2.8</v>
      </c>
      <c r="Y508" s="9">
        <f t="shared" si="7"/>
        <v>229.98462664714492</v>
      </c>
      <c r="Z508" s="19" t="s">
        <v>97</v>
      </c>
      <c r="AA508" s="8" t="s">
        <v>262</v>
      </c>
      <c r="AB508" s="8" t="s">
        <v>75</v>
      </c>
      <c r="AC508" s="11" t="s">
        <v>76</v>
      </c>
      <c r="AD508" s="9" t="s">
        <v>85</v>
      </c>
      <c r="AE508" s="14">
        <v>11.494030613333329</v>
      </c>
      <c r="AF508" s="13"/>
      <c r="AO508" s="34" t="s">
        <v>78</v>
      </c>
      <c r="AP508" s="31">
        <v>2.8</v>
      </c>
      <c r="AQ508" s="31">
        <v>2.8</v>
      </c>
      <c r="AR508" s="31">
        <v>2.8</v>
      </c>
    </row>
    <row r="509" spans="1:67" x14ac:dyDescent="0.2">
      <c r="A509" s="5" t="s">
        <v>67</v>
      </c>
      <c r="B509" s="25">
        <v>43227</v>
      </c>
      <c r="C509" s="26">
        <v>0.43055555555555602</v>
      </c>
      <c r="D509" s="5" t="s">
        <v>141</v>
      </c>
      <c r="E509" s="5"/>
      <c r="F509" s="32">
        <v>59</v>
      </c>
      <c r="G509" s="9">
        <v>2</v>
      </c>
      <c r="H509" s="6">
        <v>3.3898305084745763E-2</v>
      </c>
      <c r="I509" s="7">
        <v>6.83E-2</v>
      </c>
      <c r="J509" s="9">
        <v>314.15899999999999</v>
      </c>
      <c r="K509" s="9">
        <v>0.5464</v>
      </c>
      <c r="L509" s="9">
        <v>8</v>
      </c>
      <c r="M509" s="14">
        <v>287.48078330893117</v>
      </c>
      <c r="N509" s="9">
        <v>145</v>
      </c>
      <c r="O509" s="12" t="s">
        <v>69</v>
      </c>
      <c r="P509" s="8" t="s">
        <v>70</v>
      </c>
      <c r="Q509" s="9" t="s">
        <v>71</v>
      </c>
      <c r="R509" s="9" t="s">
        <v>72</v>
      </c>
      <c r="S509" s="9"/>
      <c r="T509" s="18">
        <v>1</v>
      </c>
      <c r="U509" s="18">
        <v>1</v>
      </c>
      <c r="V509" s="9">
        <v>13</v>
      </c>
      <c r="Y509" s="9">
        <f t="shared" si="7"/>
        <v>287.48078330893117</v>
      </c>
      <c r="Z509" s="19" t="s">
        <v>73</v>
      </c>
      <c r="AA509" s="8" t="s">
        <v>263</v>
      </c>
      <c r="AB509" s="8" t="s">
        <v>75</v>
      </c>
      <c r="AC509" s="11" t="s">
        <v>264</v>
      </c>
      <c r="AD509" s="9" t="s">
        <v>77</v>
      </c>
      <c r="AE509" s="14">
        <v>317.33200589999996</v>
      </c>
      <c r="AF509" s="13"/>
      <c r="AO509" s="34" t="s">
        <v>78</v>
      </c>
      <c r="AP509" s="31">
        <v>13</v>
      </c>
      <c r="AQ509" s="31">
        <v>13</v>
      </c>
    </row>
    <row r="510" spans="1:67" x14ac:dyDescent="0.2">
      <c r="A510" s="5"/>
      <c r="B510" s="25"/>
      <c r="C510" s="26"/>
      <c r="D510" s="5"/>
      <c r="E510" s="5"/>
      <c r="F510" s="32"/>
      <c r="G510" s="9"/>
      <c r="H510" s="6"/>
      <c r="I510" s="7"/>
      <c r="J510" s="9"/>
      <c r="N510" s="9"/>
      <c r="O510" s="12"/>
      <c r="S510" s="9"/>
      <c r="T510" s="18"/>
      <c r="U510" s="18"/>
      <c r="Y510" s="9" t="e">
        <f t="shared" si="7"/>
        <v>#DIV/0!</v>
      </c>
      <c r="Z510" s="19"/>
      <c r="AC510" s="11"/>
      <c r="AD510" s="9"/>
      <c r="AE510" s="14"/>
      <c r="AF510" s="13"/>
      <c r="AO510" s="34" t="s">
        <v>79</v>
      </c>
      <c r="AP510" s="31">
        <v>11.1</v>
      </c>
      <c r="AQ510" s="31">
        <v>11.1</v>
      </c>
    </row>
    <row r="511" spans="1:67" x14ac:dyDescent="0.2">
      <c r="A511" s="5"/>
      <c r="B511" s="25"/>
      <c r="C511" s="26"/>
      <c r="D511" s="5"/>
      <c r="E511" s="5"/>
      <c r="F511" s="32"/>
      <c r="G511" s="9"/>
      <c r="H511" s="6"/>
      <c r="I511" s="7"/>
      <c r="J511" s="9"/>
      <c r="N511" s="9"/>
      <c r="O511" s="12"/>
      <c r="S511" s="9"/>
      <c r="T511" s="18"/>
      <c r="U511" s="18"/>
      <c r="Y511" s="9" t="e">
        <f t="shared" si="7"/>
        <v>#DIV/0!</v>
      </c>
      <c r="Z511" s="19"/>
      <c r="AC511" s="11"/>
      <c r="AD511" s="9"/>
      <c r="AE511" s="14"/>
      <c r="AF511" s="13"/>
      <c r="AO511" s="34" t="s">
        <v>80</v>
      </c>
      <c r="AP511" s="31">
        <v>2.8</v>
      </c>
      <c r="AQ511" s="31">
        <v>2.8</v>
      </c>
    </row>
    <row r="512" spans="1:67" x14ac:dyDescent="0.2">
      <c r="A512" s="5" t="s">
        <v>67</v>
      </c>
      <c r="B512" s="25">
        <v>43227</v>
      </c>
      <c r="C512" s="26">
        <v>0.43055555555555602</v>
      </c>
      <c r="D512" s="5" t="s">
        <v>141</v>
      </c>
      <c r="E512" s="5"/>
      <c r="F512" s="32">
        <v>59</v>
      </c>
      <c r="G512" s="9">
        <v>2</v>
      </c>
      <c r="H512" s="6">
        <v>3.3898305084745763E-2</v>
      </c>
      <c r="I512" s="7">
        <v>6.83E-2</v>
      </c>
      <c r="J512" s="9">
        <v>314.15899999999999</v>
      </c>
      <c r="K512" s="9">
        <v>0.5464</v>
      </c>
      <c r="L512" s="9">
        <v>8</v>
      </c>
      <c r="M512" s="14">
        <v>287.48078330893117</v>
      </c>
      <c r="N512" s="9">
        <v>1037</v>
      </c>
      <c r="O512" s="12" t="s">
        <v>86</v>
      </c>
      <c r="P512" s="12" t="s">
        <v>82</v>
      </c>
      <c r="Q512" s="9" t="s">
        <v>87</v>
      </c>
      <c r="R512" s="9" t="s">
        <v>84</v>
      </c>
      <c r="S512" s="9"/>
      <c r="T512" s="18">
        <v>2</v>
      </c>
      <c r="U512" s="18">
        <v>2</v>
      </c>
      <c r="V512" s="9">
        <v>2.8</v>
      </c>
      <c r="Y512" s="9">
        <f t="shared" si="7"/>
        <v>574.96156661786233</v>
      </c>
      <c r="Z512" s="19" t="s">
        <v>73</v>
      </c>
      <c r="AA512" s="8" t="s">
        <v>263</v>
      </c>
      <c r="AB512" s="8" t="s">
        <v>75</v>
      </c>
      <c r="AC512" s="11" t="s">
        <v>221</v>
      </c>
      <c r="AD512" s="9" t="s">
        <v>85</v>
      </c>
      <c r="AE512" s="14">
        <v>7.2382233599999992</v>
      </c>
      <c r="AF512" s="13"/>
      <c r="AO512" s="34" t="s">
        <v>78</v>
      </c>
      <c r="AP512" s="31">
        <v>2.3499999999999996</v>
      </c>
      <c r="AQ512" s="31">
        <v>2.8</v>
      </c>
      <c r="AR512" s="31">
        <v>1.9</v>
      </c>
    </row>
    <row r="513" spans="1:67" x14ac:dyDescent="0.2">
      <c r="A513" s="5" t="s">
        <v>67</v>
      </c>
      <c r="B513" s="25">
        <v>43227</v>
      </c>
      <c r="C513" s="26">
        <v>0.43055555555555602</v>
      </c>
      <c r="D513" s="5" t="s">
        <v>141</v>
      </c>
      <c r="E513" s="5"/>
      <c r="F513" s="32">
        <v>59</v>
      </c>
      <c r="G513" s="9">
        <v>2</v>
      </c>
      <c r="H513" s="6">
        <v>3.3898305084745763E-2</v>
      </c>
      <c r="I513" s="7">
        <v>6.83E-2</v>
      </c>
      <c r="J513" s="9">
        <v>314.15899999999999</v>
      </c>
      <c r="K513" s="9">
        <v>0.5464</v>
      </c>
      <c r="L513" s="9">
        <v>8</v>
      </c>
      <c r="M513" s="14">
        <v>287.48078330893117</v>
      </c>
      <c r="N513" s="9">
        <v>1324</v>
      </c>
      <c r="O513" s="12" t="s">
        <v>232</v>
      </c>
      <c r="P513" s="12" t="s">
        <v>82</v>
      </c>
      <c r="Q513" s="9" t="s">
        <v>233</v>
      </c>
      <c r="R513" s="9" t="s">
        <v>84</v>
      </c>
      <c r="S513" s="9"/>
      <c r="T513" s="18">
        <v>1</v>
      </c>
      <c r="U513" s="18">
        <v>1</v>
      </c>
      <c r="V513" s="9">
        <v>7.4</v>
      </c>
      <c r="Y513" s="9">
        <f t="shared" si="7"/>
        <v>287.48078330893117</v>
      </c>
      <c r="Z513" s="19" t="s">
        <v>73</v>
      </c>
      <c r="AA513" s="8" t="s">
        <v>263</v>
      </c>
      <c r="AB513" s="8" t="s">
        <v>75</v>
      </c>
      <c r="AC513" s="11" t="s">
        <v>221</v>
      </c>
      <c r="AD513" s="9" t="s">
        <v>91</v>
      </c>
      <c r="AE513" s="14">
        <v>199.27210089666667</v>
      </c>
      <c r="AF513" s="13"/>
      <c r="AO513" s="34" t="s">
        <v>78</v>
      </c>
      <c r="AP513" s="31">
        <v>7.4</v>
      </c>
      <c r="AQ513" s="31">
        <v>7.4</v>
      </c>
    </row>
    <row r="514" spans="1:67" x14ac:dyDescent="0.2">
      <c r="A514" s="5"/>
      <c r="B514" s="25"/>
      <c r="C514" s="26"/>
      <c r="D514" s="5"/>
      <c r="E514" s="5"/>
      <c r="F514" s="32"/>
      <c r="G514" s="9"/>
      <c r="H514" s="6"/>
      <c r="I514" s="7"/>
      <c r="J514" s="9"/>
      <c r="N514" s="9"/>
      <c r="O514" s="12"/>
      <c r="P514" s="12"/>
      <c r="S514" s="9"/>
      <c r="T514" s="18"/>
      <c r="U514" s="18"/>
      <c r="Y514" s="9" t="e">
        <f t="shared" si="7"/>
        <v>#DIV/0!</v>
      </c>
      <c r="Z514" s="19"/>
      <c r="AC514" s="11"/>
      <c r="AD514" s="9"/>
      <c r="AE514" s="14"/>
      <c r="AF514" s="13"/>
      <c r="AO514" s="34" t="s">
        <v>79</v>
      </c>
      <c r="AP514" s="31">
        <v>6.5</v>
      </c>
      <c r="AQ514" s="31">
        <v>6.5</v>
      </c>
    </row>
    <row r="515" spans="1:67" x14ac:dyDescent="0.2">
      <c r="A515" s="5"/>
      <c r="B515" s="25"/>
      <c r="C515" s="26"/>
      <c r="D515" s="5"/>
      <c r="E515" s="5"/>
      <c r="F515" s="32"/>
      <c r="G515" s="9"/>
      <c r="H515" s="6"/>
      <c r="I515" s="7"/>
      <c r="J515" s="9"/>
      <c r="N515" s="9"/>
      <c r="O515" s="12"/>
      <c r="P515" s="12"/>
      <c r="S515" s="9"/>
      <c r="T515" s="18"/>
      <c r="U515" s="18"/>
      <c r="Y515" s="9" t="e">
        <f t="shared" ref="Y515:Y578" si="8">(T515*J515)/(G515*I515*L515)</f>
        <v>#DIV/0!</v>
      </c>
      <c r="Z515" s="19"/>
      <c r="AC515" s="11"/>
      <c r="AD515" s="9"/>
      <c r="AE515" s="14"/>
      <c r="AF515" s="13"/>
      <c r="AO515" s="34" t="s">
        <v>80</v>
      </c>
      <c r="AP515" s="31">
        <v>5.6</v>
      </c>
      <c r="AQ515" s="31">
        <v>5.6</v>
      </c>
    </row>
    <row r="516" spans="1:67" x14ac:dyDescent="0.2">
      <c r="A516" s="5" t="s">
        <v>67</v>
      </c>
      <c r="B516" s="25">
        <v>43227</v>
      </c>
      <c r="C516" s="26">
        <v>0.43055555555555602</v>
      </c>
      <c r="D516" s="5" t="s">
        <v>141</v>
      </c>
      <c r="E516" s="5"/>
      <c r="F516" s="32">
        <v>59</v>
      </c>
      <c r="G516" s="9">
        <v>2</v>
      </c>
      <c r="H516" s="6">
        <v>3.3898305084745763E-2</v>
      </c>
      <c r="I516" s="7">
        <v>6.83E-2</v>
      </c>
      <c r="J516" s="9">
        <v>314.15899999999999</v>
      </c>
      <c r="K516" s="9">
        <v>0.5464</v>
      </c>
      <c r="L516" s="9">
        <v>8</v>
      </c>
      <c r="M516" s="14">
        <v>287.48078330893117</v>
      </c>
      <c r="N516" s="9">
        <v>1419</v>
      </c>
      <c r="O516" s="12" t="s">
        <v>94</v>
      </c>
      <c r="P516" s="12" t="s">
        <v>82</v>
      </c>
      <c r="Q516" s="9" t="s">
        <v>95</v>
      </c>
      <c r="R516" s="9" t="s">
        <v>96</v>
      </c>
      <c r="S516" s="9"/>
      <c r="T516" s="18">
        <v>434</v>
      </c>
      <c r="U516" s="18">
        <v>873</v>
      </c>
      <c r="V516" s="9">
        <v>0.8</v>
      </c>
      <c r="W516" s="9">
        <v>0.8</v>
      </c>
      <c r="X516" s="9">
        <v>0.8</v>
      </c>
      <c r="Y516" s="9">
        <f t="shared" si="8"/>
        <v>124766.65995607612</v>
      </c>
      <c r="Z516" s="19" t="s">
        <v>97</v>
      </c>
      <c r="AA516" s="8" t="s">
        <v>263</v>
      </c>
      <c r="AB516" s="8" t="s">
        <v>75</v>
      </c>
      <c r="AC516" s="11" t="s">
        <v>221</v>
      </c>
      <c r="AD516" s="9" t="s">
        <v>85</v>
      </c>
      <c r="AE516" s="14">
        <v>0.18</v>
      </c>
      <c r="AF516" s="14">
        <v>0.18</v>
      </c>
      <c r="AG516" s="14">
        <v>0.18</v>
      </c>
      <c r="AH516" s="14">
        <v>0.18</v>
      </c>
      <c r="AI516" s="14">
        <v>0.18</v>
      </c>
      <c r="AJ516" s="14">
        <v>0.18</v>
      </c>
      <c r="AK516" s="14">
        <v>0.18</v>
      </c>
      <c r="AL516" s="14">
        <v>0.18</v>
      </c>
      <c r="AM516" s="14">
        <v>0.18</v>
      </c>
      <c r="AN516" s="14">
        <v>0.18</v>
      </c>
      <c r="AO516" s="35" t="s">
        <v>78</v>
      </c>
      <c r="AP516" s="31">
        <v>0.75200000000000033</v>
      </c>
      <c r="AQ516" s="31">
        <v>0.7</v>
      </c>
      <c r="AR516" s="31">
        <v>0.7</v>
      </c>
      <c r="AS516" s="31">
        <v>0.7</v>
      </c>
      <c r="AT516" s="31">
        <v>0.7</v>
      </c>
      <c r="AU516" s="31">
        <v>0.7</v>
      </c>
      <c r="AV516" s="31">
        <v>0.7</v>
      </c>
      <c r="AW516" s="31">
        <v>0.7</v>
      </c>
      <c r="AX516" s="31">
        <v>0.7</v>
      </c>
      <c r="AY516" s="31">
        <v>0.7</v>
      </c>
      <c r="AZ516" s="31">
        <v>0.7</v>
      </c>
      <c r="BA516" s="31">
        <v>0.7</v>
      </c>
      <c r="BB516" s="31">
        <v>0.7</v>
      </c>
      <c r="BC516" s="31">
        <v>0.8</v>
      </c>
      <c r="BD516" s="31">
        <v>0.8</v>
      </c>
      <c r="BE516" s="31">
        <v>0.8</v>
      </c>
      <c r="BF516" s="31">
        <v>0.8</v>
      </c>
      <c r="BG516" s="31">
        <v>0.8</v>
      </c>
      <c r="BH516" s="31">
        <v>0.8</v>
      </c>
      <c r="BI516" s="31">
        <v>0.8</v>
      </c>
      <c r="BJ516" s="31">
        <v>0.8</v>
      </c>
      <c r="BK516" s="31">
        <v>0.8</v>
      </c>
      <c r="BL516" s="31">
        <v>0.8</v>
      </c>
      <c r="BM516" s="31">
        <v>0.8</v>
      </c>
      <c r="BN516" s="31">
        <v>0.8</v>
      </c>
      <c r="BO516" s="31">
        <v>0.8</v>
      </c>
    </row>
    <row r="517" spans="1:67" x14ac:dyDescent="0.2">
      <c r="A517" s="5" t="s">
        <v>67</v>
      </c>
      <c r="B517" s="25">
        <v>43290</v>
      </c>
      <c r="C517" s="26">
        <v>0.65625</v>
      </c>
      <c r="D517" s="5" t="s">
        <v>224</v>
      </c>
      <c r="E517" s="5"/>
      <c r="F517" s="32">
        <v>63</v>
      </c>
      <c r="G517" s="9">
        <v>1</v>
      </c>
      <c r="H517" s="6">
        <v>1.5873015873015872E-2</v>
      </c>
      <c r="I517" s="7">
        <v>6.83E-2</v>
      </c>
      <c r="J517" s="9">
        <v>314.15899999999999</v>
      </c>
      <c r="K517" s="9">
        <v>0.68300000000000005</v>
      </c>
      <c r="L517" s="9">
        <v>10</v>
      </c>
      <c r="M517" s="14">
        <v>459.96925329428984</v>
      </c>
      <c r="N517" s="9">
        <v>145</v>
      </c>
      <c r="O517" s="12" t="s">
        <v>69</v>
      </c>
      <c r="P517" s="8" t="s">
        <v>70</v>
      </c>
      <c r="Q517" s="9" t="s">
        <v>71</v>
      </c>
      <c r="R517" s="9" t="s">
        <v>72</v>
      </c>
      <c r="S517" s="9"/>
      <c r="T517" s="18">
        <v>2</v>
      </c>
      <c r="U517" s="18">
        <v>2</v>
      </c>
      <c r="V517" s="9">
        <v>16.7</v>
      </c>
      <c r="Y517" s="9">
        <f t="shared" si="8"/>
        <v>919.93850658857968</v>
      </c>
      <c r="Z517" s="19" t="s">
        <v>73</v>
      </c>
      <c r="AA517" s="8" t="s">
        <v>265</v>
      </c>
      <c r="AB517" s="8" t="s">
        <v>75</v>
      </c>
      <c r="AC517" s="11" t="s">
        <v>221</v>
      </c>
      <c r="AD517" s="9" t="s">
        <v>77</v>
      </c>
      <c r="AE517" s="14">
        <v>291.86627735999997</v>
      </c>
      <c r="AF517" s="13"/>
      <c r="AO517" s="34" t="s">
        <v>78</v>
      </c>
      <c r="AP517" s="31">
        <v>15.75</v>
      </c>
      <c r="AQ517" s="31">
        <v>16.7</v>
      </c>
      <c r="AR517" s="31">
        <v>14.8</v>
      </c>
    </row>
    <row r="518" spans="1:67" x14ac:dyDescent="0.2">
      <c r="A518" s="5"/>
      <c r="B518" s="25"/>
      <c r="C518" s="26"/>
      <c r="D518" s="5"/>
      <c r="E518" s="5"/>
      <c r="F518" s="32"/>
      <c r="G518" s="9"/>
      <c r="H518" s="6"/>
      <c r="I518" s="7"/>
      <c r="J518" s="9"/>
      <c r="N518" s="9"/>
      <c r="O518" s="12"/>
      <c r="S518" s="9"/>
      <c r="T518" s="18"/>
      <c r="U518" s="18"/>
      <c r="Y518" s="9" t="e">
        <f t="shared" si="8"/>
        <v>#DIV/0!</v>
      </c>
      <c r="Z518" s="19"/>
      <c r="AC518" s="11"/>
      <c r="AD518" s="9"/>
      <c r="AE518" s="14"/>
      <c r="AF518" s="13"/>
      <c r="AO518" s="34" t="s">
        <v>79</v>
      </c>
      <c r="AP518" s="31">
        <v>8.3500000000000014</v>
      </c>
      <c r="AQ518" s="31">
        <v>9.3000000000000007</v>
      </c>
      <c r="AR518" s="31">
        <v>7.4</v>
      </c>
    </row>
    <row r="519" spans="1:67" x14ac:dyDescent="0.2">
      <c r="A519" s="5"/>
      <c r="B519" s="25"/>
      <c r="C519" s="26"/>
      <c r="D519" s="5"/>
      <c r="E519" s="5"/>
      <c r="F519" s="32"/>
      <c r="G519" s="9"/>
      <c r="H519" s="6"/>
      <c r="I519" s="7"/>
      <c r="J519" s="9"/>
      <c r="N519" s="9"/>
      <c r="O519" s="12"/>
      <c r="S519" s="9"/>
      <c r="T519" s="18"/>
      <c r="U519" s="18"/>
      <c r="Y519" s="9" t="e">
        <f t="shared" si="8"/>
        <v>#DIV/0!</v>
      </c>
      <c r="Z519" s="19"/>
      <c r="AC519" s="11"/>
      <c r="AD519" s="9"/>
      <c r="AE519" s="14"/>
      <c r="AF519" s="13"/>
      <c r="AO519" s="34" t="s">
        <v>80</v>
      </c>
      <c r="AP519" s="31">
        <v>2.8</v>
      </c>
      <c r="AQ519" s="31">
        <v>2.8</v>
      </c>
      <c r="AR519" s="31">
        <v>2.8</v>
      </c>
    </row>
    <row r="520" spans="1:67" x14ac:dyDescent="0.2">
      <c r="A520" s="5" t="s">
        <v>67</v>
      </c>
      <c r="B520" s="25">
        <v>43290</v>
      </c>
      <c r="C520" s="26">
        <v>0.65625</v>
      </c>
      <c r="D520" s="5" t="s">
        <v>224</v>
      </c>
      <c r="E520" s="5"/>
      <c r="F520" s="32">
        <v>63</v>
      </c>
      <c r="G520" s="9">
        <v>1</v>
      </c>
      <c r="H520" s="6">
        <v>1.5873015873015872E-2</v>
      </c>
      <c r="I520" s="7">
        <v>6.83E-2</v>
      </c>
      <c r="J520" s="9">
        <v>314.15899999999999</v>
      </c>
      <c r="K520" s="9">
        <v>0.68300000000000005</v>
      </c>
      <c r="L520" s="9">
        <v>10</v>
      </c>
      <c r="M520" s="14">
        <v>459.96925329428984</v>
      </c>
      <c r="N520" s="9">
        <v>145</v>
      </c>
      <c r="O520" s="12" t="s">
        <v>69</v>
      </c>
      <c r="P520" s="8" t="s">
        <v>70</v>
      </c>
      <c r="Q520" s="9" t="s">
        <v>71</v>
      </c>
      <c r="R520" s="9" t="s">
        <v>72</v>
      </c>
      <c r="S520" s="9"/>
      <c r="T520" s="18">
        <v>1</v>
      </c>
      <c r="U520" s="18">
        <v>1</v>
      </c>
      <c r="V520" s="9">
        <v>14.8</v>
      </c>
      <c r="Y520" s="9">
        <f t="shared" si="8"/>
        <v>459.96925329428984</v>
      </c>
      <c r="Z520" s="19" t="s">
        <v>73</v>
      </c>
      <c r="AA520" s="8" t="s">
        <v>265</v>
      </c>
      <c r="AB520" s="8" t="s">
        <v>75</v>
      </c>
      <c r="AC520" s="11" t="s">
        <v>264</v>
      </c>
      <c r="AD520" s="9" t="s">
        <v>77</v>
      </c>
      <c r="AE520" s="14">
        <v>182.26248543999998</v>
      </c>
      <c r="AF520" s="13"/>
      <c r="AO520" s="34" t="s">
        <v>78</v>
      </c>
      <c r="AP520" s="31">
        <v>14.8</v>
      </c>
      <c r="AQ520" s="31">
        <v>14.8</v>
      </c>
    </row>
    <row r="521" spans="1:67" x14ac:dyDescent="0.2">
      <c r="A521" s="5"/>
      <c r="B521" s="25"/>
      <c r="C521" s="26"/>
      <c r="D521" s="5"/>
      <c r="E521" s="5"/>
      <c r="F521" s="32"/>
      <c r="G521" s="9"/>
      <c r="H521" s="6"/>
      <c r="I521" s="7"/>
      <c r="J521" s="9"/>
      <c r="N521" s="9"/>
      <c r="O521" s="12"/>
      <c r="S521" s="9"/>
      <c r="T521" s="18"/>
      <c r="U521" s="18"/>
      <c r="Y521" s="9" t="e">
        <f t="shared" si="8"/>
        <v>#DIV/0!</v>
      </c>
      <c r="Z521" s="19"/>
      <c r="AC521" s="11"/>
      <c r="AD521" s="9"/>
      <c r="AE521" s="14"/>
      <c r="AF521" s="13"/>
      <c r="AO521" s="34" t="s">
        <v>79</v>
      </c>
      <c r="AP521" s="31">
        <v>5.6</v>
      </c>
      <c r="AQ521" s="31">
        <v>5.6</v>
      </c>
    </row>
    <row r="522" spans="1:67" x14ac:dyDescent="0.2">
      <c r="A522" s="5"/>
      <c r="B522" s="25"/>
      <c r="C522" s="26"/>
      <c r="D522" s="5"/>
      <c r="E522" s="5"/>
      <c r="F522" s="32"/>
      <c r="G522" s="9"/>
      <c r="H522" s="6"/>
      <c r="I522" s="7"/>
      <c r="J522" s="9"/>
      <c r="N522" s="9"/>
      <c r="O522" s="12"/>
      <c r="S522" s="9"/>
      <c r="T522" s="18"/>
      <c r="U522" s="18"/>
      <c r="Y522" s="9" t="e">
        <f t="shared" si="8"/>
        <v>#DIV/0!</v>
      </c>
      <c r="Z522" s="19"/>
      <c r="AC522" s="11"/>
      <c r="AD522" s="9"/>
      <c r="AE522" s="14"/>
      <c r="AF522" s="13"/>
      <c r="AO522" s="34" t="s">
        <v>80</v>
      </c>
      <c r="AP522" s="31">
        <v>2.8</v>
      </c>
      <c r="AQ522" s="31">
        <v>2.8</v>
      </c>
    </row>
    <row r="523" spans="1:67" x14ac:dyDescent="0.2">
      <c r="A523" s="5" t="s">
        <v>67</v>
      </c>
      <c r="B523" s="25">
        <v>43290</v>
      </c>
      <c r="C523" s="26">
        <v>0.65625</v>
      </c>
      <c r="D523" s="5" t="s">
        <v>224</v>
      </c>
      <c r="E523" s="5"/>
      <c r="F523" s="32">
        <v>63</v>
      </c>
      <c r="G523" s="9">
        <v>1</v>
      </c>
      <c r="H523" s="6">
        <v>1.5873015873015872E-2</v>
      </c>
      <c r="I523" s="7">
        <v>6.83E-2</v>
      </c>
      <c r="J523" s="9">
        <v>314.15899999999999</v>
      </c>
      <c r="K523" s="9">
        <v>0.68300000000000005</v>
      </c>
      <c r="L523" s="9">
        <v>10</v>
      </c>
      <c r="M523" s="14">
        <v>459.96925329428984</v>
      </c>
      <c r="N523" s="9">
        <v>190</v>
      </c>
      <c r="O523" s="12" t="s">
        <v>102</v>
      </c>
      <c r="P523" s="8" t="s">
        <v>70</v>
      </c>
      <c r="Q523" s="9" t="s">
        <v>103</v>
      </c>
      <c r="R523" s="9" t="s">
        <v>84</v>
      </c>
      <c r="S523" s="9"/>
      <c r="T523" s="18">
        <v>2</v>
      </c>
      <c r="U523" s="18">
        <v>2</v>
      </c>
      <c r="V523" s="9">
        <v>9.3000000000000007</v>
      </c>
      <c r="Y523" s="9">
        <f t="shared" si="8"/>
        <v>919.93850658857968</v>
      </c>
      <c r="Z523" s="19" t="s">
        <v>73</v>
      </c>
      <c r="AA523" s="8" t="s">
        <v>265</v>
      </c>
      <c r="AB523" s="8" t="s">
        <v>75</v>
      </c>
      <c r="AC523" s="11" t="s">
        <v>221</v>
      </c>
      <c r="AD523" s="9" t="s">
        <v>104</v>
      </c>
      <c r="AE523" s="14">
        <v>180.87704424999998</v>
      </c>
      <c r="AF523" s="13"/>
      <c r="AO523" s="34" t="s">
        <v>78</v>
      </c>
      <c r="AP523" s="31">
        <v>4.6500000000000004</v>
      </c>
      <c r="AQ523" s="31">
        <v>3.7</v>
      </c>
      <c r="AR523" s="31">
        <v>5.6</v>
      </c>
    </row>
    <row r="524" spans="1:67" x14ac:dyDescent="0.2">
      <c r="A524" s="5"/>
      <c r="B524" s="25"/>
      <c r="C524" s="26"/>
      <c r="D524" s="5"/>
      <c r="E524" s="5"/>
      <c r="F524" s="32"/>
      <c r="G524" s="9"/>
      <c r="H524" s="6"/>
      <c r="I524" s="7"/>
      <c r="J524" s="9"/>
      <c r="N524" s="9"/>
      <c r="O524" s="12"/>
      <c r="S524" s="9"/>
      <c r="T524" s="18"/>
      <c r="U524" s="18"/>
      <c r="Y524" s="9" t="e">
        <f t="shared" si="8"/>
        <v>#DIV/0!</v>
      </c>
      <c r="Z524" s="19"/>
      <c r="AC524" s="11"/>
      <c r="AD524" s="9"/>
      <c r="AE524" s="14"/>
      <c r="AF524" s="13"/>
      <c r="AO524" s="34" t="s">
        <v>79</v>
      </c>
      <c r="AP524" s="31">
        <v>6.95</v>
      </c>
      <c r="AQ524" s="31">
        <v>4.5999999999999996</v>
      </c>
      <c r="AR524" s="31">
        <v>9.3000000000000007</v>
      </c>
    </row>
    <row r="525" spans="1:67" x14ac:dyDescent="0.2">
      <c r="A525" s="5" t="s">
        <v>67</v>
      </c>
      <c r="B525" s="25">
        <v>43290</v>
      </c>
      <c r="C525" s="26">
        <v>0.65625</v>
      </c>
      <c r="D525" s="5" t="s">
        <v>224</v>
      </c>
      <c r="E525" s="5"/>
      <c r="F525" s="32">
        <v>63</v>
      </c>
      <c r="G525" s="9">
        <v>1</v>
      </c>
      <c r="H525" s="6">
        <v>1.5873015873015872E-2</v>
      </c>
      <c r="I525" s="7">
        <v>6.83E-2</v>
      </c>
      <c r="J525" s="9">
        <v>314.15899999999999</v>
      </c>
      <c r="K525" s="9">
        <v>0.68300000000000005</v>
      </c>
      <c r="L525" s="9">
        <v>10</v>
      </c>
      <c r="M525" s="14">
        <v>459.96925329428984</v>
      </c>
      <c r="N525" s="9">
        <v>1037</v>
      </c>
      <c r="O525" s="12" t="s">
        <v>86</v>
      </c>
      <c r="P525" s="12" t="s">
        <v>82</v>
      </c>
      <c r="Q525" s="9" t="s">
        <v>87</v>
      </c>
      <c r="R525" s="9" t="s">
        <v>84</v>
      </c>
      <c r="S525" s="9"/>
      <c r="T525" s="18">
        <v>11</v>
      </c>
      <c r="U525" s="18">
        <v>11</v>
      </c>
      <c r="V525" s="9">
        <v>2.8</v>
      </c>
      <c r="Y525" s="9">
        <f t="shared" si="8"/>
        <v>5059.6617862371886</v>
      </c>
      <c r="Z525" s="19" t="s">
        <v>73</v>
      </c>
      <c r="AA525" s="8" t="s">
        <v>265</v>
      </c>
      <c r="AB525" s="8" t="s">
        <v>75</v>
      </c>
      <c r="AC525" s="11" t="s">
        <v>221</v>
      </c>
      <c r="AD525" s="9" t="s">
        <v>85</v>
      </c>
      <c r="AE525" s="14">
        <v>7.2382233599999992</v>
      </c>
      <c r="AF525" s="13"/>
      <c r="AO525" s="34" t="s">
        <v>78</v>
      </c>
      <c r="AP525" s="31">
        <v>2.44</v>
      </c>
      <c r="AQ525" s="31">
        <v>2.8</v>
      </c>
      <c r="AR525" s="31">
        <v>1.9</v>
      </c>
      <c r="AS525" s="31">
        <v>1.9</v>
      </c>
      <c r="AT525" s="31">
        <v>2.8</v>
      </c>
      <c r="AU525" s="31">
        <v>2.8</v>
      </c>
    </row>
    <row r="526" spans="1:67" x14ac:dyDescent="0.2">
      <c r="A526" s="5" t="s">
        <v>67</v>
      </c>
      <c r="B526" s="25">
        <v>43290</v>
      </c>
      <c r="C526" s="26">
        <v>0.65625</v>
      </c>
      <c r="D526" s="5" t="s">
        <v>224</v>
      </c>
      <c r="E526" s="5"/>
      <c r="F526" s="32">
        <v>63</v>
      </c>
      <c r="G526" s="9">
        <v>1</v>
      </c>
      <c r="H526" s="6">
        <v>1.5873015873015872E-2</v>
      </c>
      <c r="I526" s="7">
        <v>6.83E-2</v>
      </c>
      <c r="J526" s="9">
        <v>314.15899999999999</v>
      </c>
      <c r="K526" s="9">
        <v>0.68300000000000005</v>
      </c>
      <c r="L526" s="9">
        <v>10</v>
      </c>
      <c r="M526" s="14">
        <v>459.96925329428984</v>
      </c>
      <c r="N526" s="9">
        <v>1140</v>
      </c>
      <c r="O526" s="12" t="s">
        <v>126</v>
      </c>
      <c r="P526" s="12" t="s">
        <v>82</v>
      </c>
      <c r="Q526" s="9" t="s">
        <v>127</v>
      </c>
      <c r="R526" s="9" t="s">
        <v>128</v>
      </c>
      <c r="S526" s="9"/>
      <c r="T526" s="18">
        <v>2</v>
      </c>
      <c r="U526" s="18">
        <v>2</v>
      </c>
      <c r="V526" s="9">
        <v>13</v>
      </c>
      <c r="Y526" s="9">
        <f t="shared" si="8"/>
        <v>919.93850658857968</v>
      </c>
      <c r="Z526" s="19" t="s">
        <v>73</v>
      </c>
      <c r="AA526" s="8" t="s">
        <v>265</v>
      </c>
      <c r="AB526" s="8" t="s">
        <v>75</v>
      </c>
      <c r="AC526" s="11" t="s">
        <v>221</v>
      </c>
      <c r="AD526" s="9" t="s">
        <v>129</v>
      </c>
      <c r="AE526" s="14">
        <v>22.871298798333328</v>
      </c>
      <c r="AF526" s="13"/>
      <c r="AO526" s="34" t="s">
        <v>78</v>
      </c>
      <c r="AP526" s="31">
        <v>12.05</v>
      </c>
      <c r="AQ526" s="31">
        <v>13</v>
      </c>
      <c r="AR526" s="31">
        <v>11.1</v>
      </c>
    </row>
    <row r="527" spans="1:67" x14ac:dyDescent="0.2">
      <c r="A527" s="5"/>
      <c r="B527" s="25"/>
      <c r="C527" s="26"/>
      <c r="D527" s="5"/>
      <c r="E527" s="5"/>
      <c r="F527" s="32"/>
      <c r="G527" s="9"/>
      <c r="H527" s="6"/>
      <c r="I527" s="7"/>
      <c r="J527" s="9"/>
      <c r="N527" s="9"/>
      <c r="O527" s="12"/>
      <c r="P527" s="12"/>
      <c r="S527" s="9"/>
      <c r="T527" s="18"/>
      <c r="U527" s="18"/>
      <c r="Y527" s="9" t="e">
        <f t="shared" si="8"/>
        <v>#DIV/0!</v>
      </c>
      <c r="Z527" s="19"/>
      <c r="AC527" s="11"/>
      <c r="AD527" s="9"/>
      <c r="AE527" s="14"/>
      <c r="AF527" s="13"/>
      <c r="AO527" s="34" t="s">
        <v>79</v>
      </c>
      <c r="AP527" s="31">
        <v>1.9</v>
      </c>
      <c r="AQ527" s="31">
        <v>1.9</v>
      </c>
      <c r="AR527" s="31">
        <v>1.9</v>
      </c>
    </row>
    <row r="528" spans="1:67" x14ac:dyDescent="0.2">
      <c r="A528" s="5" t="s">
        <v>67</v>
      </c>
      <c r="B528" s="25">
        <v>43290</v>
      </c>
      <c r="C528" s="26">
        <v>0.65625</v>
      </c>
      <c r="D528" s="5" t="s">
        <v>224</v>
      </c>
      <c r="E528" s="5"/>
      <c r="F528" s="32">
        <v>63</v>
      </c>
      <c r="G528" s="9">
        <v>1</v>
      </c>
      <c r="H528" s="6">
        <v>1.5873015873015872E-2</v>
      </c>
      <c r="I528" s="7">
        <v>6.83E-2</v>
      </c>
      <c r="J528" s="9">
        <v>314.15899999999999</v>
      </c>
      <c r="K528" s="9">
        <v>0.68300000000000005</v>
      </c>
      <c r="L528" s="9">
        <v>10</v>
      </c>
      <c r="M528" s="14">
        <v>459.96925329428984</v>
      </c>
      <c r="N528" s="9">
        <v>1419</v>
      </c>
      <c r="O528" s="12" t="s">
        <v>94</v>
      </c>
      <c r="P528" s="12" t="s">
        <v>82</v>
      </c>
      <c r="Q528" s="9" t="s">
        <v>95</v>
      </c>
      <c r="R528" s="9" t="s">
        <v>96</v>
      </c>
      <c r="S528" s="9"/>
      <c r="T528" s="18">
        <v>429</v>
      </c>
      <c r="U528" s="18">
        <v>858</v>
      </c>
      <c r="V528" s="9">
        <v>0.8</v>
      </c>
      <c r="W528" s="9">
        <v>0.8</v>
      </c>
      <c r="X528" s="9">
        <v>0.8</v>
      </c>
      <c r="Y528" s="9">
        <f t="shared" si="8"/>
        <v>197326.80966325037</v>
      </c>
      <c r="Z528" s="19" t="s">
        <v>97</v>
      </c>
      <c r="AA528" s="8" t="s">
        <v>265</v>
      </c>
      <c r="AB528" s="8" t="s">
        <v>75</v>
      </c>
      <c r="AC528" s="11" t="s">
        <v>221</v>
      </c>
      <c r="AD528" s="9" t="s">
        <v>85</v>
      </c>
      <c r="AE528" s="14">
        <v>0.18</v>
      </c>
      <c r="AF528" s="14">
        <v>0.18</v>
      </c>
      <c r="AG528" s="14">
        <v>0.18</v>
      </c>
      <c r="AH528" s="14">
        <v>0.18</v>
      </c>
      <c r="AI528" s="14">
        <v>0.18</v>
      </c>
      <c r="AJ528" s="14">
        <v>0.18</v>
      </c>
      <c r="AK528" s="14">
        <v>0.18</v>
      </c>
      <c r="AL528" s="14">
        <v>0.18</v>
      </c>
      <c r="AM528" s="14">
        <v>0.18</v>
      </c>
      <c r="AN528" s="14">
        <v>0.18</v>
      </c>
      <c r="AO528" s="35" t="s">
        <v>78</v>
      </c>
      <c r="AP528" s="31">
        <v>0.75200000000000033</v>
      </c>
      <c r="AQ528" s="31">
        <v>0.7</v>
      </c>
      <c r="AR528" s="31">
        <v>0.7</v>
      </c>
      <c r="AS528" s="31">
        <v>0.7</v>
      </c>
      <c r="AT528" s="31">
        <v>0.7</v>
      </c>
      <c r="AU528" s="31">
        <v>0.7</v>
      </c>
      <c r="AV528" s="31">
        <v>0.7</v>
      </c>
      <c r="AW528" s="31">
        <v>0.7</v>
      </c>
      <c r="AX528" s="31">
        <v>0.7</v>
      </c>
      <c r="AY528" s="31">
        <v>0.7</v>
      </c>
      <c r="AZ528" s="31">
        <v>0.7</v>
      </c>
      <c r="BA528" s="31">
        <v>0.7</v>
      </c>
      <c r="BB528" s="31">
        <v>0.7</v>
      </c>
      <c r="BC528" s="31">
        <v>0.8</v>
      </c>
      <c r="BD528" s="31">
        <v>0.8</v>
      </c>
      <c r="BE528" s="31">
        <v>0.8</v>
      </c>
      <c r="BF528" s="31">
        <v>0.8</v>
      </c>
      <c r="BG528" s="31">
        <v>0.8</v>
      </c>
      <c r="BH528" s="31">
        <v>0.8</v>
      </c>
      <c r="BI528" s="31">
        <v>0.8</v>
      </c>
      <c r="BJ528" s="31">
        <v>0.8</v>
      </c>
      <c r="BK528" s="31">
        <v>0.8</v>
      </c>
      <c r="BL528" s="31">
        <v>0.8</v>
      </c>
      <c r="BM528" s="31">
        <v>0.8</v>
      </c>
      <c r="BN528" s="31">
        <v>0.8</v>
      </c>
      <c r="BO528" s="31">
        <v>0.8</v>
      </c>
    </row>
    <row r="529" spans="1:67" x14ac:dyDescent="0.2">
      <c r="A529" s="5" t="s">
        <v>67</v>
      </c>
      <c r="B529" s="25">
        <v>43227</v>
      </c>
      <c r="C529" s="26">
        <v>0.36805555555555602</v>
      </c>
      <c r="D529" s="5" t="s">
        <v>154</v>
      </c>
      <c r="E529" s="5">
        <v>3</v>
      </c>
      <c r="F529" s="32">
        <v>57</v>
      </c>
      <c r="G529" s="9">
        <v>2</v>
      </c>
      <c r="H529" s="6">
        <v>3.5087719298245612E-2</v>
      </c>
      <c r="I529" s="7">
        <v>6.83E-2</v>
      </c>
      <c r="J529" s="9">
        <v>314.15899999999999</v>
      </c>
      <c r="K529" s="9">
        <v>0.47809999999999997</v>
      </c>
      <c r="L529" s="9">
        <v>7</v>
      </c>
      <c r="M529" s="14">
        <v>328.54946663877848</v>
      </c>
      <c r="N529" s="9">
        <v>44</v>
      </c>
      <c r="O529" s="12" t="s">
        <v>266</v>
      </c>
      <c r="P529" s="8" t="s">
        <v>70</v>
      </c>
      <c r="Q529" s="9" t="s">
        <v>110</v>
      </c>
      <c r="R529" s="9" t="s">
        <v>267</v>
      </c>
      <c r="S529" s="9"/>
      <c r="T529" s="18">
        <v>1</v>
      </c>
      <c r="U529" s="18">
        <v>1</v>
      </c>
      <c r="V529" s="9">
        <v>13</v>
      </c>
      <c r="Y529" s="9">
        <f t="shared" si="8"/>
        <v>328.54946663877848</v>
      </c>
      <c r="Z529" s="19" t="s">
        <v>73</v>
      </c>
      <c r="AA529" s="8" t="s">
        <v>268</v>
      </c>
      <c r="AB529" s="8" t="s">
        <v>75</v>
      </c>
      <c r="AC529" s="11" t="s">
        <v>221</v>
      </c>
      <c r="AD529" s="9" t="s">
        <v>77</v>
      </c>
      <c r="AE529" s="14">
        <v>105.77733529999999</v>
      </c>
      <c r="AF529" s="13"/>
      <c r="AO529" s="34" t="s">
        <v>78</v>
      </c>
      <c r="AP529" s="31">
        <v>13</v>
      </c>
      <c r="AQ529" s="31">
        <v>13</v>
      </c>
    </row>
    <row r="530" spans="1:67" x14ac:dyDescent="0.2">
      <c r="A530" s="5"/>
      <c r="B530" s="25"/>
      <c r="C530" s="26"/>
      <c r="D530" s="5"/>
      <c r="E530" s="5"/>
      <c r="F530" s="32"/>
      <c r="G530" s="9"/>
      <c r="H530" s="6"/>
      <c r="I530" s="7"/>
      <c r="J530" s="9"/>
      <c r="N530" s="9"/>
      <c r="O530" s="12"/>
      <c r="S530" s="9"/>
      <c r="T530" s="18"/>
      <c r="U530" s="18"/>
      <c r="Y530" s="9" t="e">
        <f t="shared" si="8"/>
        <v>#DIV/0!</v>
      </c>
      <c r="Z530" s="19"/>
      <c r="AC530" s="11"/>
      <c r="AD530" s="9"/>
      <c r="AE530" s="14"/>
      <c r="AF530" s="13"/>
      <c r="AO530" s="34" t="s">
        <v>79</v>
      </c>
      <c r="AP530" s="31">
        <v>3.7</v>
      </c>
      <c r="AQ530" s="31">
        <v>3.7</v>
      </c>
    </row>
    <row r="531" spans="1:67" x14ac:dyDescent="0.2">
      <c r="A531" s="5"/>
      <c r="B531" s="25"/>
      <c r="C531" s="26"/>
      <c r="D531" s="5"/>
      <c r="E531" s="5"/>
      <c r="F531" s="32"/>
      <c r="G531" s="9"/>
      <c r="H531" s="6"/>
      <c r="I531" s="7"/>
      <c r="J531" s="9"/>
      <c r="N531" s="9"/>
      <c r="O531" s="12"/>
      <c r="S531" s="9"/>
      <c r="T531" s="18"/>
      <c r="U531" s="18"/>
      <c r="Y531" s="9" t="e">
        <f t="shared" si="8"/>
        <v>#DIV/0!</v>
      </c>
      <c r="Z531" s="19"/>
      <c r="AC531" s="11"/>
      <c r="AD531" s="9"/>
      <c r="AE531" s="14"/>
      <c r="AF531" s="13"/>
      <c r="AO531" s="34" t="s">
        <v>80</v>
      </c>
      <c r="AP531" s="31">
        <v>2.8</v>
      </c>
      <c r="AQ531" s="31">
        <v>2.8</v>
      </c>
    </row>
    <row r="532" spans="1:67" x14ac:dyDescent="0.2">
      <c r="A532" s="5" t="s">
        <v>67</v>
      </c>
      <c r="B532" s="25">
        <v>43227</v>
      </c>
      <c r="C532" s="26">
        <v>0.36805555555555602</v>
      </c>
      <c r="D532" s="5" t="s">
        <v>154</v>
      </c>
      <c r="E532" s="5">
        <v>3</v>
      </c>
      <c r="F532" s="32">
        <v>57</v>
      </c>
      <c r="G532" s="9">
        <v>2</v>
      </c>
      <c r="H532" s="6">
        <v>3.5087719298245612E-2</v>
      </c>
      <c r="I532" s="7">
        <v>6.83E-2</v>
      </c>
      <c r="J532" s="9">
        <v>314.15899999999999</v>
      </c>
      <c r="K532" s="9">
        <v>0.47809999999999997</v>
      </c>
      <c r="L532" s="9">
        <v>7</v>
      </c>
      <c r="M532" s="14">
        <v>328.54946663877848</v>
      </c>
      <c r="N532" s="9">
        <v>145</v>
      </c>
      <c r="O532" s="12" t="s">
        <v>69</v>
      </c>
      <c r="P532" s="8" t="s">
        <v>70</v>
      </c>
      <c r="Q532" s="9" t="s">
        <v>71</v>
      </c>
      <c r="R532" s="9" t="s">
        <v>72</v>
      </c>
      <c r="S532" s="9"/>
      <c r="T532" s="18">
        <v>8</v>
      </c>
      <c r="U532" s="18">
        <v>8</v>
      </c>
      <c r="V532" s="9">
        <v>20.399999999999999</v>
      </c>
      <c r="Y532" s="9">
        <f t="shared" si="8"/>
        <v>2628.3957331102279</v>
      </c>
      <c r="Z532" s="19" t="s">
        <v>73</v>
      </c>
      <c r="AA532" s="8" t="s">
        <v>268</v>
      </c>
      <c r="AB532" s="8" t="s">
        <v>75</v>
      </c>
      <c r="AC532" s="11" t="s">
        <v>221</v>
      </c>
      <c r="AD532" s="9" t="s">
        <v>77</v>
      </c>
      <c r="AE532" s="14">
        <v>339.16919798999999</v>
      </c>
      <c r="AF532" s="13"/>
      <c r="AO532" s="34" t="s">
        <v>78</v>
      </c>
      <c r="AP532" s="31">
        <v>15.940000000000001</v>
      </c>
      <c r="AQ532" s="31">
        <v>16.7</v>
      </c>
      <c r="AR532" s="31">
        <v>18.5</v>
      </c>
      <c r="AS532" s="31">
        <v>11.1</v>
      </c>
      <c r="AT532" s="31">
        <v>20.399999999999999</v>
      </c>
      <c r="AU532" s="31">
        <v>13</v>
      </c>
    </row>
    <row r="533" spans="1:67" x14ac:dyDescent="0.2">
      <c r="A533" s="5"/>
      <c r="B533" s="25"/>
      <c r="C533" s="26"/>
      <c r="D533" s="5"/>
      <c r="E533" s="5"/>
      <c r="F533" s="32"/>
      <c r="G533" s="9"/>
      <c r="H533" s="6"/>
      <c r="I533" s="7"/>
      <c r="J533" s="9"/>
      <c r="N533" s="9"/>
      <c r="O533" s="12"/>
      <c r="S533" s="9"/>
      <c r="T533" s="18"/>
      <c r="U533" s="18"/>
      <c r="Y533" s="9" t="e">
        <f t="shared" si="8"/>
        <v>#DIV/0!</v>
      </c>
      <c r="Z533" s="19"/>
      <c r="AC533" s="11"/>
      <c r="AD533" s="9"/>
      <c r="AE533" s="14"/>
      <c r="AF533" s="13"/>
      <c r="AO533" s="34" t="s">
        <v>79</v>
      </c>
      <c r="AP533" s="31">
        <v>9.66</v>
      </c>
      <c r="AQ533" s="31">
        <v>9.3000000000000007</v>
      </c>
      <c r="AR533" s="31">
        <v>9.3000000000000007</v>
      </c>
      <c r="AS533" s="31">
        <v>7.4</v>
      </c>
      <c r="AT533" s="31">
        <v>13</v>
      </c>
      <c r="AU533" s="31">
        <v>9.3000000000000007</v>
      </c>
    </row>
    <row r="534" spans="1:67" x14ac:dyDescent="0.2">
      <c r="A534" s="5"/>
      <c r="B534" s="25"/>
      <c r="C534" s="26"/>
      <c r="D534" s="5"/>
      <c r="E534" s="5"/>
      <c r="F534" s="32"/>
      <c r="G534" s="9"/>
      <c r="H534" s="6"/>
      <c r="I534" s="7"/>
      <c r="J534" s="9"/>
      <c r="N534" s="9"/>
      <c r="O534" s="12"/>
      <c r="S534" s="9"/>
      <c r="T534" s="18"/>
      <c r="U534" s="18"/>
      <c r="Y534" s="9" t="e">
        <f t="shared" si="8"/>
        <v>#DIV/0!</v>
      </c>
      <c r="Z534" s="19"/>
      <c r="AC534" s="11"/>
      <c r="AD534" s="9"/>
      <c r="AE534" s="14"/>
      <c r="AF534" s="13"/>
      <c r="AO534" s="34" t="s">
        <v>80</v>
      </c>
      <c r="AP534" s="31">
        <v>2.8</v>
      </c>
      <c r="AQ534" s="31">
        <v>2.8</v>
      </c>
      <c r="AR534" s="31">
        <v>2.8</v>
      </c>
      <c r="AS534" s="31">
        <v>1.9</v>
      </c>
      <c r="AT534" s="31">
        <v>3.7</v>
      </c>
      <c r="AU534" s="31">
        <v>2.8</v>
      </c>
    </row>
    <row r="535" spans="1:67" x14ac:dyDescent="0.2">
      <c r="A535" s="5" t="s">
        <v>67</v>
      </c>
      <c r="B535" s="25">
        <v>43227</v>
      </c>
      <c r="C535" s="26">
        <v>0.36805555555555602</v>
      </c>
      <c r="D535" s="5" t="s">
        <v>154</v>
      </c>
      <c r="E535" s="5">
        <v>3</v>
      </c>
      <c r="F535" s="32">
        <v>57</v>
      </c>
      <c r="G535" s="9">
        <v>2</v>
      </c>
      <c r="H535" s="6">
        <v>3.5087719298245612E-2</v>
      </c>
      <c r="I535" s="7">
        <v>6.83E-2</v>
      </c>
      <c r="J535" s="9">
        <v>314.15899999999999</v>
      </c>
      <c r="K535" s="9">
        <v>0.47809999999999997</v>
      </c>
      <c r="L535" s="9">
        <v>7</v>
      </c>
      <c r="M535" s="14">
        <v>328.54946663877848</v>
      </c>
      <c r="N535" s="9">
        <v>1037</v>
      </c>
      <c r="O535" s="12" t="s">
        <v>86</v>
      </c>
      <c r="P535" s="12" t="s">
        <v>82</v>
      </c>
      <c r="Q535" s="9" t="s">
        <v>87</v>
      </c>
      <c r="R535" s="9" t="s">
        <v>84</v>
      </c>
      <c r="S535" s="9"/>
      <c r="T535" s="18">
        <v>5</v>
      </c>
      <c r="U535" s="18">
        <v>5</v>
      </c>
      <c r="V535" s="9">
        <v>3.7</v>
      </c>
      <c r="Y535" s="9">
        <f t="shared" si="8"/>
        <v>1642.7473331938927</v>
      </c>
      <c r="Z535" s="19" t="s">
        <v>73</v>
      </c>
      <c r="AA535" s="8" t="s">
        <v>268</v>
      </c>
      <c r="AB535" s="8" t="s">
        <v>75</v>
      </c>
      <c r="AC535" s="11" t="s">
        <v>221</v>
      </c>
      <c r="AD535" s="9" t="s">
        <v>85</v>
      </c>
      <c r="AE535" s="14">
        <v>17.157270186666665</v>
      </c>
      <c r="AF535" s="13"/>
      <c r="AO535" s="34" t="s">
        <v>78</v>
      </c>
      <c r="AP535" s="31">
        <v>3.16</v>
      </c>
      <c r="AQ535" s="31">
        <v>3.7</v>
      </c>
      <c r="AR535" s="31">
        <v>3.7</v>
      </c>
      <c r="AS535" s="31">
        <v>2.8</v>
      </c>
      <c r="AT535" s="31">
        <v>1.9</v>
      </c>
      <c r="AU535" s="31">
        <v>3.7</v>
      </c>
    </row>
    <row r="536" spans="1:67" x14ac:dyDescent="0.2">
      <c r="A536" s="5" t="s">
        <v>67</v>
      </c>
      <c r="B536" s="25">
        <v>43227</v>
      </c>
      <c r="C536" s="26">
        <v>0.36805555555555602</v>
      </c>
      <c r="D536" s="5" t="s">
        <v>154</v>
      </c>
      <c r="E536" s="5">
        <v>3</v>
      </c>
      <c r="F536" s="32">
        <v>57</v>
      </c>
      <c r="G536" s="9">
        <v>2</v>
      </c>
      <c r="H536" s="6">
        <v>3.5087719298245612E-2</v>
      </c>
      <c r="I536" s="7">
        <v>6.83E-2</v>
      </c>
      <c r="J536" s="9">
        <v>314.15899999999999</v>
      </c>
      <c r="K536" s="9">
        <v>0.47809999999999997</v>
      </c>
      <c r="L536" s="9">
        <v>7</v>
      </c>
      <c r="M536" s="14">
        <v>328.54946663877848</v>
      </c>
      <c r="N536" s="9">
        <v>1235</v>
      </c>
      <c r="O536" s="12" t="s">
        <v>216</v>
      </c>
      <c r="P536" s="12" t="s">
        <v>82</v>
      </c>
      <c r="Q536" s="9" t="s">
        <v>217</v>
      </c>
      <c r="R536" s="9" t="s">
        <v>84</v>
      </c>
      <c r="S536" s="9"/>
      <c r="T536" s="18">
        <v>1</v>
      </c>
      <c r="U536" s="18">
        <v>2</v>
      </c>
      <c r="V536" s="9">
        <v>3.7</v>
      </c>
      <c r="Y536" s="9">
        <f t="shared" si="8"/>
        <v>328.54946663877848</v>
      </c>
      <c r="Z536" s="19" t="s">
        <v>97</v>
      </c>
      <c r="AA536" s="8" t="s">
        <v>268</v>
      </c>
      <c r="AB536" s="8" t="s">
        <v>75</v>
      </c>
      <c r="AC536" s="11" t="s">
        <v>221</v>
      </c>
      <c r="AD536" s="9" t="s">
        <v>120</v>
      </c>
      <c r="AE536" s="14">
        <v>6.9937029383333318</v>
      </c>
      <c r="AF536" s="13"/>
      <c r="AO536" s="34" t="s">
        <v>78</v>
      </c>
      <c r="AP536" s="31">
        <v>3.7</v>
      </c>
      <c r="AQ536" s="31">
        <v>3.7</v>
      </c>
      <c r="AR536" s="31">
        <v>3.7</v>
      </c>
    </row>
    <row r="537" spans="1:67" x14ac:dyDescent="0.2">
      <c r="A537" s="5"/>
      <c r="B537" s="25"/>
      <c r="C537" s="26"/>
      <c r="D537" s="5"/>
      <c r="E537" s="5"/>
      <c r="F537" s="32"/>
      <c r="G537" s="9"/>
      <c r="H537" s="6"/>
      <c r="I537" s="7"/>
      <c r="J537" s="9"/>
      <c r="N537" s="9"/>
      <c r="O537" s="12"/>
      <c r="P537" s="12"/>
      <c r="S537" s="9"/>
      <c r="T537" s="18"/>
      <c r="U537" s="18"/>
      <c r="Y537" s="9" t="e">
        <f t="shared" si="8"/>
        <v>#DIV/0!</v>
      </c>
      <c r="Z537" s="19"/>
      <c r="AC537" s="11"/>
      <c r="AD537" s="9"/>
      <c r="AE537" s="14"/>
      <c r="AF537" s="13"/>
      <c r="AO537" s="34" t="s">
        <v>79</v>
      </c>
      <c r="AP537" s="31">
        <v>1.9</v>
      </c>
      <c r="AQ537" s="31">
        <v>1.9</v>
      </c>
      <c r="AR537" s="31">
        <v>1.9</v>
      </c>
    </row>
    <row r="538" spans="1:67" x14ac:dyDescent="0.2">
      <c r="A538" s="5" t="s">
        <v>67</v>
      </c>
      <c r="B538" s="25">
        <v>43227</v>
      </c>
      <c r="C538" s="26">
        <v>0.36805555555555602</v>
      </c>
      <c r="D538" s="5" t="s">
        <v>154</v>
      </c>
      <c r="E538" s="5">
        <v>3</v>
      </c>
      <c r="F538" s="32">
        <v>57</v>
      </c>
      <c r="G538" s="9">
        <v>2</v>
      </c>
      <c r="H538" s="6">
        <v>3.5087719298245612E-2</v>
      </c>
      <c r="I538" s="7">
        <v>6.83E-2</v>
      </c>
      <c r="J538" s="9">
        <v>314.15899999999999</v>
      </c>
      <c r="K538" s="9">
        <v>0.47809999999999997</v>
      </c>
      <c r="L538" s="9">
        <v>7</v>
      </c>
      <c r="M538" s="14">
        <v>328.54946663877848</v>
      </c>
      <c r="N538" s="9">
        <v>1806</v>
      </c>
      <c r="O538" s="12" t="s">
        <v>206</v>
      </c>
      <c r="P538" s="12" t="s">
        <v>82</v>
      </c>
      <c r="Q538" s="9" t="s">
        <v>207</v>
      </c>
      <c r="R538" s="9" t="s">
        <v>84</v>
      </c>
      <c r="S538" s="9"/>
      <c r="T538" s="18">
        <v>1</v>
      </c>
      <c r="U538" s="18">
        <v>1</v>
      </c>
      <c r="V538" s="9">
        <v>2.8</v>
      </c>
      <c r="Y538" s="9">
        <f t="shared" si="8"/>
        <v>328.54946663877848</v>
      </c>
      <c r="Z538" s="19" t="s">
        <v>73</v>
      </c>
      <c r="AA538" s="8" t="s">
        <v>268</v>
      </c>
      <c r="AB538" s="8" t="s">
        <v>75</v>
      </c>
      <c r="AC538" s="11" t="s">
        <v>221</v>
      </c>
      <c r="AD538" s="9" t="s">
        <v>120</v>
      </c>
      <c r="AE538" s="14">
        <v>11.494030613333329</v>
      </c>
      <c r="AF538" s="13"/>
      <c r="AO538" s="34" t="s">
        <v>78</v>
      </c>
      <c r="AP538" s="31">
        <v>2.8</v>
      </c>
      <c r="AQ538" s="31">
        <v>2.8</v>
      </c>
    </row>
    <row r="539" spans="1:67" x14ac:dyDescent="0.2">
      <c r="A539" s="5"/>
      <c r="B539" s="25"/>
      <c r="C539" s="26"/>
      <c r="D539" s="5"/>
      <c r="E539" s="5"/>
      <c r="F539" s="32"/>
      <c r="G539" s="9"/>
      <c r="H539" s="6"/>
      <c r="I539" s="7"/>
      <c r="J539" s="9"/>
      <c r="N539" s="9"/>
      <c r="O539" s="12"/>
      <c r="P539" s="12"/>
      <c r="S539" s="9"/>
      <c r="T539" s="18"/>
      <c r="U539" s="18"/>
      <c r="Y539" s="9" t="e">
        <f t="shared" si="8"/>
        <v>#DIV/0!</v>
      </c>
      <c r="Z539" s="19"/>
      <c r="AC539" s="11"/>
      <c r="AD539" s="9"/>
      <c r="AE539" s="14"/>
      <c r="AF539" s="13"/>
      <c r="AO539" s="34" t="s">
        <v>79</v>
      </c>
      <c r="AP539" s="31">
        <v>2.8</v>
      </c>
      <c r="AQ539" s="31">
        <v>2.8</v>
      </c>
    </row>
    <row r="540" spans="1:67" x14ac:dyDescent="0.2">
      <c r="A540" s="5" t="s">
        <v>67</v>
      </c>
      <c r="B540" s="25">
        <v>43227</v>
      </c>
      <c r="C540" s="26">
        <v>0.36805555555555602</v>
      </c>
      <c r="D540" s="5" t="s">
        <v>154</v>
      </c>
      <c r="E540" s="5">
        <v>3</v>
      </c>
      <c r="F540" s="32">
        <v>57</v>
      </c>
      <c r="G540" s="9">
        <v>2</v>
      </c>
      <c r="H540" s="6">
        <v>3.5087719298245612E-2</v>
      </c>
      <c r="I540" s="7">
        <v>6.83E-2</v>
      </c>
      <c r="J540" s="9">
        <v>314.15899999999999</v>
      </c>
      <c r="K540" s="9">
        <v>0.47809999999999997</v>
      </c>
      <c r="L540" s="9">
        <v>7</v>
      </c>
      <c r="M540" s="14">
        <v>328.54946663877848</v>
      </c>
      <c r="N540" s="9">
        <v>1419</v>
      </c>
      <c r="O540" s="12" t="s">
        <v>94</v>
      </c>
      <c r="P540" s="12" t="s">
        <v>82</v>
      </c>
      <c r="Q540" s="9" t="s">
        <v>95</v>
      </c>
      <c r="R540" s="9" t="s">
        <v>96</v>
      </c>
      <c r="S540" s="9"/>
      <c r="T540" s="18">
        <v>380</v>
      </c>
      <c r="U540" s="18">
        <v>761</v>
      </c>
      <c r="V540" s="9">
        <v>0.8</v>
      </c>
      <c r="W540" s="9">
        <v>0.8</v>
      </c>
      <c r="X540" s="9">
        <v>0.8</v>
      </c>
      <c r="Y540" s="9">
        <f t="shared" si="8"/>
        <v>124848.79732273583</v>
      </c>
      <c r="Z540" s="19" t="s">
        <v>97</v>
      </c>
      <c r="AA540" s="8" t="s">
        <v>268</v>
      </c>
      <c r="AB540" s="8" t="s">
        <v>75</v>
      </c>
      <c r="AC540" s="11" t="s">
        <v>221</v>
      </c>
      <c r="AD540" s="9" t="s">
        <v>85</v>
      </c>
      <c r="AE540" s="14">
        <v>0.18</v>
      </c>
      <c r="AF540" s="14">
        <v>0.18</v>
      </c>
      <c r="AG540" s="14">
        <v>0.18</v>
      </c>
      <c r="AH540" s="14">
        <v>0.18</v>
      </c>
      <c r="AI540" s="14">
        <v>0.18</v>
      </c>
      <c r="AJ540" s="14">
        <v>0.18</v>
      </c>
      <c r="AK540" s="14">
        <v>0.18</v>
      </c>
      <c r="AL540" s="14">
        <v>0.18</v>
      </c>
      <c r="AM540" s="14">
        <v>0.18</v>
      </c>
      <c r="AN540" s="14">
        <v>0.18</v>
      </c>
      <c r="AO540" s="35" t="s">
        <v>78</v>
      </c>
      <c r="AP540" s="31">
        <v>0.75200000000000033</v>
      </c>
      <c r="AQ540" s="31">
        <v>0.7</v>
      </c>
      <c r="AR540" s="31">
        <v>0.7</v>
      </c>
      <c r="AS540" s="31">
        <v>0.7</v>
      </c>
      <c r="AT540" s="31">
        <v>0.7</v>
      </c>
      <c r="AU540" s="31">
        <v>0.7</v>
      </c>
      <c r="AV540" s="31">
        <v>0.7</v>
      </c>
      <c r="AW540" s="31">
        <v>0.7</v>
      </c>
      <c r="AX540" s="31">
        <v>0.7</v>
      </c>
      <c r="AY540" s="31">
        <v>0.7</v>
      </c>
      <c r="AZ540" s="31">
        <v>0.7</v>
      </c>
      <c r="BA540" s="31">
        <v>0.7</v>
      </c>
      <c r="BB540" s="31">
        <v>0.7</v>
      </c>
      <c r="BC540" s="31">
        <v>0.8</v>
      </c>
      <c r="BD540" s="31">
        <v>0.8</v>
      </c>
      <c r="BE540" s="31">
        <v>0.8</v>
      </c>
      <c r="BF540" s="31">
        <v>0.8</v>
      </c>
      <c r="BG540" s="31">
        <v>0.8</v>
      </c>
      <c r="BH540" s="31">
        <v>0.8</v>
      </c>
      <c r="BI540" s="31">
        <v>0.8</v>
      </c>
      <c r="BJ540" s="31">
        <v>0.8</v>
      </c>
      <c r="BK540" s="31">
        <v>0.8</v>
      </c>
      <c r="BL540" s="31">
        <v>0.8</v>
      </c>
      <c r="BM540" s="31">
        <v>0.8</v>
      </c>
      <c r="BN540" s="31">
        <v>0.8</v>
      </c>
      <c r="BO540" s="31">
        <v>0.8</v>
      </c>
    </row>
    <row r="541" spans="1:67" x14ac:dyDescent="0.2">
      <c r="A541" s="5" t="s">
        <v>67</v>
      </c>
      <c r="B541" s="25">
        <v>43227</v>
      </c>
      <c r="C541" s="26">
        <v>0.36805555555555602</v>
      </c>
      <c r="D541" s="5" t="s">
        <v>154</v>
      </c>
      <c r="E541" s="5">
        <v>3</v>
      </c>
      <c r="F541" s="32">
        <v>57</v>
      </c>
      <c r="G541" s="9">
        <v>2</v>
      </c>
      <c r="H541" s="6">
        <v>3.5087719298245612E-2</v>
      </c>
      <c r="I541" s="7">
        <v>6.83E-2</v>
      </c>
      <c r="J541" s="9">
        <v>314.15899999999999</v>
      </c>
      <c r="K541" s="9">
        <v>0.47809999999999997</v>
      </c>
      <c r="L541" s="9">
        <v>7</v>
      </c>
      <c r="M541" s="14">
        <v>328.54946663877848</v>
      </c>
      <c r="N541" s="9">
        <v>1421</v>
      </c>
      <c r="O541" s="12" t="s">
        <v>130</v>
      </c>
      <c r="P541" s="12" t="s">
        <v>82</v>
      </c>
      <c r="Q541" s="9" t="s">
        <v>95</v>
      </c>
      <c r="R541" s="9" t="s">
        <v>131</v>
      </c>
      <c r="S541" s="9"/>
      <c r="T541" s="18">
        <v>5</v>
      </c>
      <c r="U541" s="18">
        <v>5</v>
      </c>
      <c r="V541" s="9">
        <v>5.6</v>
      </c>
      <c r="Y541" s="9">
        <f t="shared" si="8"/>
        <v>1642.7473331938927</v>
      </c>
      <c r="Z541" s="19" t="s">
        <v>73</v>
      </c>
      <c r="AA541" s="8" t="s">
        <v>268</v>
      </c>
      <c r="AB541" s="8" t="s">
        <v>75</v>
      </c>
      <c r="AC541" s="11" t="s">
        <v>221</v>
      </c>
      <c r="AD541" s="9" t="s">
        <v>85</v>
      </c>
      <c r="AE541" s="14">
        <v>57.905786879999994</v>
      </c>
      <c r="AF541" s="13"/>
      <c r="AO541" s="35" t="s">
        <v>78</v>
      </c>
      <c r="AP541" s="31">
        <v>4.82</v>
      </c>
      <c r="AQ541" s="31">
        <v>5.6</v>
      </c>
      <c r="AR541" s="31">
        <v>4.5999999999999996</v>
      </c>
      <c r="AS541" s="31">
        <v>5.6</v>
      </c>
      <c r="AT541" s="31">
        <v>3.7</v>
      </c>
      <c r="AU541" s="31">
        <v>4.5999999999999996</v>
      </c>
    </row>
    <row r="542" spans="1:67" x14ac:dyDescent="0.2">
      <c r="A542" s="5" t="s">
        <v>67</v>
      </c>
      <c r="B542" s="25">
        <v>43290</v>
      </c>
      <c r="C542" s="26">
        <v>0.70833333333333304</v>
      </c>
      <c r="D542" s="5" t="s">
        <v>124</v>
      </c>
      <c r="E542" s="5">
        <v>3</v>
      </c>
      <c r="F542" s="32">
        <v>59</v>
      </c>
      <c r="G542" s="9">
        <v>2</v>
      </c>
      <c r="H542" s="6">
        <v>3.3898305084745763E-2</v>
      </c>
      <c r="I542" s="7">
        <v>6.83E-2</v>
      </c>
      <c r="J542" s="9">
        <v>314.15899999999999</v>
      </c>
      <c r="K542" s="9">
        <v>0.75129999999999997</v>
      </c>
      <c r="L542" s="9">
        <v>11</v>
      </c>
      <c r="M542" s="14">
        <v>209.07693331558633</v>
      </c>
      <c r="N542" s="9">
        <v>145</v>
      </c>
      <c r="O542" s="12" t="s">
        <v>69</v>
      </c>
      <c r="P542" s="8" t="s">
        <v>70</v>
      </c>
      <c r="Q542" s="9" t="s">
        <v>71</v>
      </c>
      <c r="R542" s="9" t="s">
        <v>72</v>
      </c>
      <c r="S542" s="9"/>
      <c r="T542" s="18">
        <v>1</v>
      </c>
      <c r="U542" s="18">
        <v>1</v>
      </c>
      <c r="V542" s="9">
        <v>18.5</v>
      </c>
      <c r="Y542" s="9">
        <f t="shared" si="8"/>
        <v>209.07693331558633</v>
      </c>
      <c r="Z542" s="19" t="s">
        <v>73</v>
      </c>
      <c r="AA542" s="8" t="s">
        <v>269</v>
      </c>
      <c r="AB542" s="8" t="s">
        <v>75</v>
      </c>
      <c r="AC542" s="11" t="s">
        <v>76</v>
      </c>
      <c r="AD542" s="9" t="s">
        <v>77</v>
      </c>
      <c r="AE542" s="14">
        <v>451.58785454999992</v>
      </c>
      <c r="AF542" s="13"/>
      <c r="AO542" s="34" t="s">
        <v>78</v>
      </c>
      <c r="AP542" s="31">
        <v>18.5</v>
      </c>
      <c r="AQ542" s="31">
        <v>18.5</v>
      </c>
    </row>
    <row r="543" spans="1:67" x14ac:dyDescent="0.2">
      <c r="A543" s="5"/>
      <c r="B543" s="25"/>
      <c r="C543" s="26"/>
      <c r="D543" s="5"/>
      <c r="E543" s="5"/>
      <c r="F543" s="32"/>
      <c r="G543" s="9"/>
      <c r="H543" s="6"/>
      <c r="I543" s="7"/>
      <c r="J543" s="9"/>
      <c r="N543" s="9"/>
      <c r="O543" s="12"/>
      <c r="S543" s="9"/>
      <c r="T543" s="18"/>
      <c r="U543" s="18"/>
      <c r="Y543" s="9" t="e">
        <f t="shared" si="8"/>
        <v>#DIV/0!</v>
      </c>
      <c r="Z543" s="19"/>
      <c r="AC543" s="11"/>
      <c r="AD543" s="9"/>
      <c r="AE543" s="14"/>
      <c r="AF543" s="13"/>
      <c r="AO543" s="34" t="s">
        <v>79</v>
      </c>
      <c r="AP543" s="31">
        <v>11.1</v>
      </c>
      <c r="AQ543" s="31">
        <v>11.1</v>
      </c>
    </row>
    <row r="544" spans="1:67" x14ac:dyDescent="0.2">
      <c r="A544" s="5"/>
      <c r="B544" s="25"/>
      <c r="C544" s="26"/>
      <c r="D544" s="5"/>
      <c r="E544" s="5"/>
      <c r="F544" s="32"/>
      <c r="G544" s="9"/>
      <c r="H544" s="6"/>
      <c r="I544" s="7"/>
      <c r="J544" s="9"/>
      <c r="N544" s="9"/>
      <c r="O544" s="12"/>
      <c r="S544" s="9"/>
      <c r="T544" s="18"/>
      <c r="U544" s="18"/>
      <c r="Y544" s="9" t="e">
        <f t="shared" si="8"/>
        <v>#DIV/0!</v>
      </c>
      <c r="Z544" s="19"/>
      <c r="AC544" s="11"/>
      <c r="AD544" s="9"/>
      <c r="AE544" s="14"/>
      <c r="AF544" s="13"/>
      <c r="AO544" s="34" t="s">
        <v>80</v>
      </c>
      <c r="AP544" s="31">
        <v>2.8</v>
      </c>
      <c r="AQ544" s="31">
        <v>2.8</v>
      </c>
    </row>
    <row r="545" spans="1:67" x14ac:dyDescent="0.2">
      <c r="A545" s="5" t="s">
        <v>67</v>
      </c>
      <c r="B545" s="25">
        <v>43290</v>
      </c>
      <c r="C545" s="26">
        <v>0.70833333333333304</v>
      </c>
      <c r="D545" s="5" t="s">
        <v>124</v>
      </c>
      <c r="E545" s="5">
        <v>3</v>
      </c>
      <c r="F545" s="32">
        <v>59</v>
      </c>
      <c r="G545" s="9">
        <v>2</v>
      </c>
      <c r="H545" s="6">
        <v>3.3898305084745763E-2</v>
      </c>
      <c r="I545" s="7">
        <v>6.83E-2</v>
      </c>
      <c r="J545" s="9">
        <v>314.15899999999999</v>
      </c>
      <c r="K545" s="9">
        <v>0.75129999999999997</v>
      </c>
      <c r="L545" s="9">
        <v>11</v>
      </c>
      <c r="M545" s="14">
        <v>209.07693331558633</v>
      </c>
      <c r="N545" s="9">
        <v>190</v>
      </c>
      <c r="O545" s="12" t="s">
        <v>102</v>
      </c>
      <c r="P545" s="8" t="s">
        <v>70</v>
      </c>
      <c r="Q545" s="9" t="s">
        <v>103</v>
      </c>
      <c r="R545" s="9" t="s">
        <v>84</v>
      </c>
      <c r="S545" s="9"/>
      <c r="T545" s="18">
        <v>2</v>
      </c>
      <c r="U545" s="18">
        <v>2</v>
      </c>
      <c r="V545" s="9">
        <v>5.6</v>
      </c>
      <c r="Y545" s="9">
        <f t="shared" si="8"/>
        <v>418.15386663117266</v>
      </c>
      <c r="Z545" s="19" t="s">
        <v>73</v>
      </c>
      <c r="AA545" s="8" t="s">
        <v>269</v>
      </c>
      <c r="AB545" s="8" t="s">
        <v>75</v>
      </c>
      <c r="AC545" s="11" t="s">
        <v>76</v>
      </c>
      <c r="AD545" s="9" t="s">
        <v>104</v>
      </c>
      <c r="AE545" s="14">
        <v>81.279216479999974</v>
      </c>
      <c r="AF545" s="13"/>
      <c r="AO545" s="34" t="s">
        <v>78</v>
      </c>
      <c r="AP545" s="31">
        <v>3.25</v>
      </c>
      <c r="AQ545" s="31">
        <v>3.7</v>
      </c>
      <c r="AR545" s="31">
        <v>2.8</v>
      </c>
    </row>
    <row r="546" spans="1:67" x14ac:dyDescent="0.2">
      <c r="A546" s="5"/>
      <c r="B546" s="25"/>
      <c r="C546" s="26"/>
      <c r="D546" s="5"/>
      <c r="E546" s="5"/>
      <c r="F546" s="32"/>
      <c r="G546" s="9"/>
      <c r="H546" s="6"/>
      <c r="I546" s="7"/>
      <c r="J546" s="9"/>
      <c r="N546" s="9"/>
      <c r="O546" s="12"/>
      <c r="S546" s="9"/>
      <c r="T546" s="18"/>
      <c r="U546" s="18"/>
      <c r="Y546" s="9" t="e">
        <f t="shared" si="8"/>
        <v>#DIV/0!</v>
      </c>
      <c r="Z546" s="19"/>
      <c r="AC546" s="11"/>
      <c r="AD546" s="9"/>
      <c r="AE546" s="14"/>
      <c r="AF546" s="13"/>
      <c r="AO546" s="34" t="s">
        <v>79</v>
      </c>
      <c r="AP546" s="31">
        <v>5.6</v>
      </c>
      <c r="AQ546" s="31">
        <v>5.6</v>
      </c>
      <c r="AR546" s="31">
        <v>5.6</v>
      </c>
    </row>
    <row r="547" spans="1:67" x14ac:dyDescent="0.2">
      <c r="A547" s="5" t="s">
        <v>67</v>
      </c>
      <c r="B547" s="25">
        <v>43290</v>
      </c>
      <c r="C547" s="26">
        <v>0.70833333333333304</v>
      </c>
      <c r="D547" s="5" t="s">
        <v>124</v>
      </c>
      <c r="E547" s="5">
        <v>3</v>
      </c>
      <c r="F547" s="32">
        <v>59</v>
      </c>
      <c r="G547" s="9">
        <v>2</v>
      </c>
      <c r="H547" s="6">
        <v>3.3898305084745763E-2</v>
      </c>
      <c r="I547" s="7">
        <v>6.83E-2</v>
      </c>
      <c r="J547" s="9">
        <v>314.15899999999999</v>
      </c>
      <c r="K547" s="9">
        <v>0.75129999999999997</v>
      </c>
      <c r="L547" s="9">
        <v>11</v>
      </c>
      <c r="M547" s="14">
        <v>209.07693331558633</v>
      </c>
      <c r="N547" s="9">
        <v>730</v>
      </c>
      <c r="O547" s="12" t="s">
        <v>270</v>
      </c>
      <c r="P547" s="8" t="s">
        <v>70</v>
      </c>
      <c r="Q547" s="9" t="s">
        <v>191</v>
      </c>
      <c r="R547" s="9" t="s">
        <v>271</v>
      </c>
      <c r="S547" s="9"/>
      <c r="T547" s="18">
        <v>2</v>
      </c>
      <c r="U547" s="18">
        <v>2</v>
      </c>
      <c r="V547" s="9">
        <v>37</v>
      </c>
      <c r="Y547" s="9">
        <f t="shared" si="8"/>
        <v>418.15386663117266</v>
      </c>
      <c r="Z547" s="19" t="s">
        <v>73</v>
      </c>
      <c r="AA547" s="8" t="s">
        <v>269</v>
      </c>
      <c r="AB547" s="8" t="s">
        <v>75</v>
      </c>
      <c r="AC547" s="11" t="s">
        <v>76</v>
      </c>
      <c r="AD547" s="9" t="s">
        <v>193</v>
      </c>
      <c r="AE547" s="14">
        <v>158.11949999999999</v>
      </c>
      <c r="AF547" s="13"/>
      <c r="AO547" s="34" t="s">
        <v>78</v>
      </c>
      <c r="AP547" s="31">
        <v>25.9</v>
      </c>
      <c r="AQ547" s="31">
        <v>14.8</v>
      </c>
      <c r="AR547" s="31">
        <v>37</v>
      </c>
    </row>
    <row r="548" spans="1:67" x14ac:dyDescent="0.2">
      <c r="A548" s="5"/>
      <c r="B548" s="25"/>
      <c r="C548" s="26"/>
      <c r="D548" s="5"/>
      <c r="E548" s="5"/>
      <c r="F548" s="32"/>
      <c r="G548" s="9"/>
      <c r="H548" s="6"/>
      <c r="I548" s="7"/>
      <c r="J548" s="9"/>
      <c r="N548" s="9"/>
      <c r="O548" s="12"/>
      <c r="S548" s="9"/>
      <c r="T548" s="18"/>
      <c r="U548" s="18"/>
      <c r="Y548" s="9" t="e">
        <f t="shared" si="8"/>
        <v>#DIV/0!</v>
      </c>
      <c r="Z548" s="19"/>
      <c r="AC548" s="11"/>
      <c r="AD548" s="9"/>
      <c r="AE548" s="14"/>
      <c r="AF548" s="13"/>
      <c r="AO548" s="34" t="s">
        <v>79</v>
      </c>
      <c r="AP548" s="31">
        <v>3.7</v>
      </c>
      <c r="AQ548" s="31">
        <v>3.7</v>
      </c>
      <c r="AR548" s="31">
        <v>3.7</v>
      </c>
    </row>
    <row r="549" spans="1:67" x14ac:dyDescent="0.2">
      <c r="A549" s="5"/>
      <c r="B549" s="25"/>
      <c r="C549" s="26"/>
      <c r="D549" s="5"/>
      <c r="E549" s="5"/>
      <c r="F549" s="32"/>
      <c r="G549" s="9"/>
      <c r="H549" s="6"/>
      <c r="I549" s="7"/>
      <c r="J549" s="9"/>
      <c r="N549" s="9"/>
      <c r="O549" s="12"/>
      <c r="S549" s="9"/>
      <c r="T549" s="18"/>
      <c r="U549" s="18"/>
      <c r="Y549" s="9" t="e">
        <f t="shared" si="8"/>
        <v>#DIV/0!</v>
      </c>
      <c r="Z549" s="19"/>
      <c r="AC549" s="11"/>
      <c r="AD549" s="9"/>
      <c r="AE549" s="14"/>
      <c r="AF549" s="13"/>
      <c r="AO549" s="34" t="s">
        <v>80</v>
      </c>
      <c r="AP549" s="31">
        <v>3.25</v>
      </c>
      <c r="AQ549" s="31">
        <v>2.8</v>
      </c>
      <c r="AR549" s="31">
        <v>3.7</v>
      </c>
    </row>
    <row r="550" spans="1:67" x14ac:dyDescent="0.2">
      <c r="A550" s="5" t="s">
        <v>67</v>
      </c>
      <c r="B550" s="25">
        <v>43290</v>
      </c>
      <c r="C550" s="26">
        <v>0.70833333333333304</v>
      </c>
      <c r="D550" s="5" t="s">
        <v>124</v>
      </c>
      <c r="E550" s="5">
        <v>3</v>
      </c>
      <c r="F550" s="32">
        <v>59</v>
      </c>
      <c r="G550" s="9">
        <v>2</v>
      </c>
      <c r="H550" s="6">
        <v>3.3898305084745763E-2</v>
      </c>
      <c r="I550" s="7">
        <v>6.83E-2</v>
      </c>
      <c r="J550" s="9">
        <v>314.15899999999999</v>
      </c>
      <c r="K550" s="9">
        <v>0.75129999999999997</v>
      </c>
      <c r="L550" s="9">
        <v>11</v>
      </c>
      <c r="M550" s="14">
        <v>209.07693331558633</v>
      </c>
      <c r="N550" s="9">
        <v>1037</v>
      </c>
      <c r="O550" s="12" t="s">
        <v>86</v>
      </c>
      <c r="P550" s="12" t="s">
        <v>82</v>
      </c>
      <c r="Q550" s="9" t="s">
        <v>87</v>
      </c>
      <c r="R550" s="9" t="s">
        <v>84</v>
      </c>
      <c r="S550" s="9"/>
      <c r="T550" s="18">
        <v>39</v>
      </c>
      <c r="U550" s="18">
        <v>39</v>
      </c>
      <c r="V550" s="9">
        <v>3.7</v>
      </c>
      <c r="Y550" s="9">
        <f t="shared" si="8"/>
        <v>8154.0003993078662</v>
      </c>
      <c r="Z550" s="19" t="s">
        <v>73</v>
      </c>
      <c r="AA550" s="8" t="s">
        <v>269</v>
      </c>
      <c r="AB550" s="8" t="s">
        <v>75</v>
      </c>
      <c r="AC550" s="11" t="s">
        <v>76</v>
      </c>
      <c r="AD550" s="9" t="s">
        <v>85</v>
      </c>
      <c r="AE550" s="14">
        <v>11.494030613333329</v>
      </c>
      <c r="AF550" s="13"/>
      <c r="AO550" s="34" t="s">
        <v>78</v>
      </c>
      <c r="AP550" s="31">
        <v>2.8</v>
      </c>
      <c r="AQ550" s="31">
        <v>3.7</v>
      </c>
      <c r="AR550" s="31">
        <v>1.9</v>
      </c>
      <c r="AS550" s="31">
        <v>2.8</v>
      </c>
      <c r="AT550" s="31">
        <v>2.8</v>
      </c>
      <c r="AU550" s="31">
        <v>2.8</v>
      </c>
    </row>
    <row r="551" spans="1:67" x14ac:dyDescent="0.2">
      <c r="A551" s="5" t="s">
        <v>67</v>
      </c>
      <c r="B551" s="25">
        <v>43290</v>
      </c>
      <c r="C551" s="26">
        <v>0.70833333333333304</v>
      </c>
      <c r="D551" s="5" t="s">
        <v>124</v>
      </c>
      <c r="E551" s="5">
        <v>3</v>
      </c>
      <c r="F551" s="32">
        <v>59</v>
      </c>
      <c r="G551" s="9">
        <v>2</v>
      </c>
      <c r="H551" s="6">
        <v>3.3898305084745763E-2</v>
      </c>
      <c r="I551" s="7">
        <v>6.83E-2</v>
      </c>
      <c r="J551" s="9">
        <v>314.15899999999999</v>
      </c>
      <c r="K551" s="9">
        <v>0.75129999999999997</v>
      </c>
      <c r="L551" s="9">
        <v>11</v>
      </c>
      <c r="M551" s="14">
        <v>209.07693331558633</v>
      </c>
      <c r="N551" s="9">
        <v>1235</v>
      </c>
      <c r="O551" s="12" t="s">
        <v>216</v>
      </c>
      <c r="P551" s="12" t="s">
        <v>82</v>
      </c>
      <c r="Q551" s="9" t="s">
        <v>217</v>
      </c>
      <c r="R551" s="9" t="s">
        <v>84</v>
      </c>
      <c r="S551" s="9"/>
      <c r="T551" s="18">
        <v>1</v>
      </c>
      <c r="U551" s="18">
        <v>2</v>
      </c>
      <c r="V551" s="9">
        <v>3.7</v>
      </c>
      <c r="Y551" s="9">
        <f t="shared" si="8"/>
        <v>209.07693331558633</v>
      </c>
      <c r="Z551" s="19" t="s">
        <v>97</v>
      </c>
      <c r="AA551" s="8" t="s">
        <v>269</v>
      </c>
      <c r="AB551" s="8" t="s">
        <v>75</v>
      </c>
      <c r="AC551" s="11" t="s">
        <v>76</v>
      </c>
      <c r="AD551" s="9" t="s">
        <v>120</v>
      </c>
      <c r="AE551" s="14">
        <v>1.569224205</v>
      </c>
      <c r="AF551" s="13"/>
      <c r="AO551" s="34" t="s">
        <v>78</v>
      </c>
      <c r="AP551" s="31">
        <v>3.7</v>
      </c>
      <c r="AQ551" s="31">
        <v>3.7</v>
      </c>
      <c r="AR551" s="31">
        <v>3.7</v>
      </c>
    </row>
    <row r="552" spans="1:67" x14ac:dyDescent="0.2">
      <c r="A552" s="5"/>
      <c r="B552" s="25"/>
      <c r="C552" s="26"/>
      <c r="D552" s="5"/>
      <c r="E552" s="5"/>
      <c r="F552" s="32"/>
      <c r="G552" s="9"/>
      <c r="H552" s="6"/>
      <c r="I552" s="7"/>
      <c r="J552" s="9"/>
      <c r="N552" s="9"/>
      <c r="O552" s="12"/>
      <c r="P552" s="12"/>
      <c r="S552" s="9"/>
      <c r="T552" s="18"/>
      <c r="U552" s="18"/>
      <c r="Y552" s="9" t="e">
        <f t="shared" si="8"/>
        <v>#DIV/0!</v>
      </c>
      <c r="Z552" s="19"/>
      <c r="AC552" s="11"/>
      <c r="AD552" s="9"/>
      <c r="AE552" s="14"/>
      <c r="AF552" s="13"/>
      <c r="AO552" s="34" t="s">
        <v>79</v>
      </c>
      <c r="AP552" s="31">
        <v>0.9</v>
      </c>
      <c r="AQ552" s="31">
        <v>0.9</v>
      </c>
      <c r="AR552" s="31">
        <v>0.9</v>
      </c>
    </row>
    <row r="553" spans="1:67" x14ac:dyDescent="0.2">
      <c r="A553" s="5" t="s">
        <v>67</v>
      </c>
      <c r="B553" s="25">
        <v>43290</v>
      </c>
      <c r="C553" s="26">
        <v>0.70833333333333304</v>
      </c>
      <c r="D553" s="5" t="s">
        <v>124</v>
      </c>
      <c r="E553" s="5">
        <v>3</v>
      </c>
      <c r="F553" s="32">
        <v>59</v>
      </c>
      <c r="G553" s="9">
        <v>2</v>
      </c>
      <c r="H553" s="6">
        <v>3.3898305084745763E-2</v>
      </c>
      <c r="I553" s="7">
        <v>6.83E-2</v>
      </c>
      <c r="J553" s="9">
        <v>314.15899999999999</v>
      </c>
      <c r="K553" s="9">
        <v>0.75129999999999997</v>
      </c>
      <c r="L553" s="9">
        <v>11</v>
      </c>
      <c r="M553" s="14">
        <v>209.07693331558633</v>
      </c>
      <c r="N553" s="9">
        <v>1419</v>
      </c>
      <c r="O553" s="12" t="s">
        <v>94</v>
      </c>
      <c r="P553" s="12" t="s">
        <v>82</v>
      </c>
      <c r="Q553" s="9" t="s">
        <v>95</v>
      </c>
      <c r="R553" s="9" t="s">
        <v>96</v>
      </c>
      <c r="S553" s="9"/>
      <c r="T553" s="18">
        <v>356</v>
      </c>
      <c r="U553" s="18">
        <v>712</v>
      </c>
      <c r="V553" s="9">
        <v>0.8</v>
      </c>
      <c r="W553" s="9">
        <v>0.8</v>
      </c>
      <c r="X553" s="9">
        <v>0.8</v>
      </c>
      <c r="Y553" s="9">
        <f t="shared" si="8"/>
        <v>74431.388260348729</v>
      </c>
      <c r="Z553" s="19" t="s">
        <v>97</v>
      </c>
      <c r="AA553" s="8" t="s">
        <v>269</v>
      </c>
      <c r="AB553" s="8" t="s">
        <v>75</v>
      </c>
      <c r="AC553" s="11" t="s">
        <v>76</v>
      </c>
      <c r="AD553" s="9" t="s">
        <v>85</v>
      </c>
      <c r="AE553" s="14">
        <v>0.18</v>
      </c>
      <c r="AF553" s="14">
        <v>0.18</v>
      </c>
      <c r="AG553" s="14">
        <v>0.18</v>
      </c>
      <c r="AH553" s="14">
        <v>0.18</v>
      </c>
      <c r="AI553" s="14">
        <v>0.18</v>
      </c>
      <c r="AJ553" s="14">
        <v>0.18</v>
      </c>
      <c r="AK553" s="14">
        <v>0.18</v>
      </c>
      <c r="AL553" s="14">
        <v>0.18</v>
      </c>
      <c r="AM553" s="14">
        <v>0.18</v>
      </c>
      <c r="AN553" s="14">
        <v>0.18</v>
      </c>
      <c r="AO553" s="35" t="s">
        <v>78</v>
      </c>
      <c r="AP553" s="31">
        <v>0.75200000000000033</v>
      </c>
      <c r="AQ553" s="31">
        <v>0.7</v>
      </c>
      <c r="AR553" s="31">
        <v>0.7</v>
      </c>
      <c r="AS553" s="31">
        <v>0.7</v>
      </c>
      <c r="AT553" s="31">
        <v>0.7</v>
      </c>
      <c r="AU553" s="31">
        <v>0.7</v>
      </c>
      <c r="AV553" s="31">
        <v>0.7</v>
      </c>
      <c r="AW553" s="31">
        <v>0.7</v>
      </c>
      <c r="AX553" s="31">
        <v>0.7</v>
      </c>
      <c r="AY553" s="31">
        <v>0.7</v>
      </c>
      <c r="AZ553" s="31">
        <v>0.7</v>
      </c>
      <c r="BA553" s="31">
        <v>0.7</v>
      </c>
      <c r="BB553" s="31">
        <v>0.7</v>
      </c>
      <c r="BC553" s="31">
        <v>0.8</v>
      </c>
      <c r="BD553" s="31">
        <v>0.8</v>
      </c>
      <c r="BE553" s="31">
        <v>0.8</v>
      </c>
      <c r="BF553" s="31">
        <v>0.8</v>
      </c>
      <c r="BG553" s="31">
        <v>0.8</v>
      </c>
      <c r="BH553" s="31">
        <v>0.8</v>
      </c>
      <c r="BI553" s="31">
        <v>0.8</v>
      </c>
      <c r="BJ553" s="31">
        <v>0.8</v>
      </c>
      <c r="BK553" s="31">
        <v>0.8</v>
      </c>
      <c r="BL553" s="31">
        <v>0.8</v>
      </c>
      <c r="BM553" s="31">
        <v>0.8</v>
      </c>
      <c r="BN553" s="31">
        <v>0.8</v>
      </c>
      <c r="BO553" s="31">
        <v>0.8</v>
      </c>
    </row>
    <row r="554" spans="1:67" x14ac:dyDescent="0.2">
      <c r="A554" s="5" t="s">
        <v>67</v>
      </c>
      <c r="B554" s="25">
        <v>43290</v>
      </c>
      <c r="C554" s="26">
        <v>0.70833333333333304</v>
      </c>
      <c r="D554" s="5" t="s">
        <v>124</v>
      </c>
      <c r="E554" s="5">
        <v>3</v>
      </c>
      <c r="F554" s="32">
        <v>59</v>
      </c>
      <c r="G554" s="9">
        <v>2</v>
      </c>
      <c r="H554" s="6">
        <v>3.3898305084745763E-2</v>
      </c>
      <c r="I554" s="7">
        <v>6.83E-2</v>
      </c>
      <c r="J554" s="9">
        <v>314.15899999999999</v>
      </c>
      <c r="K554" s="9">
        <v>0.75129999999999997</v>
      </c>
      <c r="L554" s="9">
        <v>11</v>
      </c>
      <c r="M554" s="14">
        <v>209.07693331558633</v>
      </c>
      <c r="N554" s="9">
        <v>1420</v>
      </c>
      <c r="O554" s="12" t="s">
        <v>98</v>
      </c>
      <c r="P554" s="12" t="s">
        <v>82</v>
      </c>
      <c r="Q554" s="9" t="s">
        <v>95</v>
      </c>
      <c r="R554" s="9" t="s">
        <v>99</v>
      </c>
      <c r="S554" s="9"/>
      <c r="T554" s="18">
        <v>3</v>
      </c>
      <c r="U554" s="18">
        <v>6</v>
      </c>
      <c r="V554" s="9">
        <v>1.9</v>
      </c>
      <c r="Y554" s="9">
        <f t="shared" si="8"/>
        <v>627.23079994675891</v>
      </c>
      <c r="Z554" s="19" t="s">
        <v>97</v>
      </c>
      <c r="AA554" s="8" t="s">
        <v>269</v>
      </c>
      <c r="AB554" s="8" t="s">
        <v>75</v>
      </c>
      <c r="AC554" s="11" t="s">
        <v>76</v>
      </c>
      <c r="AD554" s="9" t="s">
        <v>85</v>
      </c>
      <c r="AE554" s="14">
        <v>3.5913609683333325</v>
      </c>
      <c r="AF554" s="13"/>
      <c r="AO554" s="34" t="s">
        <v>78</v>
      </c>
      <c r="AP554" s="31">
        <v>1.9</v>
      </c>
      <c r="AQ554" s="31">
        <v>1.9</v>
      </c>
      <c r="AR554" s="31">
        <v>1.9</v>
      </c>
      <c r="AS554" s="31">
        <v>1.9</v>
      </c>
      <c r="AT554" s="31">
        <v>1.9</v>
      </c>
      <c r="AU554" s="31">
        <v>1.9</v>
      </c>
    </row>
    <row r="555" spans="1:67" x14ac:dyDescent="0.2">
      <c r="A555" s="5" t="s">
        <v>67</v>
      </c>
      <c r="B555" s="25">
        <v>43290</v>
      </c>
      <c r="C555" s="26">
        <v>0.70833333333333304</v>
      </c>
      <c r="D555" s="5" t="s">
        <v>124</v>
      </c>
      <c r="E555" s="5">
        <v>3</v>
      </c>
      <c r="F555" s="32">
        <v>59</v>
      </c>
      <c r="G555" s="9">
        <v>2</v>
      </c>
      <c r="H555" s="6">
        <v>3.3898305084745763E-2</v>
      </c>
      <c r="I555" s="7">
        <v>6.83E-2</v>
      </c>
      <c r="J555" s="9">
        <v>314.15899999999999</v>
      </c>
      <c r="K555" s="9">
        <v>0.75129999999999997</v>
      </c>
      <c r="L555" s="9">
        <v>11</v>
      </c>
      <c r="M555" s="14">
        <v>209.07693331558633</v>
      </c>
      <c r="N555" s="9">
        <v>1421</v>
      </c>
      <c r="O555" s="12" t="s">
        <v>130</v>
      </c>
      <c r="P555" s="12" t="s">
        <v>82</v>
      </c>
      <c r="Q555" s="9" t="s">
        <v>95</v>
      </c>
      <c r="R555" s="9" t="s">
        <v>131</v>
      </c>
      <c r="S555" s="9"/>
      <c r="T555" s="18">
        <v>2</v>
      </c>
      <c r="U555" s="18">
        <v>2</v>
      </c>
      <c r="V555" s="9">
        <v>5.6</v>
      </c>
      <c r="Y555" s="9">
        <f t="shared" si="8"/>
        <v>418.15386663117266</v>
      </c>
      <c r="Z555" s="19" t="s">
        <v>73</v>
      </c>
      <c r="AA555" s="8" t="s">
        <v>269</v>
      </c>
      <c r="AB555" s="8" t="s">
        <v>75</v>
      </c>
      <c r="AC555" s="11" t="s">
        <v>76</v>
      </c>
      <c r="AD555" s="9" t="s">
        <v>85</v>
      </c>
      <c r="AE555" s="14">
        <v>69.455842514999972</v>
      </c>
      <c r="AF555" s="13"/>
      <c r="AO555" s="34" t="s">
        <v>78</v>
      </c>
      <c r="AP555" s="31">
        <v>5.0999999999999996</v>
      </c>
      <c r="AQ555" s="31">
        <v>4.5999999999999996</v>
      </c>
      <c r="AR555" s="31">
        <v>5.6</v>
      </c>
    </row>
    <row r="556" spans="1:67" x14ac:dyDescent="0.2">
      <c r="A556" s="5" t="s">
        <v>67</v>
      </c>
      <c r="B556" s="25">
        <v>43290</v>
      </c>
      <c r="C556" s="26">
        <v>0.70833333333333304</v>
      </c>
      <c r="D556" s="5" t="s">
        <v>124</v>
      </c>
      <c r="E556" s="5">
        <v>3</v>
      </c>
      <c r="F556" s="32">
        <v>59</v>
      </c>
      <c r="G556" s="9">
        <v>2</v>
      </c>
      <c r="H556" s="6">
        <v>3.3898305084745763E-2</v>
      </c>
      <c r="I556" s="7">
        <v>6.83E-2</v>
      </c>
      <c r="J556" s="9">
        <v>314.15899999999999</v>
      </c>
      <c r="K556" s="9">
        <v>0.75129999999999997</v>
      </c>
      <c r="L556" s="9">
        <v>11</v>
      </c>
      <c r="M556" s="14">
        <v>209.07693331558633</v>
      </c>
      <c r="N556" s="9">
        <v>1902</v>
      </c>
      <c r="O556" s="12" t="s">
        <v>272</v>
      </c>
      <c r="P556" s="12" t="s">
        <v>82</v>
      </c>
      <c r="Q556" s="9" t="s">
        <v>133</v>
      </c>
      <c r="R556" s="9" t="s">
        <v>273</v>
      </c>
      <c r="S556" s="9"/>
      <c r="T556" s="18">
        <v>3</v>
      </c>
      <c r="U556" s="18">
        <v>49</v>
      </c>
      <c r="V556" s="9">
        <v>5.6</v>
      </c>
      <c r="Y556" s="9">
        <f t="shared" si="8"/>
        <v>627.23079994675891</v>
      </c>
      <c r="Z556" s="19" t="s">
        <v>134</v>
      </c>
      <c r="AA556" s="8" t="s">
        <v>269</v>
      </c>
      <c r="AB556" s="8" t="s">
        <v>75</v>
      </c>
      <c r="AC556" s="11" t="s">
        <v>76</v>
      </c>
      <c r="AD556" s="9" t="s">
        <v>104</v>
      </c>
      <c r="AE556" s="14">
        <v>60.211713939999996</v>
      </c>
      <c r="AF556" s="13"/>
      <c r="AO556" s="34" t="s">
        <v>78</v>
      </c>
      <c r="AP556" s="31">
        <v>5.6</v>
      </c>
      <c r="AQ556" s="31">
        <v>5.6</v>
      </c>
      <c r="AR556" s="31">
        <v>5.6</v>
      </c>
      <c r="AS556" s="31">
        <v>5.6</v>
      </c>
      <c r="AT556" s="31">
        <v>5.6</v>
      </c>
      <c r="AU556" s="31">
        <v>5.6</v>
      </c>
    </row>
    <row r="557" spans="1:67" x14ac:dyDescent="0.2">
      <c r="A557" s="5"/>
      <c r="B557" s="25"/>
      <c r="C557" s="26"/>
      <c r="D557" s="5"/>
      <c r="E557" s="5"/>
      <c r="F557" s="32"/>
      <c r="G557" s="9"/>
      <c r="H557" s="6"/>
      <c r="I557" s="7"/>
      <c r="J557" s="9"/>
      <c r="N557" s="9"/>
      <c r="O557" s="12"/>
      <c r="P557" s="12"/>
      <c r="S557" s="9"/>
      <c r="T557" s="18"/>
      <c r="U557" s="18"/>
      <c r="Y557" s="9" t="e">
        <f t="shared" si="8"/>
        <v>#DIV/0!</v>
      </c>
      <c r="Z557" s="19"/>
      <c r="AC557" s="11"/>
      <c r="AD557" s="9"/>
      <c r="AE557" s="14"/>
      <c r="AF557" s="13"/>
      <c r="AO557" s="34" t="s">
        <v>79</v>
      </c>
      <c r="AP557" s="31">
        <v>3.7</v>
      </c>
      <c r="AQ557" s="31">
        <v>3.7</v>
      </c>
      <c r="AR557" s="31">
        <v>3.7</v>
      </c>
      <c r="AS557" s="31">
        <v>3.7</v>
      </c>
      <c r="AT557" s="31">
        <v>3.7</v>
      </c>
      <c r="AU557" s="31">
        <v>3.7</v>
      </c>
    </row>
    <row r="558" spans="1:67" x14ac:dyDescent="0.2">
      <c r="A558" s="5" t="s">
        <v>67</v>
      </c>
      <c r="B558" s="25">
        <v>43290</v>
      </c>
      <c r="C558" s="26">
        <v>0.70833333333333304</v>
      </c>
      <c r="D558" s="5" t="s">
        <v>124</v>
      </c>
      <c r="E558" s="5">
        <v>3</v>
      </c>
      <c r="F558" s="32">
        <v>59</v>
      </c>
      <c r="G558" s="9">
        <v>2</v>
      </c>
      <c r="H558" s="6">
        <v>3.3898305084745763E-2</v>
      </c>
      <c r="I558" s="7">
        <v>6.83E-2</v>
      </c>
      <c r="J558" s="9">
        <v>314.15899999999999</v>
      </c>
      <c r="K558" s="9">
        <v>0.75129999999999997</v>
      </c>
      <c r="L558" s="9">
        <v>11</v>
      </c>
      <c r="M558" s="14">
        <v>209.07693331558633</v>
      </c>
      <c r="N558" s="9">
        <v>1508</v>
      </c>
      <c r="O558" s="12" t="s">
        <v>132</v>
      </c>
      <c r="P558" s="12" t="s">
        <v>82</v>
      </c>
      <c r="Q558" s="9" t="s">
        <v>133</v>
      </c>
      <c r="R558" s="9" t="s">
        <v>84</v>
      </c>
      <c r="S558" s="9"/>
      <c r="T558" s="18">
        <v>1</v>
      </c>
      <c r="U558" s="18">
        <v>46</v>
      </c>
      <c r="V558" s="9">
        <v>1.9</v>
      </c>
      <c r="Y558" s="9">
        <f t="shared" si="8"/>
        <v>209.07693331558633</v>
      </c>
      <c r="Z558" s="19" t="s">
        <v>134</v>
      </c>
      <c r="AA558" s="8" t="s">
        <v>269</v>
      </c>
      <c r="AB558" s="8" t="s">
        <v>75</v>
      </c>
      <c r="AC558" s="11" t="s">
        <v>76</v>
      </c>
      <c r="AD558" s="9" t="s">
        <v>104</v>
      </c>
      <c r="AE558" s="14">
        <v>5.3870414524999992</v>
      </c>
      <c r="AF558" s="13"/>
      <c r="AO558" s="34" t="s">
        <v>78</v>
      </c>
      <c r="AP558" s="31">
        <v>1.9</v>
      </c>
      <c r="AQ558" s="31">
        <v>1.9</v>
      </c>
      <c r="AR558" s="31">
        <v>1.9</v>
      </c>
      <c r="AS558" s="31">
        <v>1.9</v>
      </c>
      <c r="AT558" s="31">
        <v>1.9</v>
      </c>
      <c r="AU558" s="31">
        <v>1.9</v>
      </c>
    </row>
    <row r="559" spans="1:67" x14ac:dyDescent="0.2">
      <c r="A559" s="5"/>
      <c r="B559" s="25"/>
      <c r="C559" s="26"/>
      <c r="D559" s="5"/>
      <c r="E559" s="5"/>
      <c r="F559" s="32"/>
      <c r="G559" s="9"/>
      <c r="H559" s="6"/>
      <c r="I559" s="7"/>
      <c r="J559" s="9"/>
      <c r="N559" s="9"/>
      <c r="O559" s="12"/>
      <c r="P559" s="12"/>
      <c r="S559" s="9"/>
      <c r="T559" s="18"/>
      <c r="U559" s="18"/>
      <c r="Y559" s="9" t="e">
        <f t="shared" si="8"/>
        <v>#DIV/0!</v>
      </c>
      <c r="Z559" s="19"/>
      <c r="AC559" s="11"/>
      <c r="AD559" s="9"/>
      <c r="AE559" s="14"/>
      <c r="AF559" s="13"/>
      <c r="AO559" s="34" t="s">
        <v>79</v>
      </c>
      <c r="AP559" s="31">
        <v>1.9</v>
      </c>
      <c r="AQ559" s="31">
        <v>1.9</v>
      </c>
      <c r="AR559" s="31">
        <v>1.9</v>
      </c>
      <c r="AS559" s="31">
        <v>1.9</v>
      </c>
      <c r="AT559" s="31">
        <v>1.9</v>
      </c>
      <c r="AU559" s="31">
        <v>1.9</v>
      </c>
    </row>
    <row r="560" spans="1:67" x14ac:dyDescent="0.2">
      <c r="A560" s="5" t="s">
        <v>67</v>
      </c>
      <c r="B560" s="25">
        <v>43290</v>
      </c>
      <c r="C560" s="26">
        <v>0.70833333333333304</v>
      </c>
      <c r="D560" s="5" t="s">
        <v>124</v>
      </c>
      <c r="E560" s="5">
        <v>3</v>
      </c>
      <c r="F560" s="32">
        <v>59</v>
      </c>
      <c r="G560" s="9">
        <v>2</v>
      </c>
      <c r="H560" s="6">
        <v>3.3898305084745763E-2</v>
      </c>
      <c r="I560" s="7">
        <v>6.83E-2</v>
      </c>
      <c r="J560" s="9">
        <v>314.15899999999999</v>
      </c>
      <c r="K560" s="9">
        <v>0.75129999999999997</v>
      </c>
      <c r="L560" s="9">
        <v>11</v>
      </c>
      <c r="M560" s="14">
        <v>209.07693331558633</v>
      </c>
      <c r="N560" s="9">
        <v>1526</v>
      </c>
      <c r="O560" s="8" t="s">
        <v>156</v>
      </c>
      <c r="P560" s="12" t="s">
        <v>82</v>
      </c>
      <c r="Q560" s="9" t="s">
        <v>157</v>
      </c>
      <c r="R560" s="9" t="s">
        <v>84</v>
      </c>
      <c r="S560" s="9"/>
      <c r="T560" s="18">
        <v>1</v>
      </c>
      <c r="U560" s="18">
        <v>1</v>
      </c>
      <c r="V560" s="9">
        <v>5.6</v>
      </c>
      <c r="Y560" s="9">
        <f t="shared" si="8"/>
        <v>209.07693331558633</v>
      </c>
      <c r="Z560" s="19" t="s">
        <v>73</v>
      </c>
      <c r="AA560" s="8" t="s">
        <v>269</v>
      </c>
      <c r="AB560" s="8" t="s">
        <v>75</v>
      </c>
      <c r="AC560" s="11" t="s">
        <v>76</v>
      </c>
      <c r="AD560" s="9" t="s">
        <v>85</v>
      </c>
      <c r="AE560" s="14">
        <v>91.952244906666635</v>
      </c>
      <c r="AF560" s="13"/>
      <c r="AO560" s="34" t="s">
        <v>78</v>
      </c>
      <c r="AP560" s="31">
        <v>5.6</v>
      </c>
      <c r="AQ560" s="31">
        <v>5.6</v>
      </c>
    </row>
    <row r="561" spans="1:67" x14ac:dyDescent="0.2">
      <c r="A561" s="5" t="s">
        <v>67</v>
      </c>
      <c r="B561" s="25">
        <v>43290</v>
      </c>
      <c r="C561" s="26">
        <v>0.61805555555555602</v>
      </c>
      <c r="D561" s="5" t="s">
        <v>226</v>
      </c>
      <c r="E561" s="5">
        <v>3</v>
      </c>
      <c r="F561" s="32">
        <v>56</v>
      </c>
      <c r="G561" s="9">
        <v>1</v>
      </c>
      <c r="H561" s="6">
        <v>1.7857142857142856E-2</v>
      </c>
      <c r="I561" s="7">
        <v>6.83E-2</v>
      </c>
      <c r="J561" s="9">
        <v>314.15899999999999</v>
      </c>
      <c r="K561" s="9">
        <v>0.75129999999999997</v>
      </c>
      <c r="L561" s="9">
        <v>11</v>
      </c>
      <c r="M561" s="14">
        <v>418.15386663117266</v>
      </c>
      <c r="N561" s="9">
        <v>190</v>
      </c>
      <c r="O561" s="12" t="s">
        <v>102</v>
      </c>
      <c r="P561" s="8" t="s">
        <v>70</v>
      </c>
      <c r="Q561" s="9" t="s">
        <v>103</v>
      </c>
      <c r="R561" s="9" t="s">
        <v>84</v>
      </c>
      <c r="S561" s="9"/>
      <c r="T561" s="18">
        <v>1</v>
      </c>
      <c r="U561" s="18">
        <v>1</v>
      </c>
      <c r="V561" s="9">
        <v>7.4</v>
      </c>
      <c r="Y561" s="9">
        <f t="shared" si="8"/>
        <v>418.15386663117266</v>
      </c>
      <c r="Z561" s="19" t="s">
        <v>73</v>
      </c>
      <c r="AA561" s="8" t="s">
        <v>274</v>
      </c>
      <c r="AB561" s="8" t="s">
        <v>75</v>
      </c>
      <c r="AC561" s="11" t="s">
        <v>76</v>
      </c>
      <c r="AD561" s="9" t="s">
        <v>104</v>
      </c>
      <c r="AE561" s="14">
        <v>240.84685575999998</v>
      </c>
      <c r="AF561" s="13"/>
      <c r="AO561" s="34" t="s">
        <v>78</v>
      </c>
      <c r="AP561" s="31">
        <v>5.6</v>
      </c>
      <c r="AQ561" s="31">
        <v>5.6</v>
      </c>
    </row>
    <row r="562" spans="1:67" x14ac:dyDescent="0.2">
      <c r="A562" s="5"/>
      <c r="B562" s="25"/>
      <c r="C562" s="26"/>
      <c r="D562" s="5"/>
      <c r="E562" s="5"/>
      <c r="F562" s="32"/>
      <c r="G562" s="9"/>
      <c r="H562" s="6"/>
      <c r="I562" s="7"/>
      <c r="J562" s="9"/>
      <c r="N562" s="9"/>
      <c r="O562" s="12"/>
      <c r="S562" s="9"/>
      <c r="T562" s="18"/>
      <c r="U562" s="18"/>
      <c r="Y562" s="9" t="e">
        <f t="shared" si="8"/>
        <v>#DIV/0!</v>
      </c>
      <c r="Z562" s="19"/>
      <c r="AC562" s="11"/>
      <c r="AD562" s="9"/>
      <c r="AE562" s="14"/>
      <c r="AF562" s="13"/>
      <c r="AO562" s="34" t="s">
        <v>79</v>
      </c>
      <c r="AP562" s="31">
        <v>7.4</v>
      </c>
      <c r="AQ562" s="31">
        <v>7.4</v>
      </c>
    </row>
    <row r="563" spans="1:67" x14ac:dyDescent="0.2">
      <c r="A563" s="5" t="s">
        <v>67</v>
      </c>
      <c r="B563" s="25">
        <v>43290</v>
      </c>
      <c r="C563" s="26">
        <v>0.61805555555555602</v>
      </c>
      <c r="D563" s="5" t="s">
        <v>226</v>
      </c>
      <c r="E563" s="5">
        <v>3</v>
      </c>
      <c r="F563" s="32">
        <v>56</v>
      </c>
      <c r="G563" s="9">
        <v>1</v>
      </c>
      <c r="H563" s="6">
        <v>1.7857142857142856E-2</v>
      </c>
      <c r="I563" s="7">
        <v>6.83E-2</v>
      </c>
      <c r="J563" s="9">
        <v>314.15899999999999</v>
      </c>
      <c r="K563" s="9">
        <v>0.75129999999999997</v>
      </c>
      <c r="L563" s="9">
        <v>11</v>
      </c>
      <c r="M563" s="14">
        <v>418.15386663117266</v>
      </c>
      <c r="N563" s="9">
        <v>749</v>
      </c>
      <c r="O563" s="12" t="s">
        <v>190</v>
      </c>
      <c r="P563" s="8" t="s">
        <v>70</v>
      </c>
      <c r="Q563" s="9" t="s">
        <v>191</v>
      </c>
      <c r="R563" s="9" t="s">
        <v>84</v>
      </c>
      <c r="S563" s="9"/>
      <c r="T563" s="18">
        <v>1</v>
      </c>
      <c r="U563" s="18">
        <v>1</v>
      </c>
      <c r="V563" s="9">
        <v>13</v>
      </c>
      <c r="Y563" s="9">
        <f t="shared" si="8"/>
        <v>418.15386663117266</v>
      </c>
      <c r="Z563" s="19" t="s">
        <v>73</v>
      </c>
      <c r="AA563" s="8" t="s">
        <v>274</v>
      </c>
      <c r="AB563" s="8" t="s">
        <v>75</v>
      </c>
      <c r="AC563" s="11" t="s">
        <v>76</v>
      </c>
      <c r="AD563" s="9" t="s">
        <v>193</v>
      </c>
      <c r="AE563" s="14">
        <v>50.959999999999994</v>
      </c>
      <c r="AF563" s="13"/>
      <c r="AO563" s="34" t="s">
        <v>78</v>
      </c>
      <c r="AP563" s="31">
        <v>13</v>
      </c>
      <c r="AQ563" s="31">
        <v>13</v>
      </c>
    </row>
    <row r="564" spans="1:67" x14ac:dyDescent="0.2">
      <c r="A564" s="5"/>
      <c r="B564" s="25"/>
      <c r="C564" s="26"/>
      <c r="D564" s="5"/>
      <c r="E564" s="5"/>
      <c r="F564" s="32"/>
      <c r="G564" s="9"/>
      <c r="H564" s="6"/>
      <c r="I564" s="7"/>
      <c r="J564" s="9"/>
      <c r="N564" s="9"/>
      <c r="O564" s="12"/>
      <c r="S564" s="9"/>
      <c r="T564" s="18"/>
      <c r="U564" s="18"/>
      <c r="Y564" s="9" t="e">
        <f t="shared" si="8"/>
        <v>#DIV/0!</v>
      </c>
      <c r="Z564" s="19"/>
      <c r="AC564" s="11"/>
      <c r="AD564" s="9"/>
      <c r="AE564" s="14"/>
      <c r="AF564" s="13"/>
      <c r="AO564" s="34" t="s">
        <v>79</v>
      </c>
      <c r="AP564" s="31">
        <v>2.8</v>
      </c>
      <c r="AQ564" s="31">
        <v>2.8</v>
      </c>
    </row>
    <row r="565" spans="1:67" x14ac:dyDescent="0.2">
      <c r="A565" s="5"/>
      <c r="B565" s="25"/>
      <c r="C565" s="26"/>
      <c r="D565" s="5"/>
      <c r="E565" s="5"/>
      <c r="F565" s="32"/>
      <c r="G565" s="9"/>
      <c r="H565" s="6"/>
      <c r="I565" s="7"/>
      <c r="J565" s="9"/>
      <c r="N565" s="9"/>
      <c r="O565" s="12"/>
      <c r="S565" s="9"/>
      <c r="T565" s="18"/>
      <c r="U565" s="18"/>
      <c r="Y565" s="9" t="e">
        <f t="shared" si="8"/>
        <v>#DIV/0!</v>
      </c>
      <c r="Z565" s="19"/>
      <c r="AC565" s="11"/>
      <c r="AD565" s="9"/>
      <c r="AE565" s="14"/>
      <c r="AF565" s="13"/>
      <c r="AO565" s="34" t="s">
        <v>80</v>
      </c>
      <c r="AP565" s="31">
        <v>2.8</v>
      </c>
      <c r="AQ565" s="31">
        <v>2.8</v>
      </c>
    </row>
    <row r="566" spans="1:67" x14ac:dyDescent="0.2">
      <c r="A566" s="5" t="s">
        <v>67</v>
      </c>
      <c r="B566" s="25">
        <v>43290</v>
      </c>
      <c r="C566" s="26">
        <v>0.61805555555555602</v>
      </c>
      <c r="D566" s="5" t="s">
        <v>226</v>
      </c>
      <c r="E566" s="5">
        <v>3</v>
      </c>
      <c r="F566" s="32">
        <v>56</v>
      </c>
      <c r="G566" s="9">
        <v>1</v>
      </c>
      <c r="H566" s="6">
        <v>1.7857142857142856E-2</v>
      </c>
      <c r="I566" s="7">
        <v>6.83E-2</v>
      </c>
      <c r="J566" s="9">
        <v>314.15899999999999</v>
      </c>
      <c r="K566" s="9">
        <v>0.75129999999999997</v>
      </c>
      <c r="L566" s="9">
        <v>11</v>
      </c>
      <c r="M566" s="14">
        <v>418.15386663117266</v>
      </c>
      <c r="N566" s="9">
        <v>858</v>
      </c>
      <c r="O566" s="37" t="s">
        <v>275</v>
      </c>
      <c r="P566" s="8" t="s">
        <v>70</v>
      </c>
      <c r="Q566" s="9" t="s">
        <v>276</v>
      </c>
      <c r="R566" s="9" t="s">
        <v>84</v>
      </c>
      <c r="S566" s="9"/>
      <c r="T566" s="18">
        <v>1</v>
      </c>
      <c r="U566" s="18">
        <v>1</v>
      </c>
      <c r="V566" s="9">
        <v>5.6</v>
      </c>
      <c r="Y566" s="9">
        <f t="shared" si="8"/>
        <v>418.15386663117266</v>
      </c>
      <c r="Z566" s="19" t="s">
        <v>73</v>
      </c>
      <c r="AA566" s="8" t="s">
        <v>274</v>
      </c>
      <c r="AB566" s="8" t="s">
        <v>75</v>
      </c>
      <c r="AC566" s="11" t="s">
        <v>76</v>
      </c>
      <c r="AD566" s="9" t="s">
        <v>77</v>
      </c>
      <c r="AE566" s="14">
        <v>34.482091839999988</v>
      </c>
      <c r="AF566" s="13"/>
      <c r="AO566" s="34" t="s">
        <v>78</v>
      </c>
      <c r="AP566" s="31">
        <v>5.6</v>
      </c>
      <c r="AQ566" s="31">
        <v>5.6</v>
      </c>
    </row>
    <row r="567" spans="1:67" x14ac:dyDescent="0.2">
      <c r="A567" s="5"/>
      <c r="B567" s="25"/>
      <c r="C567" s="26"/>
      <c r="D567" s="5"/>
      <c r="E567" s="5"/>
      <c r="F567" s="32"/>
      <c r="G567" s="9"/>
      <c r="H567" s="6"/>
      <c r="I567" s="7"/>
      <c r="J567" s="9"/>
      <c r="N567" s="9"/>
      <c r="O567" s="37"/>
      <c r="S567" s="9"/>
      <c r="T567" s="18"/>
      <c r="U567" s="18"/>
      <c r="Y567" s="9" t="e">
        <f t="shared" si="8"/>
        <v>#DIV/0!</v>
      </c>
      <c r="Z567" s="19"/>
      <c r="AC567" s="11"/>
      <c r="AD567" s="9"/>
      <c r="AE567" s="14"/>
      <c r="AF567" s="13"/>
      <c r="AO567" s="34" t="s">
        <v>79</v>
      </c>
      <c r="AP567" s="31">
        <v>2.8</v>
      </c>
      <c r="AQ567" s="31">
        <v>2.8</v>
      </c>
    </row>
    <row r="568" spans="1:67" x14ac:dyDescent="0.2">
      <c r="A568" s="5"/>
      <c r="B568" s="25"/>
      <c r="C568" s="26"/>
      <c r="D568" s="5"/>
      <c r="E568" s="5"/>
      <c r="F568" s="32"/>
      <c r="G568" s="9"/>
      <c r="H568" s="6"/>
      <c r="I568" s="7"/>
      <c r="J568" s="9"/>
      <c r="N568" s="9"/>
      <c r="O568" s="37"/>
      <c r="S568" s="9"/>
      <c r="T568" s="18"/>
      <c r="U568" s="18"/>
      <c r="Y568" s="9" t="e">
        <f t="shared" si="8"/>
        <v>#DIV/0!</v>
      </c>
      <c r="Z568" s="19"/>
      <c r="AC568" s="11"/>
      <c r="AD568" s="9"/>
      <c r="AE568" s="14"/>
      <c r="AF568" s="13"/>
      <c r="AO568" s="34" t="s">
        <v>80</v>
      </c>
      <c r="AP568" s="31">
        <v>2.8</v>
      </c>
      <c r="AQ568" s="31">
        <v>2.8</v>
      </c>
    </row>
    <row r="569" spans="1:67" x14ac:dyDescent="0.2">
      <c r="A569" s="5" t="s">
        <v>67</v>
      </c>
      <c r="B569" s="25">
        <v>43290</v>
      </c>
      <c r="C569" s="26">
        <v>0.61805555555555602</v>
      </c>
      <c r="D569" s="5" t="s">
        <v>226</v>
      </c>
      <c r="E569" s="5">
        <v>3</v>
      </c>
      <c r="F569" s="32">
        <v>56</v>
      </c>
      <c r="G569" s="9">
        <v>1</v>
      </c>
      <c r="H569" s="6">
        <v>1.7857142857142856E-2</v>
      </c>
      <c r="I569" s="7">
        <v>6.83E-2</v>
      </c>
      <c r="J569" s="9">
        <v>314.15899999999999</v>
      </c>
      <c r="K569" s="9">
        <v>0.75129999999999997</v>
      </c>
      <c r="L569" s="9">
        <v>11</v>
      </c>
      <c r="M569" s="14">
        <v>418.15386663117266</v>
      </c>
      <c r="N569" s="9">
        <v>1037</v>
      </c>
      <c r="O569" s="12" t="s">
        <v>86</v>
      </c>
      <c r="P569" s="12" t="s">
        <v>82</v>
      </c>
      <c r="Q569" s="9" t="s">
        <v>87</v>
      </c>
      <c r="R569" s="9" t="s">
        <v>84</v>
      </c>
      <c r="S569" s="9"/>
      <c r="T569" s="18">
        <v>7</v>
      </c>
      <c r="U569" s="18">
        <v>7</v>
      </c>
      <c r="V569" s="9">
        <v>2.8</v>
      </c>
      <c r="Y569" s="9">
        <f t="shared" si="8"/>
        <v>2927.0770664182082</v>
      </c>
      <c r="Z569" s="19" t="s">
        <v>73</v>
      </c>
      <c r="AA569" s="8" t="s">
        <v>274</v>
      </c>
      <c r="AB569" s="8" t="s">
        <v>75</v>
      </c>
      <c r="AC569" s="11" t="s">
        <v>76</v>
      </c>
      <c r="AD569" s="9" t="s">
        <v>85</v>
      </c>
      <c r="AE569" s="14">
        <v>9.2027643066666673</v>
      </c>
      <c r="AF569" s="13"/>
      <c r="AO569" s="34" t="s">
        <v>78</v>
      </c>
      <c r="AP569" s="31">
        <v>2.6199999999999997</v>
      </c>
      <c r="AQ569" s="31">
        <v>2.8</v>
      </c>
      <c r="AR569" s="31">
        <v>1.9</v>
      </c>
      <c r="AS569" s="31">
        <v>2.8</v>
      </c>
      <c r="AT569" s="31">
        <v>2.8</v>
      </c>
      <c r="AU569" s="31">
        <v>2.8</v>
      </c>
    </row>
    <row r="570" spans="1:67" x14ac:dyDescent="0.2">
      <c r="A570" s="5" t="s">
        <v>67</v>
      </c>
      <c r="B570" s="25">
        <v>43290</v>
      </c>
      <c r="C570" s="26">
        <v>0.61805555555555602</v>
      </c>
      <c r="D570" s="5" t="s">
        <v>226</v>
      </c>
      <c r="E570" s="5">
        <v>3</v>
      </c>
      <c r="F570" s="32">
        <v>56</v>
      </c>
      <c r="G570" s="9">
        <v>1</v>
      </c>
      <c r="H570" s="6">
        <v>1.7857142857142856E-2</v>
      </c>
      <c r="I570" s="7">
        <v>6.83E-2</v>
      </c>
      <c r="J570" s="9">
        <v>314.15899999999999</v>
      </c>
      <c r="K570" s="9">
        <v>0.75129999999999997</v>
      </c>
      <c r="L570" s="9">
        <v>11</v>
      </c>
      <c r="M570" s="14">
        <v>418.15386663117266</v>
      </c>
      <c r="N570" s="9">
        <v>1364</v>
      </c>
      <c r="O570" s="12" t="s">
        <v>88</v>
      </c>
      <c r="P570" s="12" t="s">
        <v>82</v>
      </c>
      <c r="Q570" s="9" t="s">
        <v>89</v>
      </c>
      <c r="R570" s="9" t="s">
        <v>90</v>
      </c>
      <c r="S570" s="9"/>
      <c r="T570" s="18">
        <v>1</v>
      </c>
      <c r="U570" s="18">
        <v>1</v>
      </c>
      <c r="V570" s="9">
        <v>11.1</v>
      </c>
      <c r="Y570" s="9">
        <f t="shared" si="8"/>
        <v>418.15386663117266</v>
      </c>
      <c r="Z570" s="19" t="s">
        <v>73</v>
      </c>
      <c r="AA570" s="8" t="s">
        <v>274</v>
      </c>
      <c r="AB570" s="8" t="s">
        <v>75</v>
      </c>
      <c r="AC570" s="11" t="s">
        <v>76</v>
      </c>
      <c r="AD570" s="9" t="s">
        <v>91</v>
      </c>
      <c r="AE570" s="14">
        <v>538.67979792749986</v>
      </c>
      <c r="AF570" s="13"/>
      <c r="AO570" s="34" t="s">
        <v>78</v>
      </c>
      <c r="AP570" s="31">
        <v>11.1</v>
      </c>
      <c r="AQ570" s="31">
        <v>11.1</v>
      </c>
    </row>
    <row r="571" spans="1:67" x14ac:dyDescent="0.2">
      <c r="A571" s="5"/>
      <c r="B571" s="25"/>
      <c r="C571" s="26"/>
      <c r="D571" s="5"/>
      <c r="E571" s="5"/>
      <c r="F571" s="32"/>
      <c r="G571" s="9"/>
      <c r="H571" s="6"/>
      <c r="I571" s="7"/>
      <c r="J571" s="9"/>
      <c r="N571" s="9"/>
      <c r="O571" s="12"/>
      <c r="P571" s="12"/>
      <c r="S571" s="9"/>
      <c r="T571" s="18"/>
      <c r="U571" s="18"/>
      <c r="Y571" s="9" t="e">
        <f t="shared" si="8"/>
        <v>#DIV/0!</v>
      </c>
      <c r="Z571" s="19"/>
      <c r="AC571" s="11"/>
      <c r="AD571" s="9"/>
      <c r="AE571" s="14"/>
      <c r="AF571" s="13"/>
      <c r="AO571" s="34" t="s">
        <v>79</v>
      </c>
      <c r="AP571" s="31">
        <v>5.6</v>
      </c>
      <c r="AQ571" s="31">
        <v>5.6</v>
      </c>
    </row>
    <row r="572" spans="1:67" x14ac:dyDescent="0.2">
      <c r="A572" s="5" t="s">
        <v>67</v>
      </c>
      <c r="B572" s="25">
        <v>43290</v>
      </c>
      <c r="C572" s="26">
        <v>0.61805555555555602</v>
      </c>
      <c r="D572" s="5" t="s">
        <v>226</v>
      </c>
      <c r="E572" s="5">
        <v>3</v>
      </c>
      <c r="F572" s="32">
        <v>56</v>
      </c>
      <c r="G572" s="9">
        <v>1</v>
      </c>
      <c r="H572" s="6">
        <v>1.7857142857142856E-2</v>
      </c>
      <c r="I572" s="7">
        <v>6.83E-2</v>
      </c>
      <c r="J572" s="9">
        <v>314.15899999999999</v>
      </c>
      <c r="K572" s="9">
        <v>0.75129999999999997</v>
      </c>
      <c r="L572" s="9">
        <v>11</v>
      </c>
      <c r="M572" s="14">
        <v>418.15386663117266</v>
      </c>
      <c r="N572" s="9">
        <v>1419</v>
      </c>
      <c r="O572" s="12" t="s">
        <v>94</v>
      </c>
      <c r="P572" s="12" t="s">
        <v>82</v>
      </c>
      <c r="Q572" s="9" t="s">
        <v>95</v>
      </c>
      <c r="R572" s="9" t="s">
        <v>96</v>
      </c>
      <c r="S572" s="9"/>
      <c r="T572" s="18">
        <v>413</v>
      </c>
      <c r="U572" s="18">
        <v>827</v>
      </c>
      <c r="V572" s="9">
        <v>0.8</v>
      </c>
      <c r="W572" s="9">
        <v>0.8</v>
      </c>
      <c r="X572" s="9">
        <v>0.8</v>
      </c>
      <c r="Y572" s="9">
        <f t="shared" si="8"/>
        <v>172697.54691867431</v>
      </c>
      <c r="Z572" s="19" t="s">
        <v>97</v>
      </c>
      <c r="AA572" s="8" t="s">
        <v>274</v>
      </c>
      <c r="AB572" s="8" t="s">
        <v>75</v>
      </c>
      <c r="AC572" s="11" t="s">
        <v>76</v>
      </c>
      <c r="AD572" s="9" t="s">
        <v>85</v>
      </c>
      <c r="AE572" s="14">
        <v>0.18</v>
      </c>
      <c r="AF572" s="14">
        <v>0.18</v>
      </c>
      <c r="AG572" s="14">
        <v>0.18</v>
      </c>
      <c r="AH572" s="14">
        <v>0.18</v>
      </c>
      <c r="AI572" s="14">
        <v>0.18</v>
      </c>
      <c r="AJ572" s="14">
        <v>0.18</v>
      </c>
      <c r="AK572" s="14">
        <v>0.18</v>
      </c>
      <c r="AL572" s="14">
        <v>0.18</v>
      </c>
      <c r="AM572" s="14">
        <v>0.18</v>
      </c>
      <c r="AN572" s="14">
        <v>0.18</v>
      </c>
      <c r="AO572" s="35" t="s">
        <v>78</v>
      </c>
      <c r="AP572" s="31">
        <v>0.75200000000000033</v>
      </c>
      <c r="AQ572" s="31">
        <v>0.7</v>
      </c>
      <c r="AR572" s="31">
        <v>0.7</v>
      </c>
      <c r="AS572" s="31">
        <v>0.7</v>
      </c>
      <c r="AT572" s="31">
        <v>0.7</v>
      </c>
      <c r="AU572" s="31">
        <v>0.7</v>
      </c>
      <c r="AV572" s="31">
        <v>0.7</v>
      </c>
      <c r="AW572" s="31">
        <v>0.7</v>
      </c>
      <c r="AX572" s="31">
        <v>0.7</v>
      </c>
      <c r="AY572" s="31">
        <v>0.7</v>
      </c>
      <c r="AZ572" s="31">
        <v>0.7</v>
      </c>
      <c r="BA572" s="31">
        <v>0.7</v>
      </c>
      <c r="BB572" s="31">
        <v>0.7</v>
      </c>
      <c r="BC572" s="31">
        <v>0.8</v>
      </c>
      <c r="BD572" s="31">
        <v>0.8</v>
      </c>
      <c r="BE572" s="31">
        <v>0.8</v>
      </c>
      <c r="BF572" s="31">
        <v>0.8</v>
      </c>
      <c r="BG572" s="31">
        <v>0.8</v>
      </c>
      <c r="BH572" s="31">
        <v>0.8</v>
      </c>
      <c r="BI572" s="31">
        <v>0.8</v>
      </c>
      <c r="BJ572" s="31">
        <v>0.8</v>
      </c>
      <c r="BK572" s="31">
        <v>0.8</v>
      </c>
      <c r="BL572" s="31">
        <v>0.8</v>
      </c>
      <c r="BM572" s="31">
        <v>0.8</v>
      </c>
      <c r="BN572" s="31">
        <v>0.8</v>
      </c>
      <c r="BO572" s="31">
        <v>0.8</v>
      </c>
    </row>
    <row r="573" spans="1:67" x14ac:dyDescent="0.2">
      <c r="A573" s="5" t="s">
        <v>67</v>
      </c>
      <c r="B573" s="25">
        <v>43290</v>
      </c>
      <c r="C573" s="26">
        <v>0.61805555555555602</v>
      </c>
      <c r="D573" s="5" t="s">
        <v>226</v>
      </c>
      <c r="E573" s="5">
        <v>3</v>
      </c>
      <c r="F573" s="32">
        <v>56</v>
      </c>
      <c r="G573" s="9">
        <v>1</v>
      </c>
      <c r="H573" s="6">
        <v>1.7857142857142856E-2</v>
      </c>
      <c r="I573" s="7">
        <v>6.83E-2</v>
      </c>
      <c r="J573" s="9">
        <v>314.15899999999999</v>
      </c>
      <c r="K573" s="9">
        <v>0.75129999999999997</v>
      </c>
      <c r="L573" s="9">
        <v>11</v>
      </c>
      <c r="M573" s="14">
        <v>418.15386663117266</v>
      </c>
      <c r="N573" s="9">
        <v>1421</v>
      </c>
      <c r="O573" s="12" t="s">
        <v>130</v>
      </c>
      <c r="P573" s="12" t="s">
        <v>82</v>
      </c>
      <c r="Q573" s="9" t="s">
        <v>95</v>
      </c>
      <c r="R573" s="9" t="s">
        <v>131</v>
      </c>
      <c r="S573" s="9"/>
      <c r="T573" s="18">
        <v>1</v>
      </c>
      <c r="U573" s="18">
        <v>1</v>
      </c>
      <c r="V573" s="9">
        <v>5.6</v>
      </c>
      <c r="Y573" s="9">
        <f t="shared" si="8"/>
        <v>418.15386663117266</v>
      </c>
      <c r="Z573" s="19" t="s">
        <v>73</v>
      </c>
      <c r="AA573" s="8" t="s">
        <v>274</v>
      </c>
      <c r="AB573" s="8" t="s">
        <v>75</v>
      </c>
      <c r="AC573" s="11" t="s">
        <v>76</v>
      </c>
      <c r="AD573" s="9" t="s">
        <v>85</v>
      </c>
      <c r="AE573" s="14">
        <v>91.952244906666635</v>
      </c>
      <c r="AF573" s="13"/>
      <c r="AO573" s="34" t="s">
        <v>78</v>
      </c>
      <c r="AP573" s="31">
        <v>5.6</v>
      </c>
      <c r="AQ573" s="31">
        <v>5.6</v>
      </c>
    </row>
    <row r="574" spans="1:67" x14ac:dyDescent="0.2">
      <c r="A574" s="5" t="s">
        <v>67</v>
      </c>
      <c r="B574" s="25">
        <v>43290</v>
      </c>
      <c r="C574" s="26">
        <v>0.61805555555555602</v>
      </c>
      <c r="D574" s="5" t="s">
        <v>226</v>
      </c>
      <c r="E574" s="5">
        <v>3</v>
      </c>
      <c r="F574" s="32">
        <v>56</v>
      </c>
      <c r="G574" s="9">
        <v>1</v>
      </c>
      <c r="H574" s="6">
        <v>1.7857142857142856E-2</v>
      </c>
      <c r="I574" s="7">
        <v>6.83E-2</v>
      </c>
      <c r="J574" s="9">
        <v>314.15899999999999</v>
      </c>
      <c r="K574" s="9">
        <v>0.75129999999999997</v>
      </c>
      <c r="L574" s="9">
        <v>11</v>
      </c>
      <c r="M574" s="14">
        <v>418.15386663117266</v>
      </c>
      <c r="N574" s="9">
        <v>1902</v>
      </c>
      <c r="O574" s="12" t="s">
        <v>272</v>
      </c>
      <c r="P574" s="12" t="s">
        <v>82</v>
      </c>
      <c r="Q574" s="9" t="s">
        <v>133</v>
      </c>
      <c r="R574" s="9" t="s">
        <v>273</v>
      </c>
      <c r="S574" s="9"/>
      <c r="T574" s="18">
        <v>1</v>
      </c>
      <c r="U574" s="18">
        <v>8</v>
      </c>
      <c r="V574" s="9">
        <v>5.6</v>
      </c>
      <c r="Y574" s="9">
        <f t="shared" si="8"/>
        <v>418.15386663117266</v>
      </c>
      <c r="Z574" s="19" t="s">
        <v>134</v>
      </c>
      <c r="AA574" s="8" t="s">
        <v>274</v>
      </c>
      <c r="AB574" s="8" t="s">
        <v>75</v>
      </c>
      <c r="AC574" s="11" t="s">
        <v>76</v>
      </c>
      <c r="AD574" s="9" t="s">
        <v>104</v>
      </c>
      <c r="AE574" s="14">
        <v>60.211713939999996</v>
      </c>
      <c r="AF574" s="13"/>
      <c r="AO574" s="34" t="s">
        <v>78</v>
      </c>
      <c r="AP574" s="31">
        <v>5.6</v>
      </c>
      <c r="AQ574" s="31">
        <v>5.6</v>
      </c>
      <c r="AR574" s="31">
        <v>5.6</v>
      </c>
      <c r="AS574" s="31">
        <v>5.6</v>
      </c>
      <c r="AT574" s="31">
        <v>5.6</v>
      </c>
      <c r="AU574" s="31">
        <v>5.6</v>
      </c>
    </row>
    <row r="575" spans="1:67" x14ac:dyDescent="0.2">
      <c r="A575" s="5"/>
      <c r="B575" s="25"/>
      <c r="C575" s="26"/>
      <c r="D575" s="5"/>
      <c r="E575" s="5"/>
      <c r="F575" s="32"/>
      <c r="G575" s="9"/>
      <c r="H575" s="6"/>
      <c r="I575" s="7"/>
      <c r="J575" s="9"/>
      <c r="N575" s="9"/>
      <c r="O575" s="12"/>
      <c r="P575" s="12"/>
      <c r="S575" s="9"/>
      <c r="T575" s="18"/>
      <c r="U575" s="18"/>
      <c r="Y575" s="9" t="e">
        <f t="shared" si="8"/>
        <v>#DIV/0!</v>
      </c>
      <c r="Z575" s="19"/>
      <c r="AC575" s="11"/>
      <c r="AD575" s="9"/>
      <c r="AE575" s="14"/>
      <c r="AF575" s="13"/>
      <c r="AO575" s="34" t="s">
        <v>79</v>
      </c>
      <c r="AP575" s="31">
        <v>3.7</v>
      </c>
      <c r="AQ575" s="31">
        <v>3.7</v>
      </c>
      <c r="AR575" s="31">
        <v>3.7</v>
      </c>
      <c r="AS575" s="31">
        <v>3.7</v>
      </c>
      <c r="AT575" s="31">
        <v>3.7</v>
      </c>
      <c r="AU575" s="31">
        <v>3.7</v>
      </c>
    </row>
    <row r="576" spans="1:67" x14ac:dyDescent="0.2">
      <c r="A576" s="5" t="s">
        <v>67</v>
      </c>
      <c r="B576" s="25">
        <v>43286</v>
      </c>
      <c r="C576" s="26">
        <v>0.484027777777778</v>
      </c>
      <c r="D576" s="5" t="s">
        <v>144</v>
      </c>
      <c r="E576" s="5"/>
      <c r="F576" s="32">
        <v>64</v>
      </c>
      <c r="G576" s="9">
        <v>1</v>
      </c>
      <c r="H576" s="6">
        <v>1.5625E-2</v>
      </c>
      <c r="I576" s="7">
        <v>6.83E-2</v>
      </c>
      <c r="J576" s="9">
        <v>314.15899999999999</v>
      </c>
      <c r="K576" s="9">
        <v>0.68300000000000005</v>
      </c>
      <c r="L576" s="9">
        <v>10</v>
      </c>
      <c r="M576" s="14">
        <v>459.96925329428984</v>
      </c>
      <c r="N576" s="9">
        <v>46</v>
      </c>
      <c r="O576" s="12" t="s">
        <v>109</v>
      </c>
      <c r="P576" s="8" t="s">
        <v>70</v>
      </c>
      <c r="Q576" s="9" t="s">
        <v>110</v>
      </c>
      <c r="R576" s="9" t="s">
        <v>84</v>
      </c>
      <c r="S576" s="9"/>
      <c r="T576" s="18">
        <v>1</v>
      </c>
      <c r="U576" s="18">
        <v>1</v>
      </c>
      <c r="V576" s="9">
        <v>9.3000000000000007</v>
      </c>
      <c r="Y576" s="9">
        <f t="shared" si="8"/>
        <v>459.96925329428984</v>
      </c>
      <c r="Z576" s="19" t="s">
        <v>73</v>
      </c>
      <c r="AA576" s="8" t="s">
        <v>277</v>
      </c>
      <c r="AB576" s="8" t="s">
        <v>75</v>
      </c>
      <c r="AC576" s="11" t="s">
        <v>76</v>
      </c>
      <c r="AD576" s="9" t="s">
        <v>77</v>
      </c>
      <c r="AE576" s="14">
        <v>99.994453507500012</v>
      </c>
      <c r="AF576" s="13"/>
      <c r="AO576" s="34" t="s">
        <v>78</v>
      </c>
      <c r="AP576" s="31">
        <v>9.3000000000000007</v>
      </c>
      <c r="AQ576" s="31">
        <v>9.3000000000000007</v>
      </c>
    </row>
    <row r="577" spans="1:67" x14ac:dyDescent="0.2">
      <c r="A577" s="5"/>
      <c r="B577" s="25"/>
      <c r="C577" s="26"/>
      <c r="D577" s="5"/>
      <c r="E577" s="5"/>
      <c r="F577" s="32"/>
      <c r="G577" s="9"/>
      <c r="H577" s="6"/>
      <c r="I577" s="7"/>
      <c r="J577" s="9"/>
      <c r="N577" s="9"/>
      <c r="O577" s="12"/>
      <c r="S577" s="9"/>
      <c r="T577" s="18"/>
      <c r="U577" s="18"/>
      <c r="Y577" s="9" t="e">
        <f t="shared" si="8"/>
        <v>#DIV/0!</v>
      </c>
      <c r="Z577" s="19"/>
      <c r="AC577" s="11"/>
      <c r="AD577" s="9"/>
      <c r="AE577" s="14"/>
      <c r="AF577" s="13"/>
      <c r="AO577" s="34" t="s">
        <v>79</v>
      </c>
      <c r="AP577" s="31">
        <v>3.7</v>
      </c>
      <c r="AQ577" s="31">
        <v>3.7</v>
      </c>
    </row>
    <row r="578" spans="1:67" x14ac:dyDescent="0.2">
      <c r="A578" s="5"/>
      <c r="B578" s="25"/>
      <c r="C578" s="26"/>
      <c r="D578" s="5"/>
      <c r="E578" s="5"/>
      <c r="F578" s="32"/>
      <c r="G578" s="9"/>
      <c r="H578" s="6"/>
      <c r="I578" s="7"/>
      <c r="J578" s="9"/>
      <c r="N578" s="9"/>
      <c r="O578" s="12"/>
      <c r="S578" s="9"/>
      <c r="T578" s="18"/>
      <c r="U578" s="18"/>
      <c r="Y578" s="9" t="e">
        <f t="shared" si="8"/>
        <v>#DIV/0!</v>
      </c>
      <c r="Z578" s="19"/>
      <c r="AC578" s="11"/>
      <c r="AD578" s="9"/>
      <c r="AE578" s="14"/>
      <c r="AF578" s="13"/>
      <c r="AO578" s="34" t="s">
        <v>80</v>
      </c>
      <c r="AP578" s="31">
        <v>3.7</v>
      </c>
      <c r="AQ578" s="31">
        <v>3.7</v>
      </c>
    </row>
    <row r="579" spans="1:67" x14ac:dyDescent="0.2">
      <c r="A579" s="5" t="s">
        <v>67</v>
      </c>
      <c r="B579" s="25">
        <v>43286</v>
      </c>
      <c r="C579" s="26">
        <v>0.484027777777778</v>
      </c>
      <c r="D579" s="5" t="s">
        <v>144</v>
      </c>
      <c r="E579" s="5"/>
      <c r="F579" s="32">
        <v>64</v>
      </c>
      <c r="G579" s="9">
        <v>1</v>
      </c>
      <c r="H579" s="6">
        <v>1.5625E-2</v>
      </c>
      <c r="I579" s="7">
        <v>6.83E-2</v>
      </c>
      <c r="J579" s="9">
        <v>314.15899999999999</v>
      </c>
      <c r="K579" s="9">
        <v>0.68300000000000005</v>
      </c>
      <c r="L579" s="9">
        <v>10</v>
      </c>
      <c r="M579" s="14">
        <v>459.96925329428984</v>
      </c>
      <c r="N579" s="9">
        <v>145</v>
      </c>
      <c r="O579" s="12" t="s">
        <v>69</v>
      </c>
      <c r="P579" s="8" t="s">
        <v>70</v>
      </c>
      <c r="Q579" s="9" t="s">
        <v>71</v>
      </c>
      <c r="R579" s="9" t="s">
        <v>72</v>
      </c>
      <c r="S579" s="9"/>
      <c r="T579" s="18">
        <v>1</v>
      </c>
      <c r="U579" s="18">
        <v>1</v>
      </c>
      <c r="V579" s="9">
        <v>14.8</v>
      </c>
      <c r="Y579" s="9">
        <f t="shared" ref="Y579:Y642" si="9">(T579*J579)/(G579*I579*L579)</f>
        <v>459.96925329428984</v>
      </c>
      <c r="Z579" s="19" t="s">
        <v>73</v>
      </c>
      <c r="AA579" s="8" t="s">
        <v>277</v>
      </c>
      <c r="AB579" s="8" t="s">
        <v>75</v>
      </c>
      <c r="AC579" s="11" t="s">
        <v>76</v>
      </c>
      <c r="AD579" s="9" t="s">
        <v>77</v>
      </c>
      <c r="AE579" s="14">
        <v>302.68591332</v>
      </c>
      <c r="AF579" s="13"/>
      <c r="AO579" s="34" t="s">
        <v>78</v>
      </c>
      <c r="AP579" s="31">
        <v>14.8</v>
      </c>
      <c r="AQ579" s="31">
        <v>14.8</v>
      </c>
    </row>
    <row r="580" spans="1:67" x14ac:dyDescent="0.2">
      <c r="A580" s="5"/>
      <c r="B580" s="25"/>
      <c r="C580" s="26"/>
      <c r="D580" s="5"/>
      <c r="E580" s="5"/>
      <c r="F580" s="32"/>
      <c r="G580" s="9"/>
      <c r="H580" s="6"/>
      <c r="I580" s="7"/>
      <c r="J580" s="9"/>
      <c r="N580" s="9"/>
      <c r="O580" s="12"/>
      <c r="S580" s="9"/>
      <c r="T580" s="18"/>
      <c r="U580" s="18"/>
      <c r="Y580" s="9" t="e">
        <f t="shared" si="9"/>
        <v>#DIV/0!</v>
      </c>
      <c r="Z580" s="19"/>
      <c r="AC580" s="11"/>
      <c r="AD580" s="9"/>
      <c r="AE580" s="14"/>
      <c r="AF580" s="13"/>
      <c r="AO580" s="34" t="s">
        <v>79</v>
      </c>
      <c r="AP580" s="31">
        <v>9.3000000000000007</v>
      </c>
      <c r="AQ580" s="31">
        <v>9.3000000000000007</v>
      </c>
    </row>
    <row r="581" spans="1:67" x14ac:dyDescent="0.2">
      <c r="A581" s="5"/>
      <c r="B581" s="25"/>
      <c r="C581" s="26"/>
      <c r="D581" s="5"/>
      <c r="E581" s="5"/>
      <c r="F581" s="32"/>
      <c r="G581" s="9"/>
      <c r="H581" s="6"/>
      <c r="I581" s="7"/>
      <c r="J581" s="9"/>
      <c r="N581" s="9"/>
      <c r="O581" s="12"/>
      <c r="S581" s="9"/>
      <c r="T581" s="18"/>
      <c r="U581" s="18"/>
      <c r="Y581" s="9" t="e">
        <f t="shared" si="9"/>
        <v>#DIV/0!</v>
      </c>
      <c r="Z581" s="19"/>
      <c r="AC581" s="11"/>
      <c r="AD581" s="9"/>
      <c r="AE581" s="14"/>
      <c r="AF581" s="13"/>
      <c r="AO581" s="34" t="s">
        <v>80</v>
      </c>
      <c r="AP581" s="31">
        <v>2.8</v>
      </c>
      <c r="AQ581" s="31">
        <v>2.8</v>
      </c>
    </row>
    <row r="582" spans="1:67" x14ac:dyDescent="0.2">
      <c r="A582" s="5" t="s">
        <v>67</v>
      </c>
      <c r="B582" s="25">
        <v>43286</v>
      </c>
      <c r="C582" s="26">
        <v>0.484027777777778</v>
      </c>
      <c r="D582" s="5" t="s">
        <v>144</v>
      </c>
      <c r="E582" s="5"/>
      <c r="F582" s="32">
        <v>64</v>
      </c>
      <c r="G582" s="9">
        <v>1</v>
      </c>
      <c r="H582" s="6">
        <v>1.5625E-2</v>
      </c>
      <c r="I582" s="7">
        <v>6.83E-2</v>
      </c>
      <c r="J582" s="9">
        <v>314.15899999999999</v>
      </c>
      <c r="K582" s="9">
        <v>0.68300000000000005</v>
      </c>
      <c r="L582" s="9">
        <v>10</v>
      </c>
      <c r="M582" s="14">
        <v>459.96925329428984</v>
      </c>
      <c r="N582" s="9">
        <v>1031</v>
      </c>
      <c r="O582" s="12" t="s">
        <v>81</v>
      </c>
      <c r="P582" s="12" t="s">
        <v>82</v>
      </c>
      <c r="Q582" s="9" t="s">
        <v>83</v>
      </c>
      <c r="R582" s="9" t="s">
        <v>84</v>
      </c>
      <c r="S582" s="9"/>
      <c r="T582" s="18">
        <v>2</v>
      </c>
      <c r="U582" s="18">
        <v>2</v>
      </c>
      <c r="V582" s="9">
        <v>4.5999999999999996</v>
      </c>
      <c r="Y582" s="9">
        <f t="shared" si="9"/>
        <v>919.93850658857968</v>
      </c>
      <c r="Z582" s="19" t="s">
        <v>73</v>
      </c>
      <c r="AA582" s="8" t="s">
        <v>277</v>
      </c>
      <c r="AB582" s="8" t="s">
        <v>75</v>
      </c>
      <c r="AC582" s="11" t="s">
        <v>76</v>
      </c>
      <c r="AD582" s="9" t="s">
        <v>85</v>
      </c>
      <c r="AE582" s="14">
        <v>50.964967373333316</v>
      </c>
      <c r="AF582" s="13"/>
      <c r="AO582" s="34" t="s">
        <v>78</v>
      </c>
      <c r="AP582" s="31">
        <v>4.5999999999999996</v>
      </c>
      <c r="AQ582" s="31">
        <v>4.5999999999999996</v>
      </c>
      <c r="AR582" s="31">
        <v>4.5999999999999996</v>
      </c>
    </row>
    <row r="583" spans="1:67" x14ac:dyDescent="0.2">
      <c r="A583" s="5"/>
      <c r="B583" s="25"/>
      <c r="C583" s="26"/>
      <c r="D583" s="5"/>
      <c r="E583" s="5"/>
      <c r="F583" s="32"/>
      <c r="G583" s="9"/>
      <c r="H583" s="6"/>
      <c r="I583" s="7"/>
      <c r="J583" s="9"/>
      <c r="N583" s="9"/>
      <c r="O583" s="12"/>
      <c r="P583" s="12"/>
      <c r="S583" s="9"/>
      <c r="T583" s="18"/>
      <c r="U583" s="18"/>
      <c r="Y583" s="9" t="e">
        <f t="shared" si="9"/>
        <v>#DIV/0!</v>
      </c>
      <c r="Z583" s="19"/>
      <c r="AC583" s="11"/>
      <c r="AD583" s="9"/>
      <c r="AE583" s="14"/>
      <c r="AF583" s="13"/>
      <c r="AO583" s="34" t="s">
        <v>79</v>
      </c>
      <c r="AP583" s="31">
        <v>4.5999999999999996</v>
      </c>
      <c r="AQ583" s="31">
        <v>4.5999999999999996</v>
      </c>
      <c r="AR583" s="31">
        <v>4.5999999999999996</v>
      </c>
    </row>
    <row r="584" spans="1:67" x14ac:dyDescent="0.2">
      <c r="A584" s="5"/>
      <c r="B584" s="25"/>
      <c r="C584" s="26"/>
      <c r="D584" s="5"/>
      <c r="E584" s="5"/>
      <c r="F584" s="32"/>
      <c r="G584" s="9"/>
      <c r="H584" s="6"/>
      <c r="I584" s="7"/>
      <c r="J584" s="9"/>
      <c r="N584" s="9"/>
      <c r="O584" s="12"/>
      <c r="P584" s="12"/>
      <c r="S584" s="9"/>
      <c r="T584" s="18"/>
      <c r="U584" s="18"/>
      <c r="Y584" s="9" t="e">
        <f t="shared" si="9"/>
        <v>#DIV/0!</v>
      </c>
      <c r="Z584" s="19"/>
      <c r="AC584" s="11"/>
      <c r="AD584" s="9"/>
      <c r="AE584" s="14"/>
      <c r="AF584" s="13"/>
      <c r="AO584" s="34" t="s">
        <v>80</v>
      </c>
      <c r="AP584" s="31">
        <v>4.5999999999999996</v>
      </c>
      <c r="AQ584" s="31">
        <v>4.5999999999999996</v>
      </c>
      <c r="AR584" s="31">
        <v>4.5999999999999996</v>
      </c>
    </row>
    <row r="585" spans="1:67" x14ac:dyDescent="0.2">
      <c r="A585" s="5" t="s">
        <v>67</v>
      </c>
      <c r="B585" s="25">
        <v>43286</v>
      </c>
      <c r="C585" s="26">
        <v>0.484027777777778</v>
      </c>
      <c r="D585" s="5" t="s">
        <v>144</v>
      </c>
      <c r="E585" s="5"/>
      <c r="F585" s="32">
        <v>64</v>
      </c>
      <c r="G585" s="9">
        <v>1</v>
      </c>
      <c r="H585" s="6">
        <v>1.5625E-2</v>
      </c>
      <c r="I585" s="7">
        <v>6.83E-2</v>
      </c>
      <c r="J585" s="9">
        <v>314.15899999999999</v>
      </c>
      <c r="K585" s="9">
        <v>0.68300000000000005</v>
      </c>
      <c r="L585" s="9">
        <v>10</v>
      </c>
      <c r="M585" s="14">
        <v>459.96925329428984</v>
      </c>
      <c r="N585" s="9">
        <v>1037</v>
      </c>
      <c r="O585" s="12" t="s">
        <v>86</v>
      </c>
      <c r="P585" s="12" t="s">
        <v>82</v>
      </c>
      <c r="Q585" s="9" t="s">
        <v>87</v>
      </c>
      <c r="R585" s="9" t="s">
        <v>84</v>
      </c>
      <c r="S585" s="9"/>
      <c r="T585" s="18">
        <v>16</v>
      </c>
      <c r="U585" s="18">
        <v>16</v>
      </c>
      <c r="V585" s="9">
        <v>2.8</v>
      </c>
      <c r="Y585" s="9">
        <f t="shared" si="9"/>
        <v>7359.5080527086375</v>
      </c>
      <c r="Z585" s="19" t="s">
        <v>73</v>
      </c>
      <c r="AA585" s="8" t="s">
        <v>277</v>
      </c>
      <c r="AB585" s="8" t="s">
        <v>75</v>
      </c>
      <c r="AC585" s="11" t="s">
        <v>76</v>
      </c>
      <c r="AD585" s="9" t="s">
        <v>85</v>
      </c>
      <c r="AE585" s="14">
        <v>7.2382233599999992</v>
      </c>
      <c r="AF585" s="13"/>
      <c r="AO585" s="34" t="s">
        <v>78</v>
      </c>
      <c r="AP585" s="31">
        <v>2.44</v>
      </c>
      <c r="AQ585" s="31">
        <v>2.8</v>
      </c>
      <c r="AR585" s="31">
        <v>2.8</v>
      </c>
      <c r="AS585" s="31">
        <v>1.9</v>
      </c>
      <c r="AT585" s="31">
        <v>1.9</v>
      </c>
      <c r="AU585" s="31">
        <v>2.8</v>
      </c>
    </row>
    <row r="586" spans="1:67" x14ac:dyDescent="0.2">
      <c r="A586" s="5" t="s">
        <v>67</v>
      </c>
      <c r="B586" s="25">
        <v>43286</v>
      </c>
      <c r="C586" s="26">
        <v>0.484027777777778</v>
      </c>
      <c r="D586" s="5" t="s">
        <v>144</v>
      </c>
      <c r="E586" s="5"/>
      <c r="F586" s="32">
        <v>64</v>
      </c>
      <c r="G586" s="9">
        <v>1</v>
      </c>
      <c r="H586" s="6">
        <v>1.5625E-2</v>
      </c>
      <c r="I586" s="7">
        <v>6.83E-2</v>
      </c>
      <c r="J586" s="9">
        <v>314.15899999999999</v>
      </c>
      <c r="K586" s="9">
        <v>0.68300000000000005</v>
      </c>
      <c r="L586" s="9">
        <v>10</v>
      </c>
      <c r="M586" s="14">
        <v>459.96925329428984</v>
      </c>
      <c r="N586" s="9">
        <v>1419</v>
      </c>
      <c r="O586" s="12" t="s">
        <v>94</v>
      </c>
      <c r="P586" s="12" t="s">
        <v>82</v>
      </c>
      <c r="Q586" s="9" t="s">
        <v>95</v>
      </c>
      <c r="R586" s="9" t="s">
        <v>96</v>
      </c>
      <c r="S586" s="9"/>
      <c r="T586" s="18">
        <v>401</v>
      </c>
      <c r="U586" s="18">
        <v>805</v>
      </c>
      <c r="V586" s="9">
        <v>0.8</v>
      </c>
      <c r="W586" s="9">
        <v>0.8</v>
      </c>
      <c r="X586" s="9">
        <v>0.8</v>
      </c>
      <c r="Y586" s="9">
        <f t="shared" si="9"/>
        <v>184447.67057101021</v>
      </c>
      <c r="Z586" s="19" t="s">
        <v>97</v>
      </c>
      <c r="AA586" s="8" t="s">
        <v>277</v>
      </c>
      <c r="AB586" s="8" t="s">
        <v>75</v>
      </c>
      <c r="AC586" s="11" t="s">
        <v>76</v>
      </c>
      <c r="AD586" s="9" t="s">
        <v>85</v>
      </c>
      <c r="AE586" s="14">
        <v>0.18</v>
      </c>
      <c r="AF586" s="14">
        <v>0.18</v>
      </c>
      <c r="AG586" s="14">
        <v>0.18</v>
      </c>
      <c r="AH586" s="14">
        <v>0.18</v>
      </c>
      <c r="AI586" s="14">
        <v>0.18</v>
      </c>
      <c r="AJ586" s="14">
        <v>0.18</v>
      </c>
      <c r="AK586" s="14">
        <v>0.18</v>
      </c>
      <c r="AL586" s="14">
        <v>0.18</v>
      </c>
      <c r="AM586" s="14">
        <v>0.18</v>
      </c>
      <c r="AN586" s="14">
        <v>0.18</v>
      </c>
      <c r="AO586" s="35" t="s">
        <v>78</v>
      </c>
      <c r="AP586" s="31">
        <v>0.75200000000000033</v>
      </c>
      <c r="AQ586" s="31">
        <v>0.7</v>
      </c>
      <c r="AR586" s="31">
        <v>0.7</v>
      </c>
      <c r="AS586" s="31">
        <v>0.7</v>
      </c>
      <c r="AT586" s="31">
        <v>0.7</v>
      </c>
      <c r="AU586" s="31">
        <v>0.7</v>
      </c>
      <c r="AV586" s="31">
        <v>0.7</v>
      </c>
      <c r="AW586" s="31">
        <v>0.7</v>
      </c>
      <c r="AX586" s="31">
        <v>0.7</v>
      </c>
      <c r="AY586" s="31">
        <v>0.7</v>
      </c>
      <c r="AZ586" s="31">
        <v>0.7</v>
      </c>
      <c r="BA586" s="31">
        <v>0.7</v>
      </c>
      <c r="BB586" s="31">
        <v>0.7</v>
      </c>
      <c r="BC586" s="31">
        <v>0.8</v>
      </c>
      <c r="BD586" s="31">
        <v>0.8</v>
      </c>
      <c r="BE586" s="31">
        <v>0.8</v>
      </c>
      <c r="BF586" s="31">
        <v>0.8</v>
      </c>
      <c r="BG586" s="31">
        <v>0.8</v>
      </c>
      <c r="BH586" s="31">
        <v>0.8</v>
      </c>
      <c r="BI586" s="31">
        <v>0.8</v>
      </c>
      <c r="BJ586" s="31">
        <v>0.8</v>
      </c>
      <c r="BK586" s="31">
        <v>0.8</v>
      </c>
      <c r="BL586" s="31">
        <v>0.8</v>
      </c>
      <c r="BM586" s="31">
        <v>0.8</v>
      </c>
      <c r="BN586" s="31">
        <v>0.8</v>
      </c>
      <c r="BO586" s="31">
        <v>0.8</v>
      </c>
    </row>
    <row r="587" spans="1:67" x14ac:dyDescent="0.2">
      <c r="A587" s="5" t="s">
        <v>67</v>
      </c>
      <c r="B587" s="25">
        <v>43286</v>
      </c>
      <c r="C587" s="26">
        <v>0.484027777777778</v>
      </c>
      <c r="D587" s="5" t="s">
        <v>144</v>
      </c>
      <c r="E587" s="5"/>
      <c r="F587" s="32">
        <v>64</v>
      </c>
      <c r="G587" s="9">
        <v>1</v>
      </c>
      <c r="H587" s="6">
        <v>1.5625E-2</v>
      </c>
      <c r="I587" s="7">
        <v>6.83E-2</v>
      </c>
      <c r="J587" s="9">
        <v>314.15899999999999</v>
      </c>
      <c r="K587" s="9">
        <v>0.68300000000000005</v>
      </c>
      <c r="L587" s="9">
        <v>10</v>
      </c>
      <c r="M587" s="14">
        <v>459.96925329428984</v>
      </c>
      <c r="N587" s="9">
        <v>1423</v>
      </c>
      <c r="O587" s="12" t="s">
        <v>163</v>
      </c>
      <c r="P587" s="12" t="s">
        <v>82</v>
      </c>
      <c r="Q587" s="9" t="s">
        <v>95</v>
      </c>
      <c r="R587" s="9" t="s">
        <v>84</v>
      </c>
      <c r="S587" s="9"/>
      <c r="T587" s="18">
        <v>1</v>
      </c>
      <c r="U587" s="18">
        <v>3</v>
      </c>
      <c r="V587" s="9">
        <v>2.8</v>
      </c>
      <c r="Y587" s="9">
        <f t="shared" si="9"/>
        <v>459.96925329428984</v>
      </c>
      <c r="Z587" s="19" t="s">
        <v>97</v>
      </c>
      <c r="AA587" s="8" t="s">
        <v>277</v>
      </c>
      <c r="AB587" s="8" t="s">
        <v>75</v>
      </c>
      <c r="AC587" s="11" t="s">
        <v>76</v>
      </c>
      <c r="AD587" s="9" t="s">
        <v>85</v>
      </c>
      <c r="AE587" s="14">
        <v>11.494030613333329</v>
      </c>
      <c r="AF587" s="13"/>
      <c r="AO587" s="34" t="s">
        <v>78</v>
      </c>
      <c r="AP587" s="31">
        <v>2.7999999999999994</v>
      </c>
      <c r="AQ587" s="31">
        <v>2.8</v>
      </c>
      <c r="AR587" s="31">
        <v>2.8</v>
      </c>
      <c r="AS587" s="31">
        <v>2.8</v>
      </c>
    </row>
    <row r="588" spans="1:67" x14ac:dyDescent="0.2">
      <c r="A588" s="5" t="s">
        <v>67</v>
      </c>
      <c r="B588" s="25">
        <v>43290</v>
      </c>
      <c r="C588" s="26">
        <v>0.66666666666666696</v>
      </c>
      <c r="D588" s="5" t="s">
        <v>278</v>
      </c>
      <c r="E588" s="5"/>
      <c r="F588" s="32">
        <v>64</v>
      </c>
      <c r="G588" s="9">
        <v>2</v>
      </c>
      <c r="H588" s="6">
        <v>3.125E-2</v>
      </c>
      <c r="I588" s="7">
        <v>6.83E-2</v>
      </c>
      <c r="J588" s="9">
        <v>314.15899999999999</v>
      </c>
      <c r="K588" s="9">
        <v>0.47809999999999997</v>
      </c>
      <c r="L588" s="9">
        <v>7</v>
      </c>
      <c r="M588" s="14">
        <v>328.54946663877848</v>
      </c>
      <c r="N588" s="9">
        <v>190</v>
      </c>
      <c r="O588" s="12" t="s">
        <v>102</v>
      </c>
      <c r="P588" s="8" t="s">
        <v>70</v>
      </c>
      <c r="Q588" s="9" t="s">
        <v>103</v>
      </c>
      <c r="R588" s="9" t="s">
        <v>84</v>
      </c>
      <c r="S588" s="9"/>
      <c r="T588" s="18">
        <v>3</v>
      </c>
      <c r="U588" s="18">
        <v>3</v>
      </c>
      <c r="V588" s="9">
        <v>7.4</v>
      </c>
      <c r="Y588" s="9">
        <f t="shared" si="9"/>
        <v>985.64839991633551</v>
      </c>
      <c r="Z588" s="19" t="s">
        <v>73</v>
      </c>
      <c r="AA588" s="8" t="s">
        <v>279</v>
      </c>
      <c r="AB588" s="8" t="s">
        <v>75</v>
      </c>
      <c r="AC588" s="11" t="s">
        <v>76</v>
      </c>
      <c r="AD588" s="9" t="s">
        <v>104</v>
      </c>
      <c r="AE588" s="14">
        <v>156.16215571999999</v>
      </c>
      <c r="AF588" s="13"/>
      <c r="AO588" s="34" t="s">
        <v>78</v>
      </c>
      <c r="AP588" s="31">
        <v>4.3</v>
      </c>
      <c r="AQ588" s="31">
        <v>3.7</v>
      </c>
      <c r="AR588" s="31">
        <v>4.5999999999999996</v>
      </c>
      <c r="AS588" s="31">
        <v>4.5999999999999996</v>
      </c>
    </row>
    <row r="589" spans="1:67" x14ac:dyDescent="0.2">
      <c r="A589" s="5"/>
      <c r="B589" s="25"/>
      <c r="C589" s="26"/>
      <c r="D589" s="5"/>
      <c r="E589" s="5"/>
      <c r="F589" s="32"/>
      <c r="G589" s="9"/>
      <c r="H589" s="6"/>
      <c r="I589" s="7"/>
      <c r="J589" s="9"/>
      <c r="N589" s="9"/>
      <c r="O589" s="12"/>
      <c r="S589" s="9"/>
      <c r="T589" s="18"/>
      <c r="U589" s="18"/>
      <c r="Y589" s="9" t="e">
        <f t="shared" si="9"/>
        <v>#DIV/0!</v>
      </c>
      <c r="Z589" s="19"/>
      <c r="AC589" s="11"/>
      <c r="AD589" s="9"/>
      <c r="AE589" s="14"/>
      <c r="AF589" s="13"/>
      <c r="AO589" s="34" t="s">
        <v>79</v>
      </c>
      <c r="AP589" s="31">
        <v>6.8</v>
      </c>
      <c r="AQ589" s="31">
        <v>5.6</v>
      </c>
      <c r="AR589" s="31">
        <v>7.4</v>
      </c>
      <c r="AS589" s="31">
        <v>7.4</v>
      </c>
    </row>
    <row r="590" spans="1:67" x14ac:dyDescent="0.2">
      <c r="A590" s="5" t="s">
        <v>67</v>
      </c>
      <c r="B590" s="25">
        <v>43290</v>
      </c>
      <c r="C590" s="26">
        <v>0.66666666666666696</v>
      </c>
      <c r="D590" s="5" t="s">
        <v>278</v>
      </c>
      <c r="E590" s="5"/>
      <c r="F590" s="32">
        <v>64</v>
      </c>
      <c r="G590" s="9">
        <v>2</v>
      </c>
      <c r="H590" s="6">
        <v>3.125E-2</v>
      </c>
      <c r="I590" s="7">
        <v>6.83E-2</v>
      </c>
      <c r="J590" s="9">
        <v>314.15899999999999</v>
      </c>
      <c r="K590" s="9">
        <v>0.47809999999999997</v>
      </c>
      <c r="L590" s="9">
        <v>7</v>
      </c>
      <c r="M590" s="14">
        <v>328.54946663877848</v>
      </c>
      <c r="N590" s="9">
        <v>1037</v>
      </c>
      <c r="O590" s="12" t="s">
        <v>86</v>
      </c>
      <c r="P590" s="12" t="s">
        <v>82</v>
      </c>
      <c r="Q590" s="9" t="s">
        <v>87</v>
      </c>
      <c r="R590" s="9" t="s">
        <v>84</v>
      </c>
      <c r="S590" s="9"/>
      <c r="T590" s="18">
        <v>11</v>
      </c>
      <c r="U590" s="18">
        <v>11</v>
      </c>
      <c r="V590" s="9">
        <v>2.8</v>
      </c>
      <c r="Y590" s="9">
        <f t="shared" si="9"/>
        <v>3614.0441330265635</v>
      </c>
      <c r="Z590" s="19" t="s">
        <v>73</v>
      </c>
      <c r="AA590" s="8" t="s">
        <v>279</v>
      </c>
      <c r="AB590" s="8" t="s">
        <v>75</v>
      </c>
      <c r="AC590" s="11" t="s">
        <v>76</v>
      </c>
      <c r="AD590" s="9" t="s">
        <v>85</v>
      </c>
      <c r="AE590" s="14">
        <v>7.2382233599999992</v>
      </c>
      <c r="AF590" s="13"/>
      <c r="AO590" s="34" t="s">
        <v>78</v>
      </c>
      <c r="AP590" s="31">
        <v>2.44</v>
      </c>
      <c r="AQ590" s="31">
        <v>1.9</v>
      </c>
      <c r="AR590" s="31">
        <v>2.8</v>
      </c>
      <c r="AS590" s="31">
        <v>2.8</v>
      </c>
      <c r="AT590" s="31">
        <v>1.9</v>
      </c>
      <c r="AU590" s="31">
        <v>2.8</v>
      </c>
    </row>
    <row r="591" spans="1:67" x14ac:dyDescent="0.2">
      <c r="A591" s="5" t="s">
        <v>67</v>
      </c>
      <c r="B591" s="25">
        <v>43290</v>
      </c>
      <c r="C591" s="26">
        <v>0.66666666666666696</v>
      </c>
      <c r="D591" s="5" t="s">
        <v>278</v>
      </c>
      <c r="E591" s="5"/>
      <c r="F591" s="32">
        <v>64</v>
      </c>
      <c r="G591" s="9">
        <v>2</v>
      </c>
      <c r="H591" s="6">
        <v>3.125E-2</v>
      </c>
      <c r="I591" s="7">
        <v>6.83E-2</v>
      </c>
      <c r="J591" s="9">
        <v>314.15899999999999</v>
      </c>
      <c r="K591" s="9">
        <v>0.47809999999999997</v>
      </c>
      <c r="L591" s="9">
        <v>7</v>
      </c>
      <c r="M591" s="14">
        <v>328.54946663877848</v>
      </c>
      <c r="N591" s="9">
        <v>1235</v>
      </c>
      <c r="O591" s="12" t="s">
        <v>216</v>
      </c>
      <c r="P591" s="12" t="s">
        <v>82</v>
      </c>
      <c r="Q591" s="9" t="s">
        <v>217</v>
      </c>
      <c r="R591" s="9" t="s">
        <v>84</v>
      </c>
      <c r="S591" s="9"/>
      <c r="T591" s="18">
        <v>1</v>
      </c>
      <c r="U591" s="18">
        <v>2</v>
      </c>
      <c r="V591" s="9">
        <v>3.7</v>
      </c>
      <c r="Y591" s="9">
        <f t="shared" si="9"/>
        <v>328.54946663877848</v>
      </c>
      <c r="Z591" s="19" t="s">
        <v>97</v>
      </c>
      <c r="AA591" s="8" t="s">
        <v>279</v>
      </c>
      <c r="AB591" s="8" t="s">
        <v>75</v>
      </c>
      <c r="AC591" s="11" t="s">
        <v>76</v>
      </c>
      <c r="AD591" s="9" t="s">
        <v>120</v>
      </c>
      <c r="AE591" s="14">
        <v>6.9937029383333318</v>
      </c>
      <c r="AF591" s="13"/>
      <c r="AO591" s="34" t="s">
        <v>78</v>
      </c>
      <c r="AP591" s="31">
        <v>3.7</v>
      </c>
      <c r="AQ591" s="31">
        <v>3.7</v>
      </c>
      <c r="AR591" s="31">
        <v>3.7</v>
      </c>
    </row>
    <row r="592" spans="1:67" x14ac:dyDescent="0.2">
      <c r="A592" s="5"/>
      <c r="B592" s="25"/>
      <c r="C592" s="26"/>
      <c r="D592" s="5"/>
      <c r="E592" s="5"/>
      <c r="F592" s="32"/>
      <c r="G592" s="9"/>
      <c r="H592" s="6"/>
      <c r="I592" s="7"/>
      <c r="J592" s="9"/>
      <c r="N592" s="9"/>
      <c r="O592" s="12"/>
      <c r="P592" s="12"/>
      <c r="S592" s="9"/>
      <c r="T592" s="18"/>
      <c r="U592" s="18"/>
      <c r="Y592" s="9" t="e">
        <f t="shared" si="9"/>
        <v>#DIV/0!</v>
      </c>
      <c r="Z592" s="19"/>
      <c r="AC592" s="11"/>
      <c r="AD592" s="9"/>
      <c r="AE592" s="14"/>
      <c r="AF592" s="13"/>
      <c r="AO592" s="34" t="s">
        <v>79</v>
      </c>
      <c r="AP592" s="31">
        <v>1.9</v>
      </c>
      <c r="AQ592" s="31">
        <v>1.9</v>
      </c>
      <c r="AR592" s="31">
        <v>1.9</v>
      </c>
    </row>
    <row r="593" spans="1:67" x14ac:dyDescent="0.2">
      <c r="A593" s="5" t="s">
        <v>67</v>
      </c>
      <c r="B593" s="25">
        <v>43290</v>
      </c>
      <c r="C593" s="26">
        <v>0.66666666666666696</v>
      </c>
      <c r="D593" s="5" t="s">
        <v>278</v>
      </c>
      <c r="E593" s="5"/>
      <c r="F593" s="32">
        <v>64</v>
      </c>
      <c r="G593" s="9">
        <v>2</v>
      </c>
      <c r="H593" s="6">
        <v>3.125E-2</v>
      </c>
      <c r="I593" s="7">
        <v>6.83E-2</v>
      </c>
      <c r="J593" s="9">
        <v>314.15899999999999</v>
      </c>
      <c r="K593" s="9">
        <v>0.47809999999999997</v>
      </c>
      <c r="L593" s="9">
        <v>7</v>
      </c>
      <c r="M593" s="14">
        <v>328.54946663877848</v>
      </c>
      <c r="N593" s="9">
        <v>1419</v>
      </c>
      <c r="O593" s="12" t="s">
        <v>94</v>
      </c>
      <c r="P593" s="12" t="s">
        <v>82</v>
      </c>
      <c r="Q593" s="9" t="s">
        <v>95</v>
      </c>
      <c r="R593" s="9" t="s">
        <v>96</v>
      </c>
      <c r="S593" s="9"/>
      <c r="T593" s="18">
        <v>379</v>
      </c>
      <c r="U593" s="18">
        <v>762</v>
      </c>
      <c r="V593" s="9">
        <v>0.8</v>
      </c>
      <c r="W593" s="9">
        <v>0.8</v>
      </c>
      <c r="X593" s="9">
        <v>0.8</v>
      </c>
      <c r="Y593" s="9">
        <f t="shared" si="9"/>
        <v>124520.24785609706</v>
      </c>
      <c r="Z593" s="19" t="s">
        <v>97</v>
      </c>
      <c r="AA593" s="8" t="s">
        <v>279</v>
      </c>
      <c r="AB593" s="8" t="s">
        <v>75</v>
      </c>
      <c r="AC593" s="11" t="s">
        <v>76</v>
      </c>
      <c r="AD593" s="9" t="s">
        <v>85</v>
      </c>
      <c r="AE593" s="14">
        <v>0.18</v>
      </c>
      <c r="AF593" s="14">
        <v>0.18</v>
      </c>
      <c r="AG593" s="14">
        <v>0.18</v>
      </c>
      <c r="AH593" s="14">
        <v>0.18</v>
      </c>
      <c r="AI593" s="14">
        <v>0.18</v>
      </c>
      <c r="AJ593" s="14">
        <v>0.18</v>
      </c>
      <c r="AK593" s="14">
        <v>0.18</v>
      </c>
      <c r="AL593" s="14">
        <v>0.18</v>
      </c>
      <c r="AM593" s="14">
        <v>0.18</v>
      </c>
      <c r="AN593" s="14">
        <v>0.18</v>
      </c>
      <c r="AO593" s="35" t="s">
        <v>78</v>
      </c>
      <c r="AP593" s="31">
        <v>0.75200000000000033</v>
      </c>
      <c r="AQ593" s="31">
        <v>0.7</v>
      </c>
      <c r="AR593" s="31">
        <v>0.7</v>
      </c>
      <c r="AS593" s="31">
        <v>0.7</v>
      </c>
      <c r="AT593" s="31">
        <v>0.7</v>
      </c>
      <c r="AU593" s="31">
        <v>0.7</v>
      </c>
      <c r="AV593" s="31">
        <v>0.7</v>
      </c>
      <c r="AW593" s="31">
        <v>0.7</v>
      </c>
      <c r="AX593" s="31">
        <v>0.7</v>
      </c>
      <c r="AY593" s="31">
        <v>0.7</v>
      </c>
      <c r="AZ593" s="31">
        <v>0.7</v>
      </c>
      <c r="BA593" s="31">
        <v>0.7</v>
      </c>
      <c r="BB593" s="31">
        <v>0.7</v>
      </c>
      <c r="BC593" s="31">
        <v>0.8</v>
      </c>
      <c r="BD593" s="31">
        <v>0.8</v>
      </c>
      <c r="BE593" s="31">
        <v>0.8</v>
      </c>
      <c r="BF593" s="31">
        <v>0.8</v>
      </c>
      <c r="BG593" s="31">
        <v>0.8</v>
      </c>
      <c r="BH593" s="31">
        <v>0.8</v>
      </c>
      <c r="BI593" s="31">
        <v>0.8</v>
      </c>
      <c r="BJ593" s="31">
        <v>0.8</v>
      </c>
      <c r="BK593" s="31">
        <v>0.8</v>
      </c>
      <c r="BL593" s="31">
        <v>0.8</v>
      </c>
      <c r="BM593" s="31">
        <v>0.8</v>
      </c>
      <c r="BN593" s="31">
        <v>0.8</v>
      </c>
      <c r="BO593" s="31">
        <v>0.8</v>
      </c>
    </row>
    <row r="594" spans="1:67" x14ac:dyDescent="0.2">
      <c r="A594" s="5" t="s">
        <v>67</v>
      </c>
      <c r="B594" s="25">
        <v>43290</v>
      </c>
      <c r="C594" s="26">
        <v>0.66666666666666696</v>
      </c>
      <c r="D594" s="5" t="s">
        <v>278</v>
      </c>
      <c r="E594" s="5"/>
      <c r="F594" s="32">
        <v>64</v>
      </c>
      <c r="G594" s="9">
        <v>2</v>
      </c>
      <c r="H594" s="6">
        <v>3.125E-2</v>
      </c>
      <c r="I594" s="7">
        <v>6.83E-2</v>
      </c>
      <c r="J594" s="9">
        <v>314.15899999999999</v>
      </c>
      <c r="K594" s="9">
        <v>0.47809999999999997</v>
      </c>
      <c r="L594" s="9">
        <v>7</v>
      </c>
      <c r="M594" s="14">
        <v>328.54946663877848</v>
      </c>
      <c r="N594" s="9">
        <v>1421</v>
      </c>
      <c r="O594" s="12" t="s">
        <v>130</v>
      </c>
      <c r="P594" s="12" t="s">
        <v>82</v>
      </c>
      <c r="Q594" s="9" t="s">
        <v>95</v>
      </c>
      <c r="R594" s="9" t="s">
        <v>131</v>
      </c>
      <c r="S594" s="9"/>
      <c r="T594" s="18">
        <v>13</v>
      </c>
      <c r="U594" s="18">
        <v>17</v>
      </c>
      <c r="V594" s="9">
        <v>5.6</v>
      </c>
      <c r="Y594" s="9">
        <f t="shared" si="9"/>
        <v>4271.143066304121</v>
      </c>
      <c r="Z594" s="19" t="s">
        <v>97</v>
      </c>
      <c r="AA594" s="8" t="s">
        <v>279</v>
      </c>
      <c r="AB594" s="8" t="s">
        <v>75</v>
      </c>
      <c r="AC594" s="11" t="s">
        <v>76</v>
      </c>
      <c r="AD594" s="9" t="s">
        <v>85</v>
      </c>
      <c r="AE594" s="14">
        <v>65.449791666666655</v>
      </c>
      <c r="AF594" s="13"/>
      <c r="AO594" s="35" t="s">
        <v>78</v>
      </c>
      <c r="AP594" s="31">
        <v>5</v>
      </c>
      <c r="AQ594" s="31">
        <v>5.6</v>
      </c>
      <c r="AR594" s="31">
        <v>4.5999999999999996</v>
      </c>
      <c r="AS594" s="31">
        <v>4.5999999999999996</v>
      </c>
      <c r="AT594" s="31">
        <v>4.5999999999999996</v>
      </c>
      <c r="AU594" s="31">
        <v>5.6</v>
      </c>
    </row>
    <row r="595" spans="1:67" x14ac:dyDescent="0.2">
      <c r="A595" s="5" t="s">
        <v>67</v>
      </c>
      <c r="B595" s="25">
        <v>43290</v>
      </c>
      <c r="C595" s="26">
        <v>0.76041666666666696</v>
      </c>
      <c r="D595" s="26" t="s">
        <v>116</v>
      </c>
      <c r="E595" s="5"/>
      <c r="F595" s="32">
        <v>62</v>
      </c>
      <c r="G595" s="9">
        <v>2</v>
      </c>
      <c r="H595" s="6">
        <v>3.2258064516129031E-2</v>
      </c>
      <c r="I595" s="7">
        <v>6.83E-2</v>
      </c>
      <c r="J595" s="9">
        <v>314.15899999999999</v>
      </c>
      <c r="K595" s="9">
        <v>0.75129999999999997</v>
      </c>
      <c r="L595" s="9">
        <v>11</v>
      </c>
      <c r="M595" s="14">
        <v>209.07693331558633</v>
      </c>
      <c r="N595" s="9">
        <v>145</v>
      </c>
      <c r="O595" s="12" t="s">
        <v>69</v>
      </c>
      <c r="P595" s="8" t="s">
        <v>70</v>
      </c>
      <c r="Q595" s="9" t="s">
        <v>71</v>
      </c>
      <c r="R595" s="9" t="s">
        <v>72</v>
      </c>
      <c r="S595" s="9"/>
      <c r="T595" s="18">
        <v>1</v>
      </c>
      <c r="U595" s="18">
        <v>1</v>
      </c>
      <c r="V595" s="9">
        <v>20.399999999999999</v>
      </c>
      <c r="Y595" s="9">
        <f t="shared" si="9"/>
        <v>209.07693331558633</v>
      </c>
      <c r="Z595" s="19" t="s">
        <v>73</v>
      </c>
      <c r="AA595" s="8" t="s">
        <v>280</v>
      </c>
      <c r="AB595" s="8" t="s">
        <v>75</v>
      </c>
      <c r="AC595" s="11" t="s">
        <v>281</v>
      </c>
      <c r="AD595" s="9" t="s">
        <v>77</v>
      </c>
      <c r="AE595" s="14">
        <v>770.66344289999984</v>
      </c>
      <c r="AF595" s="13"/>
      <c r="AO595" s="34" t="s">
        <v>78</v>
      </c>
      <c r="AP595" s="31">
        <v>20.399999999999999</v>
      </c>
      <c r="AQ595" s="31">
        <v>20.399999999999999</v>
      </c>
    </row>
    <row r="596" spans="1:67" x14ac:dyDescent="0.2">
      <c r="A596" s="5"/>
      <c r="B596" s="25"/>
      <c r="C596" s="26"/>
      <c r="D596" s="26"/>
      <c r="E596" s="5"/>
      <c r="F596" s="32"/>
      <c r="G596" s="9"/>
      <c r="H596" s="6"/>
      <c r="I596" s="7"/>
      <c r="J596" s="9"/>
      <c r="N596" s="9"/>
      <c r="O596" s="12"/>
      <c r="S596" s="9"/>
      <c r="T596" s="18"/>
      <c r="U596" s="18"/>
      <c r="Y596" s="9" t="e">
        <f t="shared" si="9"/>
        <v>#DIV/0!</v>
      </c>
      <c r="Z596" s="19"/>
      <c r="AC596" s="11"/>
      <c r="AD596" s="9"/>
      <c r="AE596" s="14"/>
      <c r="AF596" s="13"/>
      <c r="AO596" s="34" t="s">
        <v>79</v>
      </c>
      <c r="AP596" s="31">
        <v>13</v>
      </c>
      <c r="AQ596" s="31">
        <v>13</v>
      </c>
    </row>
    <row r="597" spans="1:67" x14ac:dyDescent="0.2">
      <c r="A597" s="5"/>
      <c r="B597" s="25"/>
      <c r="C597" s="26"/>
      <c r="D597" s="26"/>
      <c r="E597" s="5"/>
      <c r="F597" s="32"/>
      <c r="G597" s="9"/>
      <c r="H597" s="6"/>
      <c r="I597" s="7"/>
      <c r="J597" s="9"/>
      <c r="N597" s="9"/>
      <c r="O597" s="12"/>
      <c r="S597" s="9"/>
      <c r="T597" s="18"/>
      <c r="U597" s="18"/>
      <c r="Y597" s="9" t="e">
        <f t="shared" si="9"/>
        <v>#DIV/0!</v>
      </c>
      <c r="Z597" s="19"/>
      <c r="AC597" s="11"/>
      <c r="AD597" s="9"/>
      <c r="AE597" s="14"/>
      <c r="AF597" s="13"/>
      <c r="AO597" s="34" t="s">
        <v>80</v>
      </c>
      <c r="AP597" s="31">
        <v>3.7</v>
      </c>
      <c r="AQ597" s="31">
        <v>3.7</v>
      </c>
    </row>
    <row r="598" spans="1:67" x14ac:dyDescent="0.2">
      <c r="A598" s="5" t="s">
        <v>67</v>
      </c>
      <c r="B598" s="25">
        <v>43290</v>
      </c>
      <c r="C598" s="26">
        <v>0.76041666666666696</v>
      </c>
      <c r="D598" s="26" t="s">
        <v>116</v>
      </c>
      <c r="E598" s="5"/>
      <c r="F598" s="32">
        <v>62</v>
      </c>
      <c r="G598" s="9">
        <v>2</v>
      </c>
      <c r="H598" s="6">
        <v>3.2258064516129031E-2</v>
      </c>
      <c r="I598" s="7">
        <v>6.83E-2</v>
      </c>
      <c r="J598" s="9">
        <v>314.15899999999999</v>
      </c>
      <c r="K598" s="9">
        <v>0.75129999999999997</v>
      </c>
      <c r="L598" s="9">
        <v>11</v>
      </c>
      <c r="M598" s="14">
        <v>209.07693331558633</v>
      </c>
      <c r="N598" s="9">
        <v>749</v>
      </c>
      <c r="O598" s="12" t="s">
        <v>190</v>
      </c>
      <c r="P598" s="8" t="s">
        <v>70</v>
      </c>
      <c r="Q598" s="9" t="s">
        <v>191</v>
      </c>
      <c r="R598" s="9" t="s">
        <v>84</v>
      </c>
      <c r="S598" s="9"/>
      <c r="T598" s="18">
        <v>3</v>
      </c>
      <c r="U598" s="18">
        <v>3</v>
      </c>
      <c r="V598" s="9">
        <v>18.5</v>
      </c>
      <c r="Y598" s="9">
        <f t="shared" si="9"/>
        <v>627.23079994675891</v>
      </c>
      <c r="Z598" s="19" t="s">
        <v>73</v>
      </c>
      <c r="AA598" s="8" t="s">
        <v>280</v>
      </c>
      <c r="AB598" s="8" t="s">
        <v>75</v>
      </c>
      <c r="AC598" s="11" t="s">
        <v>281</v>
      </c>
      <c r="AD598" s="9" t="s">
        <v>193</v>
      </c>
      <c r="AE598" s="14">
        <v>136.9</v>
      </c>
      <c r="AF598" s="13"/>
      <c r="AO598" s="34" t="s">
        <v>78</v>
      </c>
      <c r="AP598" s="31">
        <v>18.5</v>
      </c>
      <c r="AQ598" s="31">
        <v>18.5</v>
      </c>
      <c r="AR598" s="31">
        <v>18.5</v>
      </c>
      <c r="AS598" s="31">
        <v>18.5</v>
      </c>
    </row>
    <row r="599" spans="1:67" x14ac:dyDescent="0.2">
      <c r="A599" s="5"/>
      <c r="B599" s="25"/>
      <c r="C599" s="26"/>
      <c r="D599" s="26"/>
      <c r="E599" s="5"/>
      <c r="F599" s="32"/>
      <c r="G599" s="9"/>
      <c r="H599" s="6"/>
      <c r="I599" s="7"/>
      <c r="J599" s="9"/>
      <c r="N599" s="9"/>
      <c r="O599" s="12"/>
      <c r="S599" s="9"/>
      <c r="T599" s="18"/>
      <c r="U599" s="18"/>
      <c r="Y599" s="9" t="e">
        <f t="shared" si="9"/>
        <v>#DIV/0!</v>
      </c>
      <c r="Z599" s="19"/>
      <c r="AC599" s="11"/>
      <c r="AD599" s="9"/>
      <c r="AE599" s="14"/>
      <c r="AF599" s="13"/>
      <c r="AO599" s="34" t="s">
        <v>79</v>
      </c>
      <c r="AP599" s="31">
        <v>4</v>
      </c>
      <c r="AQ599" s="31">
        <v>3.7</v>
      </c>
      <c r="AR599" s="31">
        <v>4.5999999999999996</v>
      </c>
      <c r="AS599" s="31">
        <v>3.7</v>
      </c>
    </row>
    <row r="600" spans="1:67" x14ac:dyDescent="0.2">
      <c r="A600" s="5"/>
      <c r="B600" s="25"/>
      <c r="C600" s="26"/>
      <c r="D600" s="26"/>
      <c r="E600" s="5"/>
      <c r="F600" s="32"/>
      <c r="G600" s="9"/>
      <c r="H600" s="6"/>
      <c r="I600" s="7"/>
      <c r="J600" s="9"/>
      <c r="N600" s="9"/>
      <c r="O600" s="12"/>
      <c r="S600" s="9"/>
      <c r="T600" s="18"/>
      <c r="U600" s="18"/>
      <c r="Y600" s="9" t="e">
        <f t="shared" si="9"/>
        <v>#DIV/0!</v>
      </c>
      <c r="Z600" s="19"/>
      <c r="AC600" s="11"/>
      <c r="AD600" s="9"/>
      <c r="AE600" s="14"/>
      <c r="AF600" s="13"/>
      <c r="AO600" s="34" t="s">
        <v>80</v>
      </c>
      <c r="AP600" s="31">
        <v>3.7000000000000006</v>
      </c>
      <c r="AQ600" s="31">
        <v>3.7</v>
      </c>
      <c r="AR600" s="31">
        <v>3.7</v>
      </c>
      <c r="AS600" s="31">
        <v>3.7</v>
      </c>
    </row>
    <row r="601" spans="1:67" x14ac:dyDescent="0.2">
      <c r="A601" s="5" t="s">
        <v>67</v>
      </c>
      <c r="B601" s="25">
        <v>43290</v>
      </c>
      <c r="C601" s="26">
        <v>0.76041666666666696</v>
      </c>
      <c r="D601" s="26" t="s">
        <v>116</v>
      </c>
      <c r="E601" s="5"/>
      <c r="F601" s="32">
        <v>62</v>
      </c>
      <c r="G601" s="9">
        <v>2</v>
      </c>
      <c r="H601" s="6">
        <v>3.2258064516129031E-2</v>
      </c>
      <c r="I601" s="7">
        <v>6.83E-2</v>
      </c>
      <c r="J601" s="9">
        <v>314.15899999999999</v>
      </c>
      <c r="K601" s="9">
        <v>0.75129999999999997</v>
      </c>
      <c r="L601" s="9">
        <v>11</v>
      </c>
      <c r="M601" s="14">
        <v>209.07693331558633</v>
      </c>
      <c r="N601" s="9">
        <v>895</v>
      </c>
      <c r="O601" s="8" t="s">
        <v>229</v>
      </c>
      <c r="P601" s="8" t="s">
        <v>70</v>
      </c>
      <c r="Q601" s="9" t="s">
        <v>138</v>
      </c>
      <c r="R601" s="9" t="s">
        <v>84</v>
      </c>
      <c r="S601" s="9"/>
      <c r="T601" s="18">
        <v>1</v>
      </c>
      <c r="U601" s="18">
        <v>1</v>
      </c>
      <c r="V601" s="9">
        <v>7.4</v>
      </c>
      <c r="Y601" s="9">
        <f t="shared" si="9"/>
        <v>209.07693331558633</v>
      </c>
      <c r="Z601" s="19" t="s">
        <v>73</v>
      </c>
      <c r="AA601" s="8" t="s">
        <v>280</v>
      </c>
      <c r="AB601" s="8" t="s">
        <v>75</v>
      </c>
      <c r="AC601" s="11" t="s">
        <v>281</v>
      </c>
      <c r="AD601" s="9" t="s">
        <v>140</v>
      </c>
      <c r="AE601" s="14">
        <v>45.565621359999994</v>
      </c>
      <c r="AF601" s="13"/>
      <c r="AO601" s="34" t="s">
        <v>78</v>
      </c>
      <c r="AP601" s="31">
        <v>7.4</v>
      </c>
      <c r="AQ601" s="31">
        <v>7.4</v>
      </c>
    </row>
    <row r="602" spans="1:67" x14ac:dyDescent="0.2">
      <c r="A602" s="5"/>
      <c r="B602" s="25"/>
      <c r="C602" s="26"/>
      <c r="D602" s="26"/>
      <c r="E602" s="5"/>
      <c r="F602" s="32"/>
      <c r="G602" s="9"/>
      <c r="H602" s="6"/>
      <c r="I602" s="7"/>
      <c r="J602" s="9"/>
      <c r="N602" s="9"/>
      <c r="S602" s="9"/>
      <c r="T602" s="18"/>
      <c r="U602" s="18"/>
      <c r="Y602" s="9" t="e">
        <f t="shared" si="9"/>
        <v>#DIV/0!</v>
      </c>
      <c r="Z602" s="19"/>
      <c r="AC602" s="11"/>
      <c r="AD602" s="9"/>
      <c r="AE602" s="14"/>
      <c r="AF602" s="13"/>
      <c r="AO602" s="34" t="s">
        <v>79</v>
      </c>
      <c r="AP602" s="31">
        <v>2.8</v>
      </c>
      <c r="AQ602" s="31">
        <v>2.8</v>
      </c>
    </row>
    <row r="603" spans="1:67" x14ac:dyDescent="0.2">
      <c r="A603" s="5" t="s">
        <v>67</v>
      </c>
      <c r="B603" s="25">
        <v>43290</v>
      </c>
      <c r="C603" s="26">
        <v>0.76041666666666696</v>
      </c>
      <c r="D603" s="26" t="s">
        <v>116</v>
      </c>
      <c r="E603" s="5"/>
      <c r="F603" s="32">
        <v>62</v>
      </c>
      <c r="G603" s="9">
        <v>2</v>
      </c>
      <c r="H603" s="6">
        <v>3.2258064516129031E-2</v>
      </c>
      <c r="I603" s="7">
        <v>6.83E-2</v>
      </c>
      <c r="J603" s="9">
        <v>314.15899999999999</v>
      </c>
      <c r="K603" s="9">
        <v>0.75129999999999997</v>
      </c>
      <c r="L603" s="9">
        <v>11</v>
      </c>
      <c r="M603" s="14">
        <v>209.07693331558633</v>
      </c>
      <c r="N603" s="9">
        <v>1037</v>
      </c>
      <c r="O603" s="12" t="s">
        <v>86</v>
      </c>
      <c r="P603" s="12" t="s">
        <v>82</v>
      </c>
      <c r="Q603" s="9" t="s">
        <v>87</v>
      </c>
      <c r="R603" s="9" t="s">
        <v>84</v>
      </c>
      <c r="S603" s="9"/>
      <c r="T603" s="18">
        <v>39</v>
      </c>
      <c r="U603" s="18">
        <v>39</v>
      </c>
      <c r="V603" s="9">
        <v>2.8</v>
      </c>
      <c r="Y603" s="9">
        <f t="shared" si="9"/>
        <v>8154.0003993078662</v>
      </c>
      <c r="Z603" s="19" t="s">
        <v>73</v>
      </c>
      <c r="AA603" s="8" t="s">
        <v>280</v>
      </c>
      <c r="AB603" s="8" t="s">
        <v>75</v>
      </c>
      <c r="AC603" s="11" t="s">
        <v>281</v>
      </c>
      <c r="AD603" s="9" t="s">
        <v>85</v>
      </c>
      <c r="AE603" s="14">
        <v>7.2382233599999992</v>
      </c>
      <c r="AF603" s="13"/>
      <c r="AO603" s="34" t="s">
        <v>78</v>
      </c>
      <c r="AP603" s="31">
        <v>2.44</v>
      </c>
      <c r="AQ603" s="31">
        <v>1.9</v>
      </c>
      <c r="AR603" s="31">
        <v>1.9</v>
      </c>
      <c r="AS603" s="31">
        <v>2.8</v>
      </c>
      <c r="AT603" s="31">
        <v>2.8</v>
      </c>
      <c r="AU603" s="31">
        <v>2.8</v>
      </c>
    </row>
    <row r="604" spans="1:67" x14ac:dyDescent="0.2">
      <c r="A604" s="5" t="s">
        <v>67</v>
      </c>
      <c r="B604" s="25">
        <v>43290</v>
      </c>
      <c r="C604" s="26">
        <v>0.76041666666666696</v>
      </c>
      <c r="D604" s="26" t="s">
        <v>116</v>
      </c>
      <c r="E604" s="5"/>
      <c r="F604" s="32">
        <v>62</v>
      </c>
      <c r="G604" s="9">
        <v>2</v>
      </c>
      <c r="H604" s="6">
        <v>3.2258064516129031E-2</v>
      </c>
      <c r="I604" s="7">
        <v>6.83E-2</v>
      </c>
      <c r="J604" s="9">
        <v>314.15899999999999</v>
      </c>
      <c r="K604" s="9">
        <v>0.75129999999999997</v>
      </c>
      <c r="L604" s="9">
        <v>11</v>
      </c>
      <c r="M604" s="14">
        <v>209.07693331558633</v>
      </c>
      <c r="N604" s="9">
        <v>1135</v>
      </c>
      <c r="O604" s="8" t="s">
        <v>282</v>
      </c>
      <c r="P604" s="12" t="s">
        <v>82</v>
      </c>
      <c r="Q604" s="9" t="s">
        <v>127</v>
      </c>
      <c r="R604" s="9" t="s">
        <v>283</v>
      </c>
      <c r="S604" s="9"/>
      <c r="T604" s="18">
        <v>1</v>
      </c>
      <c r="U604" s="18">
        <v>1</v>
      </c>
      <c r="V604" s="9">
        <v>7.4</v>
      </c>
      <c r="Y604" s="9">
        <f t="shared" si="9"/>
        <v>209.07693331558633</v>
      </c>
      <c r="Z604" s="19" t="s">
        <v>73</v>
      </c>
      <c r="AA604" s="8" t="s">
        <v>280</v>
      </c>
      <c r="AB604" s="8" t="s">
        <v>75</v>
      </c>
      <c r="AC604" s="11" t="s">
        <v>281</v>
      </c>
      <c r="AD604" s="9" t="s">
        <v>129</v>
      </c>
      <c r="AE604" s="14">
        <v>30.377080906666663</v>
      </c>
      <c r="AF604" s="13"/>
      <c r="AO604" s="34" t="s">
        <v>78</v>
      </c>
      <c r="AP604" s="31">
        <v>7.4</v>
      </c>
      <c r="AQ604" s="31">
        <v>7.4</v>
      </c>
    </row>
    <row r="605" spans="1:67" x14ac:dyDescent="0.2">
      <c r="A605" s="5"/>
      <c r="B605" s="25"/>
      <c r="C605" s="26"/>
      <c r="D605" s="26"/>
      <c r="E605" s="5"/>
      <c r="F605" s="32"/>
      <c r="G605" s="9"/>
      <c r="H605" s="6"/>
      <c r="I605" s="7"/>
      <c r="J605" s="9"/>
      <c r="N605" s="9"/>
      <c r="P605" s="12"/>
      <c r="S605" s="9"/>
      <c r="T605" s="18"/>
      <c r="U605" s="18"/>
      <c r="Y605" s="9" t="e">
        <f t="shared" si="9"/>
        <v>#DIV/0!</v>
      </c>
      <c r="Z605" s="19"/>
      <c r="AC605" s="11"/>
      <c r="AD605" s="9"/>
      <c r="AE605" s="14"/>
      <c r="AF605" s="13"/>
      <c r="AO605" s="34" t="s">
        <v>79</v>
      </c>
      <c r="AP605" s="31">
        <v>2.8</v>
      </c>
      <c r="AQ605" s="31">
        <v>2.8</v>
      </c>
    </row>
    <row r="606" spans="1:67" x14ac:dyDescent="0.2">
      <c r="A606" s="5" t="s">
        <v>67</v>
      </c>
      <c r="B606" s="25">
        <v>43290</v>
      </c>
      <c r="C606" s="26">
        <v>0.76041666666666696</v>
      </c>
      <c r="D606" s="26" t="s">
        <v>116</v>
      </c>
      <c r="E606" s="5"/>
      <c r="F606" s="32">
        <v>62</v>
      </c>
      <c r="G606" s="9">
        <v>2</v>
      </c>
      <c r="H606" s="6">
        <v>3.2258064516129031E-2</v>
      </c>
      <c r="I606" s="7">
        <v>6.83E-2</v>
      </c>
      <c r="J606" s="9">
        <v>314.15899999999999</v>
      </c>
      <c r="K606" s="9">
        <v>0.75129999999999997</v>
      </c>
      <c r="L606" s="9">
        <v>11</v>
      </c>
      <c r="M606" s="14">
        <v>209.07693331558633</v>
      </c>
      <c r="N606" s="9">
        <v>1806</v>
      </c>
      <c r="O606" s="12" t="s">
        <v>206</v>
      </c>
      <c r="P606" s="12" t="s">
        <v>82</v>
      </c>
      <c r="Q606" s="9" t="s">
        <v>207</v>
      </c>
      <c r="R606" s="9" t="s">
        <v>84</v>
      </c>
      <c r="S606" s="9"/>
      <c r="T606" s="18">
        <v>2</v>
      </c>
      <c r="U606" s="18">
        <v>2</v>
      </c>
      <c r="V606" s="9">
        <v>4.5999999999999996</v>
      </c>
      <c r="Y606" s="9">
        <f t="shared" si="9"/>
        <v>418.15386663117266</v>
      </c>
      <c r="Z606" s="19" t="s">
        <v>73</v>
      </c>
      <c r="AA606" s="8" t="s">
        <v>280</v>
      </c>
      <c r="AB606" s="8" t="s">
        <v>75</v>
      </c>
      <c r="AC606" s="11" t="s">
        <v>281</v>
      </c>
      <c r="AD606" s="9" t="s">
        <v>120</v>
      </c>
      <c r="AE606" s="14">
        <v>23.948340569999996</v>
      </c>
      <c r="AF606" s="13"/>
      <c r="AO606" s="34" t="s">
        <v>78</v>
      </c>
      <c r="AP606" s="31">
        <v>4.1500000000000004</v>
      </c>
      <c r="AQ606" s="31">
        <v>4.5999999999999996</v>
      </c>
      <c r="AR606" s="31">
        <v>3.7</v>
      </c>
    </row>
    <row r="607" spans="1:67" x14ac:dyDescent="0.2">
      <c r="A607" s="5"/>
      <c r="B607" s="25"/>
      <c r="C607" s="26"/>
      <c r="D607" s="26"/>
      <c r="E607" s="5"/>
      <c r="F607" s="32"/>
      <c r="G607" s="9"/>
      <c r="H607" s="6"/>
      <c r="I607" s="7"/>
      <c r="J607" s="9"/>
      <c r="N607" s="9"/>
      <c r="O607" s="12"/>
      <c r="P607" s="12"/>
      <c r="S607" s="9"/>
      <c r="T607" s="18"/>
      <c r="U607" s="18"/>
      <c r="Y607" s="9" t="e">
        <f t="shared" si="9"/>
        <v>#DIV/0!</v>
      </c>
      <c r="Z607" s="19"/>
      <c r="AC607" s="11"/>
      <c r="AD607" s="9"/>
      <c r="AE607" s="14"/>
      <c r="AF607" s="13"/>
      <c r="AO607" s="34" t="s">
        <v>79</v>
      </c>
      <c r="AP607" s="31">
        <v>3.25</v>
      </c>
      <c r="AQ607" s="31">
        <v>3.7</v>
      </c>
      <c r="AR607" s="31">
        <v>2.8</v>
      </c>
    </row>
    <row r="608" spans="1:67" x14ac:dyDescent="0.2">
      <c r="A608" s="5" t="s">
        <v>67</v>
      </c>
      <c r="B608" s="25">
        <v>43290</v>
      </c>
      <c r="C608" s="26">
        <v>0.76041666666666696</v>
      </c>
      <c r="D608" s="26" t="s">
        <v>116</v>
      </c>
      <c r="E608" s="5"/>
      <c r="F608" s="32">
        <v>62</v>
      </c>
      <c r="G608" s="9">
        <v>2</v>
      </c>
      <c r="H608" s="6">
        <v>3.2258064516129031E-2</v>
      </c>
      <c r="I608" s="7">
        <v>6.83E-2</v>
      </c>
      <c r="J608" s="9">
        <v>314.15899999999999</v>
      </c>
      <c r="K608" s="9">
        <v>0.75129999999999997</v>
      </c>
      <c r="L608" s="9">
        <v>11</v>
      </c>
      <c r="M608" s="14">
        <v>209.07693331558633</v>
      </c>
      <c r="N608" s="9">
        <v>1419</v>
      </c>
      <c r="O608" s="12" t="s">
        <v>94</v>
      </c>
      <c r="P608" s="12" t="s">
        <v>82</v>
      </c>
      <c r="Q608" s="9" t="s">
        <v>95</v>
      </c>
      <c r="R608" s="9" t="s">
        <v>96</v>
      </c>
      <c r="S608" s="9"/>
      <c r="T608" s="18">
        <v>375</v>
      </c>
      <c r="U608" s="18">
        <v>752</v>
      </c>
      <c r="V608" s="9">
        <v>0.8</v>
      </c>
      <c r="W608" s="9">
        <v>0.8</v>
      </c>
      <c r="X608" s="9">
        <v>0.8</v>
      </c>
      <c r="Y608" s="9">
        <f t="shared" si="9"/>
        <v>78403.849993344877</v>
      </c>
      <c r="Z608" s="19" t="s">
        <v>97</v>
      </c>
      <c r="AA608" s="8" t="s">
        <v>280</v>
      </c>
      <c r="AB608" s="8" t="s">
        <v>75</v>
      </c>
      <c r="AC608" s="11" t="s">
        <v>281</v>
      </c>
      <c r="AD608" s="9" t="s">
        <v>85</v>
      </c>
      <c r="AE608" s="14">
        <v>0.18</v>
      </c>
      <c r="AF608" s="14">
        <v>0.18</v>
      </c>
      <c r="AG608" s="14">
        <v>0.18</v>
      </c>
      <c r="AH608" s="14">
        <v>0.18</v>
      </c>
      <c r="AI608" s="14">
        <v>0.18</v>
      </c>
      <c r="AJ608" s="14">
        <v>0.18</v>
      </c>
      <c r="AK608" s="14">
        <v>0.18</v>
      </c>
      <c r="AL608" s="14">
        <v>0.18</v>
      </c>
      <c r="AM608" s="14">
        <v>0.18</v>
      </c>
      <c r="AN608" s="14">
        <v>0.18</v>
      </c>
      <c r="AO608" s="35" t="s">
        <v>78</v>
      </c>
      <c r="AP608" s="31">
        <v>0.75200000000000033</v>
      </c>
      <c r="AQ608" s="31">
        <v>0.7</v>
      </c>
      <c r="AR608" s="31">
        <v>0.7</v>
      </c>
      <c r="AS608" s="31">
        <v>0.7</v>
      </c>
      <c r="AT608" s="31">
        <v>0.7</v>
      </c>
      <c r="AU608" s="31">
        <v>0.7</v>
      </c>
      <c r="AV608" s="31">
        <v>0.7</v>
      </c>
      <c r="AW608" s="31">
        <v>0.7</v>
      </c>
      <c r="AX608" s="31">
        <v>0.7</v>
      </c>
      <c r="AY608" s="31">
        <v>0.7</v>
      </c>
      <c r="AZ608" s="31">
        <v>0.7</v>
      </c>
      <c r="BA608" s="31">
        <v>0.7</v>
      </c>
      <c r="BB608" s="31">
        <v>0.7</v>
      </c>
      <c r="BC608" s="31">
        <v>0.8</v>
      </c>
      <c r="BD608" s="31">
        <v>0.8</v>
      </c>
      <c r="BE608" s="31">
        <v>0.8</v>
      </c>
      <c r="BF608" s="31">
        <v>0.8</v>
      </c>
      <c r="BG608" s="31">
        <v>0.8</v>
      </c>
      <c r="BH608" s="31">
        <v>0.8</v>
      </c>
      <c r="BI608" s="31">
        <v>0.8</v>
      </c>
      <c r="BJ608" s="31">
        <v>0.8</v>
      </c>
      <c r="BK608" s="31">
        <v>0.8</v>
      </c>
      <c r="BL608" s="31">
        <v>0.8</v>
      </c>
      <c r="BM608" s="31">
        <v>0.8</v>
      </c>
      <c r="BN608" s="31">
        <v>0.8</v>
      </c>
      <c r="BO608" s="31">
        <v>0.8</v>
      </c>
    </row>
    <row r="609" spans="1:67" x14ac:dyDescent="0.2">
      <c r="A609" s="5" t="s">
        <v>67</v>
      </c>
      <c r="B609" s="25">
        <v>43290</v>
      </c>
      <c r="C609" s="26">
        <v>0.76041666666666696</v>
      </c>
      <c r="D609" s="26" t="s">
        <v>116</v>
      </c>
      <c r="E609" s="5"/>
      <c r="F609" s="32">
        <v>62</v>
      </c>
      <c r="G609" s="9">
        <v>2</v>
      </c>
      <c r="H609" s="6">
        <v>3.2258064516129031E-2</v>
      </c>
      <c r="I609" s="7">
        <v>6.83E-2</v>
      </c>
      <c r="J609" s="9">
        <v>314.15899999999999</v>
      </c>
      <c r="K609" s="9">
        <v>0.75129999999999997</v>
      </c>
      <c r="L609" s="9">
        <v>11</v>
      </c>
      <c r="M609" s="14">
        <v>209.07693331558633</v>
      </c>
      <c r="N609" s="9">
        <v>1421</v>
      </c>
      <c r="O609" s="12" t="s">
        <v>130</v>
      </c>
      <c r="P609" s="12" t="s">
        <v>82</v>
      </c>
      <c r="Q609" s="9" t="s">
        <v>95</v>
      </c>
      <c r="R609" s="9" t="s">
        <v>131</v>
      </c>
      <c r="S609" s="9"/>
      <c r="T609" s="18">
        <v>6</v>
      </c>
      <c r="U609" s="18">
        <v>7</v>
      </c>
      <c r="V609" s="9">
        <v>5.6</v>
      </c>
      <c r="Y609" s="9">
        <f t="shared" si="9"/>
        <v>1254.4615998935178</v>
      </c>
      <c r="Z609" s="19" t="s">
        <v>97</v>
      </c>
      <c r="AA609" s="8" t="s">
        <v>280</v>
      </c>
      <c r="AB609" s="8" t="s">
        <v>75</v>
      </c>
      <c r="AC609" s="11" t="s">
        <v>281</v>
      </c>
      <c r="AD609" s="9" t="s">
        <v>85</v>
      </c>
      <c r="AE609" s="14">
        <v>82.447887960000003</v>
      </c>
      <c r="AF609" s="13"/>
      <c r="AO609" s="34" t="s">
        <v>78</v>
      </c>
      <c r="AP609" s="31">
        <v>5.38</v>
      </c>
      <c r="AQ609" s="31">
        <v>5.6</v>
      </c>
      <c r="AR609" s="31">
        <v>5.6</v>
      </c>
      <c r="AS609" s="31">
        <v>5.6</v>
      </c>
      <c r="AT609" s="31">
        <v>5.6</v>
      </c>
      <c r="AU609" s="31">
        <v>4.5</v>
      </c>
    </row>
    <row r="610" spans="1:67" x14ac:dyDescent="0.2">
      <c r="A610" s="5" t="s">
        <v>67</v>
      </c>
      <c r="B610" s="25">
        <v>43286</v>
      </c>
      <c r="C610" s="26">
        <v>0.51041666666666696</v>
      </c>
      <c r="D610" s="5" t="s">
        <v>209</v>
      </c>
      <c r="E610" s="5">
        <v>3</v>
      </c>
      <c r="F610" s="32">
        <v>61</v>
      </c>
      <c r="G610" s="9">
        <v>2</v>
      </c>
      <c r="H610" s="6">
        <v>3.2786885245901641E-2</v>
      </c>
      <c r="I610" s="7">
        <v>6.83E-2</v>
      </c>
      <c r="J610" s="9">
        <v>314.15899999999999</v>
      </c>
      <c r="K610" s="9">
        <v>0.68300000000000005</v>
      </c>
      <c r="L610" s="9">
        <v>10</v>
      </c>
      <c r="M610" s="14">
        <v>229.98462664714492</v>
      </c>
      <c r="N610" s="9">
        <v>749</v>
      </c>
      <c r="O610" s="12" t="s">
        <v>190</v>
      </c>
      <c r="P610" s="8" t="s">
        <v>70</v>
      </c>
      <c r="Q610" s="9" t="s">
        <v>191</v>
      </c>
      <c r="R610" s="9" t="s">
        <v>84</v>
      </c>
      <c r="S610" s="9"/>
      <c r="T610" s="18">
        <v>1</v>
      </c>
      <c r="U610" s="18">
        <v>1</v>
      </c>
      <c r="V610" s="9">
        <v>13</v>
      </c>
      <c r="Y610" s="9">
        <f t="shared" si="9"/>
        <v>229.98462664714492</v>
      </c>
      <c r="Z610" s="19" t="s">
        <v>73</v>
      </c>
      <c r="AA610" s="8" t="s">
        <v>284</v>
      </c>
      <c r="AB610" s="8" t="s">
        <v>75</v>
      </c>
      <c r="AC610" s="11" t="s">
        <v>76</v>
      </c>
      <c r="AD610" s="9" t="s">
        <v>193</v>
      </c>
      <c r="AE610" s="14">
        <v>67.34</v>
      </c>
      <c r="AF610" s="13"/>
      <c r="AO610" s="34" t="s">
        <v>78</v>
      </c>
      <c r="AP610" s="31">
        <v>13</v>
      </c>
      <c r="AQ610" s="31">
        <v>13</v>
      </c>
    </row>
    <row r="611" spans="1:67" x14ac:dyDescent="0.2">
      <c r="A611" s="5"/>
      <c r="B611" s="25"/>
      <c r="C611" s="26"/>
      <c r="D611" s="5"/>
      <c r="E611" s="5"/>
      <c r="F611" s="32"/>
      <c r="G611" s="9"/>
      <c r="H611" s="6"/>
      <c r="I611" s="7"/>
      <c r="J611" s="9"/>
      <c r="N611" s="9"/>
      <c r="O611" s="12"/>
      <c r="S611" s="9"/>
      <c r="T611" s="18"/>
      <c r="U611" s="18"/>
      <c r="Y611" s="9" t="e">
        <f t="shared" si="9"/>
        <v>#DIV/0!</v>
      </c>
      <c r="Z611" s="19"/>
      <c r="AC611" s="11"/>
      <c r="AD611" s="9"/>
      <c r="AE611" s="14"/>
      <c r="AF611" s="13"/>
      <c r="AO611" s="34" t="s">
        <v>79</v>
      </c>
      <c r="AP611" s="31">
        <v>3.7</v>
      </c>
      <c r="AQ611" s="31">
        <v>3.7</v>
      </c>
    </row>
    <row r="612" spans="1:67" x14ac:dyDescent="0.2">
      <c r="A612" s="5"/>
      <c r="B612" s="25"/>
      <c r="C612" s="26"/>
      <c r="D612" s="5"/>
      <c r="E612" s="5"/>
      <c r="F612" s="32"/>
      <c r="G612" s="9"/>
      <c r="H612" s="6"/>
      <c r="I612" s="7"/>
      <c r="J612" s="9"/>
      <c r="N612" s="9"/>
      <c r="O612" s="12"/>
      <c r="S612" s="9"/>
      <c r="T612" s="18"/>
      <c r="U612" s="18"/>
      <c r="Y612" s="9" t="e">
        <f t="shared" si="9"/>
        <v>#DIV/0!</v>
      </c>
      <c r="Z612" s="19"/>
      <c r="AC612" s="11"/>
      <c r="AD612" s="9"/>
      <c r="AE612" s="14"/>
      <c r="AF612" s="13"/>
      <c r="AO612" s="34" t="s">
        <v>80</v>
      </c>
      <c r="AP612" s="31">
        <v>2.8</v>
      </c>
      <c r="AQ612" s="31">
        <v>2.8</v>
      </c>
    </row>
    <row r="613" spans="1:67" x14ac:dyDescent="0.2">
      <c r="A613" s="5" t="s">
        <v>67</v>
      </c>
      <c r="B613" s="25">
        <v>43286</v>
      </c>
      <c r="C613" s="26">
        <v>0.51041666666666696</v>
      </c>
      <c r="D613" s="5" t="s">
        <v>209</v>
      </c>
      <c r="E613" s="5">
        <v>3</v>
      </c>
      <c r="F613" s="32">
        <v>61</v>
      </c>
      <c r="G613" s="9">
        <v>2</v>
      </c>
      <c r="H613" s="6">
        <v>3.2786885245901641E-2</v>
      </c>
      <c r="I613" s="7">
        <v>6.83E-2</v>
      </c>
      <c r="J613" s="9">
        <v>314.15899999999999</v>
      </c>
      <c r="K613" s="9">
        <v>0.68300000000000005</v>
      </c>
      <c r="L613" s="9">
        <v>10</v>
      </c>
      <c r="M613" s="14">
        <v>229.98462664714492</v>
      </c>
      <c r="N613" s="9">
        <v>1031</v>
      </c>
      <c r="O613" s="12" t="s">
        <v>81</v>
      </c>
      <c r="P613" s="12" t="s">
        <v>82</v>
      </c>
      <c r="Q613" s="9" t="s">
        <v>83</v>
      </c>
      <c r="R613" s="9" t="s">
        <v>84</v>
      </c>
      <c r="S613" s="9"/>
      <c r="T613" s="18">
        <v>1</v>
      </c>
      <c r="U613" s="18">
        <v>1</v>
      </c>
      <c r="V613" s="9">
        <v>5.6</v>
      </c>
      <c r="Y613" s="9">
        <f t="shared" si="9"/>
        <v>229.98462664714492</v>
      </c>
      <c r="Z613" s="19" t="s">
        <v>73</v>
      </c>
      <c r="AA613" s="8" t="s">
        <v>284</v>
      </c>
      <c r="AB613" s="8" t="s">
        <v>75</v>
      </c>
      <c r="AC613" s="11" t="s">
        <v>76</v>
      </c>
      <c r="AD613" s="9" t="s">
        <v>85</v>
      </c>
      <c r="AE613" s="14">
        <v>62.044308106666655</v>
      </c>
      <c r="AF613" s="13"/>
      <c r="AO613" s="34" t="s">
        <v>78</v>
      </c>
      <c r="AP613" s="31">
        <v>5.6</v>
      </c>
      <c r="AQ613" s="31">
        <v>5.6</v>
      </c>
    </row>
    <row r="614" spans="1:67" x14ac:dyDescent="0.2">
      <c r="A614" s="5"/>
      <c r="B614" s="25"/>
      <c r="C614" s="26"/>
      <c r="D614" s="5"/>
      <c r="E614" s="5"/>
      <c r="F614" s="32"/>
      <c r="G614" s="9"/>
      <c r="H614" s="6"/>
      <c r="I614" s="7"/>
      <c r="J614" s="9"/>
      <c r="N614" s="9"/>
      <c r="O614" s="12"/>
      <c r="P614" s="12"/>
      <c r="S614" s="9"/>
      <c r="T614" s="18"/>
      <c r="U614" s="18"/>
      <c r="Y614" s="9" t="e">
        <f t="shared" si="9"/>
        <v>#DIV/0!</v>
      </c>
      <c r="Z614" s="19"/>
      <c r="AC614" s="11"/>
      <c r="AD614" s="9"/>
      <c r="AE614" s="14"/>
      <c r="AF614" s="13"/>
      <c r="AO614" s="34" t="s">
        <v>79</v>
      </c>
      <c r="AP614" s="31">
        <v>4.5999999999999996</v>
      </c>
      <c r="AQ614" s="31">
        <v>4.5999999999999996</v>
      </c>
    </row>
    <row r="615" spans="1:67" x14ac:dyDescent="0.2">
      <c r="A615" s="5"/>
      <c r="B615" s="25"/>
      <c r="C615" s="26"/>
      <c r="D615" s="5"/>
      <c r="E615" s="5"/>
      <c r="F615" s="32"/>
      <c r="G615" s="9"/>
      <c r="H615" s="6"/>
      <c r="I615" s="7"/>
      <c r="J615" s="9"/>
      <c r="N615" s="9"/>
      <c r="O615" s="12"/>
      <c r="P615" s="12"/>
      <c r="S615" s="9"/>
      <c r="T615" s="18"/>
      <c r="U615" s="18"/>
      <c r="Y615" s="9" t="e">
        <f t="shared" si="9"/>
        <v>#DIV/0!</v>
      </c>
      <c r="Z615" s="19"/>
      <c r="AC615" s="11"/>
      <c r="AD615" s="9"/>
      <c r="AE615" s="14"/>
      <c r="AF615" s="13"/>
      <c r="AO615" s="34" t="s">
        <v>80</v>
      </c>
      <c r="AP615" s="31">
        <v>4.5999999999999996</v>
      </c>
      <c r="AQ615" s="31">
        <v>4.5999999999999996</v>
      </c>
    </row>
    <row r="616" spans="1:67" x14ac:dyDescent="0.2">
      <c r="A616" s="5" t="s">
        <v>67</v>
      </c>
      <c r="B616" s="25">
        <v>43286</v>
      </c>
      <c r="C616" s="26">
        <v>0.51041666666666696</v>
      </c>
      <c r="D616" s="5" t="s">
        <v>209</v>
      </c>
      <c r="E616" s="5">
        <v>3</v>
      </c>
      <c r="F616" s="32">
        <v>61</v>
      </c>
      <c r="G616" s="9">
        <v>2</v>
      </c>
      <c r="H616" s="6">
        <v>3.2786885245901641E-2</v>
      </c>
      <c r="I616" s="7">
        <v>6.83E-2</v>
      </c>
      <c r="J616" s="9">
        <v>314.15899999999999</v>
      </c>
      <c r="K616" s="9">
        <v>0.68300000000000005</v>
      </c>
      <c r="L616" s="9">
        <v>10</v>
      </c>
      <c r="M616" s="14">
        <v>229.98462664714492</v>
      </c>
      <c r="N616" s="9">
        <v>1037</v>
      </c>
      <c r="O616" s="12" t="s">
        <v>86</v>
      </c>
      <c r="P616" s="12" t="s">
        <v>82</v>
      </c>
      <c r="Q616" s="9" t="s">
        <v>87</v>
      </c>
      <c r="R616" s="9" t="s">
        <v>84</v>
      </c>
      <c r="S616" s="9"/>
      <c r="T616" s="18">
        <v>23</v>
      </c>
      <c r="U616" s="18">
        <v>23</v>
      </c>
      <c r="V616" s="9">
        <v>2.8</v>
      </c>
      <c r="Y616" s="9">
        <f t="shared" si="9"/>
        <v>5289.6464128843336</v>
      </c>
      <c r="Z616" s="19" t="s">
        <v>73</v>
      </c>
      <c r="AA616" s="8" t="s">
        <v>284</v>
      </c>
      <c r="AB616" s="8" t="s">
        <v>75</v>
      </c>
      <c r="AC616" s="11" t="s">
        <v>76</v>
      </c>
      <c r="AD616" s="9" t="s">
        <v>85</v>
      </c>
      <c r="AE616" s="14">
        <v>9.2027643066666673</v>
      </c>
      <c r="AF616" s="13"/>
      <c r="AO616" s="34" t="s">
        <v>78</v>
      </c>
      <c r="AP616" s="31">
        <v>2.6199999999999997</v>
      </c>
      <c r="AQ616" s="31">
        <v>1.9</v>
      </c>
      <c r="AR616" s="31">
        <v>2.8</v>
      </c>
      <c r="AS616" s="31">
        <v>2.8</v>
      </c>
      <c r="AT616" s="31">
        <v>2.8</v>
      </c>
      <c r="AU616" s="31">
        <v>2.8</v>
      </c>
    </row>
    <row r="617" spans="1:67" x14ac:dyDescent="0.2">
      <c r="A617" s="5" t="s">
        <v>67</v>
      </c>
      <c r="B617" s="25">
        <v>43286</v>
      </c>
      <c r="C617" s="26">
        <v>0.51041666666666696</v>
      </c>
      <c r="D617" s="5" t="s">
        <v>209</v>
      </c>
      <c r="E617" s="5">
        <v>3</v>
      </c>
      <c r="F617" s="32">
        <v>61</v>
      </c>
      <c r="G617" s="9">
        <v>2</v>
      </c>
      <c r="H617" s="6">
        <v>3.2786885245901641E-2</v>
      </c>
      <c r="I617" s="7">
        <v>6.83E-2</v>
      </c>
      <c r="J617" s="9">
        <v>314.15899999999999</v>
      </c>
      <c r="K617" s="9">
        <v>0.68300000000000005</v>
      </c>
      <c r="L617" s="9">
        <v>10</v>
      </c>
      <c r="M617" s="14">
        <v>229.98462664714492</v>
      </c>
      <c r="N617" s="9">
        <v>1364</v>
      </c>
      <c r="O617" s="12" t="s">
        <v>88</v>
      </c>
      <c r="P617" s="12" t="s">
        <v>82</v>
      </c>
      <c r="Q617" s="9" t="s">
        <v>89</v>
      </c>
      <c r="R617" s="9" t="s">
        <v>90</v>
      </c>
      <c r="S617" s="9"/>
      <c r="T617" s="18">
        <v>2</v>
      </c>
      <c r="U617" s="18">
        <v>2</v>
      </c>
      <c r="V617" s="9">
        <v>9.3000000000000007</v>
      </c>
      <c r="Y617" s="9">
        <f t="shared" si="9"/>
        <v>459.96925329428984</v>
      </c>
      <c r="Z617" s="19" t="s">
        <v>73</v>
      </c>
      <c r="AA617" s="8" t="s">
        <v>284</v>
      </c>
      <c r="AB617" s="8" t="s">
        <v>75</v>
      </c>
      <c r="AC617" s="11" t="s">
        <v>76</v>
      </c>
      <c r="AD617" s="9" t="s">
        <v>91</v>
      </c>
      <c r="AE617" s="14">
        <v>326.05934291999995</v>
      </c>
      <c r="AF617" s="13"/>
      <c r="AO617" s="34" t="s">
        <v>78</v>
      </c>
      <c r="AP617" s="31">
        <v>9.3000000000000007</v>
      </c>
      <c r="AQ617" s="31">
        <v>9.3000000000000007</v>
      </c>
      <c r="AR617" s="31">
        <v>9.3000000000000007</v>
      </c>
    </row>
    <row r="618" spans="1:67" x14ac:dyDescent="0.2">
      <c r="A618" s="5"/>
      <c r="B618" s="25"/>
      <c r="C618" s="26"/>
      <c r="D618" s="5"/>
      <c r="E618" s="5"/>
      <c r="F618" s="32"/>
      <c r="G618" s="9"/>
      <c r="H618" s="6"/>
      <c r="I618" s="7"/>
      <c r="J618" s="9"/>
      <c r="N618" s="9"/>
      <c r="O618" s="12"/>
      <c r="P618" s="12"/>
      <c r="S618" s="9"/>
      <c r="T618" s="18"/>
      <c r="U618" s="18"/>
      <c r="Y618" s="9" t="e">
        <f t="shared" si="9"/>
        <v>#DIV/0!</v>
      </c>
      <c r="Z618" s="19"/>
      <c r="AC618" s="11"/>
      <c r="AD618" s="9"/>
      <c r="AE618" s="14"/>
      <c r="AF618" s="13"/>
      <c r="AO618" s="34" t="s">
        <v>79</v>
      </c>
      <c r="AP618" s="31">
        <v>5.0999999999999996</v>
      </c>
      <c r="AQ618" s="31">
        <v>5.6</v>
      </c>
      <c r="AR618" s="31">
        <v>4.5999999999999996</v>
      </c>
    </row>
    <row r="619" spans="1:67" x14ac:dyDescent="0.2">
      <c r="A619" s="5" t="s">
        <v>67</v>
      </c>
      <c r="B619" s="25">
        <v>43286</v>
      </c>
      <c r="C619" s="26">
        <v>0.51041666666666696</v>
      </c>
      <c r="D619" s="5" t="s">
        <v>209</v>
      </c>
      <c r="E619" s="5">
        <v>3</v>
      </c>
      <c r="F619" s="32">
        <v>61</v>
      </c>
      <c r="G619" s="9">
        <v>2</v>
      </c>
      <c r="H619" s="6">
        <v>3.2786885245901641E-2</v>
      </c>
      <c r="I619" s="7">
        <v>6.83E-2</v>
      </c>
      <c r="J619" s="9">
        <v>314.15899999999999</v>
      </c>
      <c r="K619" s="9">
        <v>0.68300000000000005</v>
      </c>
      <c r="L619" s="9">
        <v>10</v>
      </c>
      <c r="M619" s="14">
        <v>229.98462664714492</v>
      </c>
      <c r="N619" s="9">
        <v>1733</v>
      </c>
      <c r="O619" s="12" t="s">
        <v>92</v>
      </c>
      <c r="P619" s="12" t="s">
        <v>82</v>
      </c>
      <c r="Q619" s="9" t="s">
        <v>89</v>
      </c>
      <c r="R619" s="9" t="s">
        <v>93</v>
      </c>
      <c r="S619" s="9"/>
      <c r="T619" s="18">
        <v>1</v>
      </c>
      <c r="U619" s="18">
        <v>1</v>
      </c>
      <c r="V619" s="9">
        <v>5.6</v>
      </c>
      <c r="Y619" s="9">
        <f t="shared" si="9"/>
        <v>229.98462664714492</v>
      </c>
      <c r="Z619" s="19" t="s">
        <v>73</v>
      </c>
      <c r="AA619" s="8" t="s">
        <v>284</v>
      </c>
      <c r="AB619" s="8" t="s">
        <v>75</v>
      </c>
      <c r="AC619" s="11" t="s">
        <v>76</v>
      </c>
      <c r="AD619" s="9" t="s">
        <v>91</v>
      </c>
      <c r="AE619" s="14">
        <v>76.353203359999995</v>
      </c>
      <c r="AF619" s="13"/>
      <c r="AO619" s="34" t="s">
        <v>78</v>
      </c>
      <c r="AP619" s="31">
        <v>5.6</v>
      </c>
      <c r="AQ619" s="31">
        <v>5.6</v>
      </c>
    </row>
    <row r="620" spans="1:67" x14ac:dyDescent="0.2">
      <c r="A620" s="5"/>
      <c r="B620" s="25"/>
      <c r="C620" s="26"/>
      <c r="D620" s="5"/>
      <c r="E620" s="5"/>
      <c r="F620" s="32"/>
      <c r="G620" s="9"/>
      <c r="H620" s="6"/>
      <c r="I620" s="7"/>
      <c r="J620" s="9"/>
      <c r="N620" s="9"/>
      <c r="O620" s="12"/>
      <c r="P620" s="12"/>
      <c r="S620" s="9"/>
      <c r="T620" s="18"/>
      <c r="U620" s="18"/>
      <c r="Y620" s="9" t="e">
        <f t="shared" si="9"/>
        <v>#DIV/0!</v>
      </c>
      <c r="Z620" s="19"/>
      <c r="AC620" s="11"/>
      <c r="AD620" s="9"/>
      <c r="AE620" s="14"/>
      <c r="AF620" s="13"/>
      <c r="AO620" s="34" t="s">
        <v>79</v>
      </c>
      <c r="AP620" s="31">
        <v>3.7</v>
      </c>
      <c r="AQ620" s="31">
        <v>3.7</v>
      </c>
    </row>
    <row r="621" spans="1:67" x14ac:dyDescent="0.2">
      <c r="A621" s="5" t="s">
        <v>67</v>
      </c>
      <c r="B621" s="25">
        <v>43286</v>
      </c>
      <c r="C621" s="26">
        <v>0.51041666666666696</v>
      </c>
      <c r="D621" s="5" t="s">
        <v>209</v>
      </c>
      <c r="E621" s="5">
        <v>3</v>
      </c>
      <c r="F621" s="32">
        <v>61</v>
      </c>
      <c r="G621" s="9">
        <v>2</v>
      </c>
      <c r="H621" s="6">
        <v>3.2786885245901641E-2</v>
      </c>
      <c r="I621" s="7">
        <v>6.83E-2</v>
      </c>
      <c r="J621" s="9">
        <v>314.15899999999999</v>
      </c>
      <c r="K621" s="9">
        <v>0.68300000000000005</v>
      </c>
      <c r="L621" s="9">
        <v>10</v>
      </c>
      <c r="M621" s="14">
        <v>229.98462664714492</v>
      </c>
      <c r="N621" s="9">
        <v>1419</v>
      </c>
      <c r="O621" s="12" t="s">
        <v>94</v>
      </c>
      <c r="P621" s="12" t="s">
        <v>82</v>
      </c>
      <c r="Q621" s="9" t="s">
        <v>95</v>
      </c>
      <c r="R621" s="9" t="s">
        <v>96</v>
      </c>
      <c r="S621" s="9"/>
      <c r="T621" s="18">
        <v>415</v>
      </c>
      <c r="U621" s="18">
        <v>833</v>
      </c>
      <c r="V621" s="9">
        <v>0.8</v>
      </c>
      <c r="W621" s="9">
        <v>0.8</v>
      </c>
      <c r="X621" s="9">
        <v>0.8</v>
      </c>
      <c r="Y621" s="9">
        <f t="shared" si="9"/>
        <v>95443.620058565153</v>
      </c>
      <c r="Z621" s="19" t="s">
        <v>97</v>
      </c>
      <c r="AA621" s="8" t="s">
        <v>284</v>
      </c>
      <c r="AB621" s="8" t="s">
        <v>75</v>
      </c>
      <c r="AC621" s="11" t="s">
        <v>76</v>
      </c>
      <c r="AD621" s="9" t="s">
        <v>85</v>
      </c>
      <c r="AE621" s="14">
        <v>0.18</v>
      </c>
      <c r="AF621" s="14">
        <v>0.18</v>
      </c>
      <c r="AG621" s="14">
        <v>0.18</v>
      </c>
      <c r="AH621" s="14">
        <v>0.18</v>
      </c>
      <c r="AI621" s="14">
        <v>0.18</v>
      </c>
      <c r="AJ621" s="14">
        <v>0.18</v>
      </c>
      <c r="AK621" s="14">
        <v>0.18</v>
      </c>
      <c r="AL621" s="14">
        <v>0.18</v>
      </c>
      <c r="AM621" s="14">
        <v>0.18</v>
      </c>
      <c r="AN621" s="14">
        <v>0.18</v>
      </c>
      <c r="AO621" s="35" t="s">
        <v>78</v>
      </c>
      <c r="AP621" s="31">
        <v>0.75200000000000033</v>
      </c>
      <c r="AQ621" s="31">
        <v>0.7</v>
      </c>
      <c r="AR621" s="31">
        <v>0.7</v>
      </c>
      <c r="AS621" s="31">
        <v>0.7</v>
      </c>
      <c r="AT621" s="31">
        <v>0.7</v>
      </c>
      <c r="AU621" s="31">
        <v>0.7</v>
      </c>
      <c r="AV621" s="31">
        <v>0.7</v>
      </c>
      <c r="AW621" s="31">
        <v>0.7</v>
      </c>
      <c r="AX621" s="31">
        <v>0.7</v>
      </c>
      <c r="AY621" s="31">
        <v>0.7</v>
      </c>
      <c r="AZ621" s="31">
        <v>0.7</v>
      </c>
      <c r="BA621" s="31">
        <v>0.7</v>
      </c>
      <c r="BB621" s="31">
        <v>0.7</v>
      </c>
      <c r="BC621" s="31">
        <v>0.8</v>
      </c>
      <c r="BD621" s="31">
        <v>0.8</v>
      </c>
      <c r="BE621" s="31">
        <v>0.8</v>
      </c>
      <c r="BF621" s="31">
        <v>0.8</v>
      </c>
      <c r="BG621" s="31">
        <v>0.8</v>
      </c>
      <c r="BH621" s="31">
        <v>0.8</v>
      </c>
      <c r="BI621" s="31">
        <v>0.8</v>
      </c>
      <c r="BJ621" s="31">
        <v>0.8</v>
      </c>
      <c r="BK621" s="31">
        <v>0.8</v>
      </c>
      <c r="BL621" s="31">
        <v>0.8</v>
      </c>
      <c r="BM621" s="31">
        <v>0.8</v>
      </c>
      <c r="BN621" s="31">
        <v>0.8</v>
      </c>
      <c r="BO621" s="31">
        <v>0.8</v>
      </c>
    </row>
    <row r="622" spans="1:67" x14ac:dyDescent="0.2">
      <c r="A622" s="5" t="s">
        <v>67</v>
      </c>
      <c r="B622" s="25">
        <v>43286</v>
      </c>
      <c r="C622" s="26">
        <v>0.46875</v>
      </c>
      <c r="D622" s="5" t="s">
        <v>108</v>
      </c>
      <c r="E622" s="5">
        <v>3</v>
      </c>
      <c r="F622" s="32">
        <v>63</v>
      </c>
      <c r="G622" s="9">
        <v>1</v>
      </c>
      <c r="H622" s="6">
        <v>1.5873015873015872E-2</v>
      </c>
      <c r="I622" s="7">
        <v>6.83E-2</v>
      </c>
      <c r="J622" s="9">
        <v>314.15899999999999</v>
      </c>
      <c r="K622" s="9">
        <v>0.75129999999999997</v>
      </c>
      <c r="L622" s="9">
        <v>11</v>
      </c>
      <c r="M622" s="14">
        <v>418.15386663117266</v>
      </c>
      <c r="N622" s="9">
        <v>46</v>
      </c>
      <c r="O622" s="12" t="s">
        <v>109</v>
      </c>
      <c r="P622" s="8" t="s">
        <v>70</v>
      </c>
      <c r="Q622" s="9" t="s">
        <v>110</v>
      </c>
      <c r="R622" s="9" t="s">
        <v>84</v>
      </c>
      <c r="S622" s="9"/>
      <c r="T622" s="18">
        <v>1</v>
      </c>
      <c r="U622" s="18">
        <v>1</v>
      </c>
      <c r="V622" s="9">
        <v>12</v>
      </c>
      <c r="Y622" s="9">
        <f t="shared" si="9"/>
        <v>418.15386663117266</v>
      </c>
      <c r="Z622" s="19" t="s">
        <v>73</v>
      </c>
      <c r="AA622" s="8" t="s">
        <v>285</v>
      </c>
      <c r="AB622" s="8" t="s">
        <v>75</v>
      </c>
      <c r="AC622" s="11" t="s">
        <v>286</v>
      </c>
      <c r="AD622" s="9" t="s">
        <v>77</v>
      </c>
      <c r="AE622" s="14">
        <v>97.640617199999994</v>
      </c>
      <c r="AF622" s="13"/>
      <c r="AO622" s="34" t="s">
        <v>78</v>
      </c>
      <c r="AP622" s="31">
        <v>12</v>
      </c>
      <c r="AQ622" s="31">
        <v>12</v>
      </c>
    </row>
    <row r="623" spans="1:67" x14ac:dyDescent="0.2">
      <c r="A623" s="5"/>
      <c r="B623" s="25"/>
      <c r="C623" s="26"/>
      <c r="D623" s="5"/>
      <c r="E623" s="5"/>
      <c r="F623" s="32"/>
      <c r="G623" s="9"/>
      <c r="H623" s="6"/>
      <c r="I623" s="7"/>
      <c r="J623" s="9"/>
      <c r="N623" s="9"/>
      <c r="O623" s="12"/>
      <c r="S623" s="9"/>
      <c r="T623" s="18"/>
      <c r="U623" s="18"/>
      <c r="Y623" s="9" t="e">
        <f t="shared" si="9"/>
        <v>#DIV/0!</v>
      </c>
      <c r="Z623" s="19"/>
      <c r="AC623" s="11"/>
      <c r="AD623" s="9"/>
      <c r="AE623" s="14"/>
      <c r="AF623" s="13"/>
      <c r="AO623" s="34" t="s">
        <v>79</v>
      </c>
      <c r="AP623" s="31">
        <v>3.7</v>
      </c>
      <c r="AQ623" s="31">
        <v>3.7</v>
      </c>
    </row>
    <row r="624" spans="1:67" x14ac:dyDescent="0.2">
      <c r="A624" s="5"/>
      <c r="B624" s="25"/>
      <c r="C624" s="26"/>
      <c r="D624" s="5"/>
      <c r="E624" s="5"/>
      <c r="F624" s="32"/>
      <c r="G624" s="9"/>
      <c r="H624" s="6"/>
      <c r="I624" s="7"/>
      <c r="J624" s="9"/>
      <c r="N624" s="9"/>
      <c r="O624" s="12"/>
      <c r="S624" s="9"/>
      <c r="T624" s="18"/>
      <c r="U624" s="18"/>
      <c r="Y624" s="9" t="e">
        <f t="shared" si="9"/>
        <v>#DIV/0!</v>
      </c>
      <c r="Z624" s="19"/>
      <c r="AC624" s="11"/>
      <c r="AD624" s="9"/>
      <c r="AE624" s="14"/>
      <c r="AF624" s="13"/>
      <c r="AO624" s="34" t="s">
        <v>80</v>
      </c>
      <c r="AP624" s="31">
        <v>2.8</v>
      </c>
      <c r="AQ624" s="31">
        <v>2.8</v>
      </c>
    </row>
    <row r="625" spans="1:67" x14ac:dyDescent="0.2">
      <c r="A625" s="5" t="s">
        <v>67</v>
      </c>
      <c r="B625" s="25">
        <v>43286</v>
      </c>
      <c r="C625" s="26">
        <v>0.46875</v>
      </c>
      <c r="D625" s="5" t="s">
        <v>108</v>
      </c>
      <c r="E625" s="5">
        <v>3</v>
      </c>
      <c r="F625" s="32">
        <v>63</v>
      </c>
      <c r="G625" s="9">
        <v>1</v>
      </c>
      <c r="H625" s="6">
        <v>1.5873015873015872E-2</v>
      </c>
      <c r="I625" s="7">
        <v>6.83E-2</v>
      </c>
      <c r="J625" s="9">
        <v>314.15899999999999</v>
      </c>
      <c r="K625" s="9">
        <v>0.75129999999999997</v>
      </c>
      <c r="L625" s="9">
        <v>11</v>
      </c>
      <c r="M625" s="14">
        <v>418.15386663117266</v>
      </c>
      <c r="N625" s="9">
        <v>190</v>
      </c>
      <c r="O625" s="12" t="s">
        <v>102</v>
      </c>
      <c r="P625" s="8" t="s">
        <v>70</v>
      </c>
      <c r="Q625" s="9" t="s">
        <v>103</v>
      </c>
      <c r="R625" s="9" t="s">
        <v>84</v>
      </c>
      <c r="S625" s="9"/>
      <c r="T625" s="18">
        <v>1</v>
      </c>
      <c r="U625" s="18">
        <v>1</v>
      </c>
      <c r="V625" s="9">
        <v>5.6</v>
      </c>
      <c r="Y625" s="9">
        <f t="shared" si="9"/>
        <v>418.15386663117266</v>
      </c>
      <c r="Z625" s="19" t="s">
        <v>73</v>
      </c>
      <c r="AA625" s="8" t="s">
        <v>285</v>
      </c>
      <c r="AB625" s="8" t="s">
        <v>75</v>
      </c>
      <c r="AC625" s="11" t="s">
        <v>286</v>
      </c>
      <c r="AD625" s="9" t="s">
        <v>104</v>
      </c>
      <c r="AE625" s="14">
        <v>91.131242719999989</v>
      </c>
      <c r="AF625" s="13"/>
      <c r="AO625" s="34" t="s">
        <v>78</v>
      </c>
      <c r="AP625" s="31">
        <v>3.7</v>
      </c>
      <c r="AQ625" s="31">
        <v>3.7</v>
      </c>
    </row>
    <row r="626" spans="1:67" x14ac:dyDescent="0.2">
      <c r="A626" s="5"/>
      <c r="B626" s="25"/>
      <c r="C626" s="26"/>
      <c r="D626" s="5"/>
      <c r="E626" s="5"/>
      <c r="F626" s="32"/>
      <c r="G626" s="9"/>
      <c r="H626" s="6"/>
      <c r="I626" s="7"/>
      <c r="J626" s="9"/>
      <c r="N626" s="9"/>
      <c r="O626" s="12"/>
      <c r="S626" s="9"/>
      <c r="T626" s="18"/>
      <c r="U626" s="18"/>
      <c r="Y626" s="9" t="e">
        <f t="shared" si="9"/>
        <v>#DIV/0!</v>
      </c>
      <c r="Z626" s="19"/>
      <c r="AC626" s="11"/>
      <c r="AD626" s="9"/>
      <c r="AE626" s="14"/>
      <c r="AF626" s="13"/>
      <c r="AO626" s="34" t="s">
        <v>79</v>
      </c>
      <c r="AP626" s="31">
        <v>5.6</v>
      </c>
      <c r="AQ626" s="31">
        <v>5.6</v>
      </c>
    </row>
    <row r="627" spans="1:67" x14ac:dyDescent="0.2">
      <c r="A627" s="5" t="s">
        <v>67</v>
      </c>
      <c r="B627" s="25">
        <v>43286</v>
      </c>
      <c r="C627" s="26">
        <v>0.46875</v>
      </c>
      <c r="D627" s="5" t="s">
        <v>108</v>
      </c>
      <c r="E627" s="5">
        <v>3</v>
      </c>
      <c r="F627" s="32">
        <v>63</v>
      </c>
      <c r="G627" s="9">
        <v>1</v>
      </c>
      <c r="H627" s="6">
        <v>1.5873015873015872E-2</v>
      </c>
      <c r="I627" s="7">
        <v>6.83E-2</v>
      </c>
      <c r="J627" s="9">
        <v>314.15899999999999</v>
      </c>
      <c r="K627" s="9">
        <v>0.75129999999999997</v>
      </c>
      <c r="L627" s="9">
        <v>11</v>
      </c>
      <c r="M627" s="14">
        <v>418.15386663117266</v>
      </c>
      <c r="N627" s="9">
        <v>1037</v>
      </c>
      <c r="O627" s="12" t="s">
        <v>86</v>
      </c>
      <c r="P627" s="12" t="s">
        <v>82</v>
      </c>
      <c r="Q627" s="9" t="s">
        <v>87</v>
      </c>
      <c r="R627" s="9" t="s">
        <v>84</v>
      </c>
      <c r="S627" s="9"/>
      <c r="T627" s="18">
        <v>28</v>
      </c>
      <c r="U627" s="18">
        <v>28</v>
      </c>
      <c r="V627" s="9">
        <v>2.8</v>
      </c>
      <c r="Y627" s="9">
        <f t="shared" si="9"/>
        <v>11708.308265672833</v>
      </c>
      <c r="Z627" s="19" t="s">
        <v>73</v>
      </c>
      <c r="AA627" s="8" t="s">
        <v>285</v>
      </c>
      <c r="AB627" s="8" t="s">
        <v>75</v>
      </c>
      <c r="AC627" s="11" t="s">
        <v>286</v>
      </c>
      <c r="AD627" s="9" t="s">
        <v>85</v>
      </c>
      <c r="AE627" s="14">
        <v>9.2027643066666673</v>
      </c>
      <c r="AF627" s="13"/>
      <c r="AO627" s="34" t="s">
        <v>78</v>
      </c>
      <c r="AP627" s="31">
        <v>2.6199999999999997</v>
      </c>
      <c r="AQ627" s="31">
        <v>2.8</v>
      </c>
      <c r="AR627" s="31">
        <v>2.8</v>
      </c>
      <c r="AS627" s="31">
        <v>2.8</v>
      </c>
      <c r="AT627" s="31">
        <v>1.9</v>
      </c>
      <c r="AU627" s="31">
        <v>2.8</v>
      </c>
    </row>
    <row r="628" spans="1:67" x14ac:dyDescent="0.2">
      <c r="A628" s="5" t="s">
        <v>67</v>
      </c>
      <c r="B628" s="25">
        <v>43286</v>
      </c>
      <c r="C628" s="26">
        <v>0.46875</v>
      </c>
      <c r="D628" s="5" t="s">
        <v>108</v>
      </c>
      <c r="E628" s="5">
        <v>3</v>
      </c>
      <c r="F628" s="32">
        <v>63</v>
      </c>
      <c r="G628" s="9">
        <v>1</v>
      </c>
      <c r="H628" s="6">
        <v>1.5873015873015872E-2</v>
      </c>
      <c r="I628" s="7">
        <v>6.83E-2</v>
      </c>
      <c r="J628" s="9">
        <v>314.15899999999999</v>
      </c>
      <c r="K628" s="9">
        <v>0.75129999999999997</v>
      </c>
      <c r="L628" s="9">
        <v>11</v>
      </c>
      <c r="M628" s="14">
        <v>418.15386663117266</v>
      </c>
      <c r="N628" s="9">
        <v>1761</v>
      </c>
      <c r="O628" s="12" t="s">
        <v>287</v>
      </c>
      <c r="P628" s="12" t="s">
        <v>82</v>
      </c>
      <c r="Q628" s="9" t="s">
        <v>288</v>
      </c>
      <c r="R628" s="9" t="s">
        <v>289</v>
      </c>
      <c r="S628" s="9"/>
      <c r="T628" s="18">
        <v>1</v>
      </c>
      <c r="U628" s="18">
        <v>1</v>
      </c>
      <c r="V628" s="9">
        <v>5.6</v>
      </c>
      <c r="Y628" s="9">
        <f t="shared" si="9"/>
        <v>418.15386663117266</v>
      </c>
      <c r="Z628" s="19" t="s">
        <v>73</v>
      </c>
      <c r="AA628" s="8" t="s">
        <v>285</v>
      </c>
      <c r="AB628" s="8" t="s">
        <v>75</v>
      </c>
      <c r="AC628" s="11" t="s">
        <v>286</v>
      </c>
      <c r="AD628" s="9" t="s">
        <v>215</v>
      </c>
      <c r="AE628" s="14">
        <v>3.8488404487499999</v>
      </c>
      <c r="AF628" s="13"/>
      <c r="AO628" s="34" t="s">
        <v>78</v>
      </c>
      <c r="AP628" s="31">
        <v>5.6</v>
      </c>
      <c r="AQ628" s="31">
        <v>5.6</v>
      </c>
    </row>
    <row r="629" spans="1:67" x14ac:dyDescent="0.2">
      <c r="A629" s="5"/>
      <c r="B629" s="25"/>
      <c r="C629" s="26"/>
      <c r="D629" s="5"/>
      <c r="E629" s="5"/>
      <c r="F629" s="32"/>
      <c r="G629" s="9"/>
      <c r="H629" s="6"/>
      <c r="I629" s="7"/>
      <c r="J629" s="9"/>
      <c r="N629" s="9"/>
      <c r="O629" s="12"/>
      <c r="P629" s="12"/>
      <c r="S629" s="9"/>
      <c r="T629" s="18"/>
      <c r="U629" s="18"/>
      <c r="Y629" s="9" t="e">
        <f t="shared" si="9"/>
        <v>#DIV/0!</v>
      </c>
      <c r="Z629" s="19"/>
      <c r="AC629" s="11"/>
      <c r="AD629" s="9"/>
      <c r="AE629" s="14"/>
      <c r="AF629" s="13"/>
      <c r="AO629" s="34" t="s">
        <v>79</v>
      </c>
      <c r="AP629" s="31">
        <v>0.9</v>
      </c>
      <c r="AQ629" s="31">
        <v>0.9</v>
      </c>
    </row>
    <row r="630" spans="1:67" x14ac:dyDescent="0.2">
      <c r="A630" s="5"/>
      <c r="B630" s="25"/>
      <c r="C630" s="26"/>
      <c r="D630" s="5"/>
      <c r="E630" s="5"/>
      <c r="F630" s="32"/>
      <c r="G630" s="9"/>
      <c r="H630" s="6"/>
      <c r="I630" s="7"/>
      <c r="J630" s="9"/>
      <c r="N630" s="9"/>
      <c r="O630" s="12"/>
      <c r="P630" s="12"/>
      <c r="S630" s="9"/>
      <c r="T630" s="18"/>
      <c r="U630" s="18"/>
      <c r="Y630" s="9" t="e">
        <f t="shared" si="9"/>
        <v>#DIV/0!</v>
      </c>
      <c r="Z630" s="19"/>
      <c r="AC630" s="11"/>
      <c r="AD630" s="9"/>
      <c r="AE630" s="14"/>
      <c r="AF630" s="13"/>
      <c r="AO630" s="34" t="s">
        <v>80</v>
      </c>
      <c r="AP630" s="31">
        <v>0.9</v>
      </c>
      <c r="AQ630" s="31">
        <v>0.9</v>
      </c>
    </row>
    <row r="631" spans="1:67" x14ac:dyDescent="0.2">
      <c r="A631" s="5" t="s">
        <v>67</v>
      </c>
      <c r="B631" s="25">
        <v>43286</v>
      </c>
      <c r="C631" s="26">
        <v>0.46875</v>
      </c>
      <c r="D631" s="5" t="s">
        <v>108</v>
      </c>
      <c r="E631" s="5">
        <v>3</v>
      </c>
      <c r="F631" s="32">
        <v>63</v>
      </c>
      <c r="G631" s="9">
        <v>1</v>
      </c>
      <c r="H631" s="6">
        <v>1.5873015873015872E-2</v>
      </c>
      <c r="I631" s="7">
        <v>6.83E-2</v>
      </c>
      <c r="J631" s="9">
        <v>314.15899999999999</v>
      </c>
      <c r="K631" s="9">
        <v>0.75129999999999997</v>
      </c>
      <c r="L631" s="9">
        <v>11</v>
      </c>
      <c r="M631" s="14">
        <v>418.15386663117266</v>
      </c>
      <c r="N631" s="9">
        <v>1135</v>
      </c>
      <c r="O631" s="8" t="s">
        <v>282</v>
      </c>
      <c r="P631" s="12" t="s">
        <v>82</v>
      </c>
      <c r="Q631" s="9" t="s">
        <v>127</v>
      </c>
      <c r="R631" s="9" t="s">
        <v>283</v>
      </c>
      <c r="S631" s="9"/>
      <c r="T631" s="18">
        <v>1</v>
      </c>
      <c r="U631" s="18">
        <v>1</v>
      </c>
      <c r="V631" s="9">
        <v>9.3000000000000007</v>
      </c>
      <c r="Y631" s="9">
        <f t="shared" si="9"/>
        <v>418.15386663117266</v>
      </c>
      <c r="Z631" s="19" t="s">
        <v>73</v>
      </c>
      <c r="AA631" s="8" t="s">
        <v>285</v>
      </c>
      <c r="AB631" s="8" t="s">
        <v>75</v>
      </c>
      <c r="AC631" s="11" t="s">
        <v>286</v>
      </c>
      <c r="AD631" s="9" t="s">
        <v>129</v>
      </c>
      <c r="AE631" s="14">
        <v>17.578766844999997</v>
      </c>
      <c r="AF631" s="13"/>
      <c r="AO631" s="34" t="s">
        <v>78</v>
      </c>
      <c r="AP631" s="31">
        <v>9.3000000000000007</v>
      </c>
      <c r="AQ631" s="31">
        <v>9.3000000000000007</v>
      </c>
    </row>
    <row r="632" spans="1:67" x14ac:dyDescent="0.2">
      <c r="A632" s="5"/>
      <c r="B632" s="25"/>
      <c r="C632" s="26"/>
      <c r="D632" s="5"/>
      <c r="E632" s="5"/>
      <c r="F632" s="32"/>
      <c r="G632" s="9"/>
      <c r="H632" s="6"/>
      <c r="I632" s="7"/>
      <c r="J632" s="9"/>
      <c r="N632" s="9"/>
      <c r="P632" s="12"/>
      <c r="S632" s="9"/>
      <c r="T632" s="18"/>
      <c r="U632" s="18"/>
      <c r="Y632" s="9" t="e">
        <f t="shared" si="9"/>
        <v>#DIV/0!</v>
      </c>
      <c r="Z632" s="19"/>
      <c r="AC632" s="11"/>
      <c r="AD632" s="9"/>
      <c r="AE632" s="14"/>
      <c r="AF632" s="13"/>
      <c r="AO632" s="34" t="s">
        <v>79</v>
      </c>
      <c r="AP632" s="31">
        <v>1.9</v>
      </c>
      <c r="AQ632" s="31">
        <v>1.9</v>
      </c>
    </row>
    <row r="633" spans="1:67" x14ac:dyDescent="0.2">
      <c r="A633" s="5" t="s">
        <v>67</v>
      </c>
      <c r="B633" s="25">
        <v>43286</v>
      </c>
      <c r="C633" s="26">
        <v>0.46875</v>
      </c>
      <c r="D633" s="5" t="s">
        <v>108</v>
      </c>
      <c r="E633" s="5">
        <v>3</v>
      </c>
      <c r="F633" s="32">
        <v>63</v>
      </c>
      <c r="G633" s="9">
        <v>1</v>
      </c>
      <c r="H633" s="6">
        <v>1.5873015873015872E-2</v>
      </c>
      <c r="I633" s="7">
        <v>6.83E-2</v>
      </c>
      <c r="J633" s="9">
        <v>314.15899999999999</v>
      </c>
      <c r="K633" s="9">
        <v>0.75129999999999997</v>
      </c>
      <c r="L633" s="9">
        <v>11</v>
      </c>
      <c r="M633" s="14">
        <v>418.15386663117266</v>
      </c>
      <c r="N633" s="9">
        <v>1235</v>
      </c>
      <c r="O633" s="12" t="s">
        <v>216</v>
      </c>
      <c r="P633" s="12" t="s">
        <v>82</v>
      </c>
      <c r="Q633" s="9" t="s">
        <v>217</v>
      </c>
      <c r="R633" s="9" t="s">
        <v>84</v>
      </c>
      <c r="S633" s="9"/>
      <c r="T633" s="18">
        <v>2</v>
      </c>
      <c r="U633" s="18">
        <v>4</v>
      </c>
      <c r="V633" s="9">
        <v>5.0999999999999996</v>
      </c>
      <c r="Y633" s="9">
        <f t="shared" si="9"/>
        <v>836.30773326234532</v>
      </c>
      <c r="Z633" s="19" t="s">
        <v>97</v>
      </c>
      <c r="AA633" s="8" t="s">
        <v>285</v>
      </c>
      <c r="AB633" s="8" t="s">
        <v>75</v>
      </c>
      <c r="AC633" s="11" t="s">
        <v>286</v>
      </c>
      <c r="AD633" s="9" t="s">
        <v>120</v>
      </c>
      <c r="AE633" s="14">
        <v>9.6399689149999972</v>
      </c>
      <c r="AF633" s="13"/>
      <c r="AO633" s="34" t="s">
        <v>78</v>
      </c>
      <c r="AP633" s="31">
        <v>5.0999999999999996</v>
      </c>
      <c r="AQ633" s="31">
        <v>4.5999999999999996</v>
      </c>
      <c r="AR633" s="31">
        <v>4.5999999999999996</v>
      </c>
      <c r="AS633" s="31">
        <v>5.6</v>
      </c>
      <c r="AT633" s="31">
        <v>5.6</v>
      </c>
    </row>
    <row r="634" spans="1:67" x14ac:dyDescent="0.2">
      <c r="A634" s="5"/>
      <c r="B634" s="25"/>
      <c r="C634" s="26"/>
      <c r="D634" s="5"/>
      <c r="E634" s="5"/>
      <c r="F634" s="32"/>
      <c r="G634" s="9"/>
      <c r="H634" s="6"/>
      <c r="I634" s="7"/>
      <c r="J634" s="9"/>
      <c r="N634" s="9"/>
      <c r="O634" s="12"/>
      <c r="P634" s="12"/>
      <c r="S634" s="9"/>
      <c r="T634" s="18"/>
      <c r="U634" s="18"/>
      <c r="Y634" s="9" t="e">
        <f t="shared" si="9"/>
        <v>#DIV/0!</v>
      </c>
      <c r="Z634" s="19"/>
      <c r="AC634" s="11"/>
      <c r="AD634" s="9"/>
      <c r="AE634" s="14"/>
      <c r="AF634" s="13"/>
      <c r="AO634" s="34" t="s">
        <v>79</v>
      </c>
      <c r="AP634" s="31">
        <v>1.9</v>
      </c>
      <c r="AQ634" s="31">
        <v>1.9</v>
      </c>
      <c r="AR634" s="31">
        <v>1.9</v>
      </c>
      <c r="AS634" s="31">
        <v>1.9</v>
      </c>
      <c r="AT634" s="31">
        <v>1.9</v>
      </c>
    </row>
    <row r="635" spans="1:67" x14ac:dyDescent="0.2">
      <c r="A635" s="5" t="s">
        <v>67</v>
      </c>
      <c r="B635" s="25">
        <v>43286</v>
      </c>
      <c r="C635" s="26">
        <v>0.46875</v>
      </c>
      <c r="D635" s="5" t="s">
        <v>108</v>
      </c>
      <c r="E635" s="5">
        <v>3</v>
      </c>
      <c r="F635" s="32">
        <v>63</v>
      </c>
      <c r="G635" s="9">
        <v>1</v>
      </c>
      <c r="H635" s="6">
        <v>1.5873015873015872E-2</v>
      </c>
      <c r="I635" s="7">
        <v>6.83E-2</v>
      </c>
      <c r="J635" s="9">
        <v>314.15899999999999</v>
      </c>
      <c r="K635" s="9">
        <v>0.75129999999999997</v>
      </c>
      <c r="L635" s="9">
        <v>11</v>
      </c>
      <c r="M635" s="14">
        <v>418.15386663117266</v>
      </c>
      <c r="N635" s="9">
        <v>1364</v>
      </c>
      <c r="O635" s="12" t="s">
        <v>88</v>
      </c>
      <c r="P635" s="12" t="s">
        <v>82</v>
      </c>
      <c r="Q635" s="9" t="s">
        <v>89</v>
      </c>
      <c r="R635" s="9" t="s">
        <v>90</v>
      </c>
      <c r="S635" s="9"/>
      <c r="T635" s="18">
        <v>2</v>
      </c>
      <c r="U635" s="18">
        <v>2</v>
      </c>
      <c r="V635" s="9">
        <v>11.1</v>
      </c>
      <c r="Y635" s="9">
        <f t="shared" si="9"/>
        <v>836.30773326234532</v>
      </c>
      <c r="Z635" s="19" t="s">
        <v>73</v>
      </c>
      <c r="AA635" s="8" t="s">
        <v>285</v>
      </c>
      <c r="AB635" s="8" t="s">
        <v>75</v>
      </c>
      <c r="AC635" s="11" t="s">
        <v>286</v>
      </c>
      <c r="AD635" s="9" t="s">
        <v>91</v>
      </c>
      <c r="AE635" s="14">
        <v>430.35384773999982</v>
      </c>
      <c r="AF635" s="13"/>
      <c r="AO635" s="34" t="s">
        <v>78</v>
      </c>
      <c r="AP635" s="31">
        <v>10.199999999999999</v>
      </c>
      <c r="AQ635" s="31">
        <v>9.3000000000000007</v>
      </c>
      <c r="AR635" s="31">
        <v>11.1</v>
      </c>
    </row>
    <row r="636" spans="1:67" x14ac:dyDescent="0.2">
      <c r="A636" s="5"/>
      <c r="B636" s="25"/>
      <c r="C636" s="26"/>
      <c r="D636" s="5"/>
      <c r="E636" s="5"/>
      <c r="F636" s="32"/>
      <c r="G636" s="9"/>
      <c r="H636" s="6"/>
      <c r="I636" s="7"/>
      <c r="J636" s="9"/>
      <c r="N636" s="9"/>
      <c r="O636" s="12"/>
      <c r="P636" s="12"/>
      <c r="S636" s="9"/>
      <c r="T636" s="18"/>
      <c r="U636" s="18"/>
      <c r="Y636" s="9" t="e">
        <f t="shared" si="9"/>
        <v>#DIV/0!</v>
      </c>
      <c r="Z636" s="19"/>
      <c r="AC636" s="11"/>
      <c r="AD636" s="9"/>
      <c r="AE636" s="14"/>
      <c r="AF636" s="13"/>
      <c r="AO636" s="34" t="s">
        <v>79</v>
      </c>
      <c r="AP636" s="31">
        <v>5.6</v>
      </c>
      <c r="AQ636" s="31">
        <v>5.6</v>
      </c>
      <c r="AR636" s="31">
        <v>5.6</v>
      </c>
    </row>
    <row r="637" spans="1:67" x14ac:dyDescent="0.2">
      <c r="A637" s="5" t="s">
        <v>67</v>
      </c>
      <c r="B637" s="25">
        <v>43286</v>
      </c>
      <c r="C637" s="26">
        <v>0.46875</v>
      </c>
      <c r="D637" s="5" t="s">
        <v>108</v>
      </c>
      <c r="E637" s="5">
        <v>3</v>
      </c>
      <c r="F637" s="32">
        <v>63</v>
      </c>
      <c r="G637" s="9">
        <v>1</v>
      </c>
      <c r="H637" s="6">
        <v>1.5873015873015872E-2</v>
      </c>
      <c r="I637" s="7">
        <v>6.83E-2</v>
      </c>
      <c r="J637" s="9">
        <v>314.15899999999999</v>
      </c>
      <c r="K637" s="9">
        <v>0.75129999999999997</v>
      </c>
      <c r="L637" s="9">
        <v>11</v>
      </c>
      <c r="M637" s="14">
        <v>418.15386663117266</v>
      </c>
      <c r="N637" s="9">
        <v>1419</v>
      </c>
      <c r="O637" s="12" t="s">
        <v>94</v>
      </c>
      <c r="P637" s="12" t="s">
        <v>82</v>
      </c>
      <c r="Q637" s="9" t="s">
        <v>95</v>
      </c>
      <c r="R637" s="9" t="s">
        <v>96</v>
      </c>
      <c r="S637" s="9"/>
      <c r="T637" s="18">
        <v>371</v>
      </c>
      <c r="U637" s="18">
        <v>744</v>
      </c>
      <c r="V637" s="9">
        <v>0.8</v>
      </c>
      <c r="W637" s="9">
        <v>0.8</v>
      </c>
      <c r="X637" s="9">
        <v>0.8</v>
      </c>
      <c r="Y637" s="9">
        <f t="shared" si="9"/>
        <v>155135.08452016505</v>
      </c>
      <c r="Z637" s="19" t="s">
        <v>97</v>
      </c>
      <c r="AA637" s="8" t="s">
        <v>285</v>
      </c>
      <c r="AB637" s="8" t="s">
        <v>75</v>
      </c>
      <c r="AC637" s="11" t="s">
        <v>286</v>
      </c>
      <c r="AD637" s="9" t="s">
        <v>85</v>
      </c>
      <c r="AE637" s="14">
        <v>0.18</v>
      </c>
      <c r="AF637" s="14">
        <v>0.18</v>
      </c>
      <c r="AG637" s="14">
        <v>0.18</v>
      </c>
      <c r="AH637" s="14">
        <v>0.18</v>
      </c>
      <c r="AI637" s="14">
        <v>0.18</v>
      </c>
      <c r="AJ637" s="14">
        <v>0.18</v>
      </c>
      <c r="AK637" s="14">
        <v>0.18</v>
      </c>
      <c r="AL637" s="14">
        <v>0.18</v>
      </c>
      <c r="AM637" s="14">
        <v>0.18</v>
      </c>
      <c r="AN637" s="14">
        <v>0.18</v>
      </c>
      <c r="AO637" s="34" t="s">
        <v>78</v>
      </c>
      <c r="AP637" s="31">
        <v>0.75200000000000033</v>
      </c>
      <c r="AQ637" s="31">
        <v>0.7</v>
      </c>
      <c r="AR637" s="31">
        <v>0.7</v>
      </c>
      <c r="AS637" s="31">
        <v>0.7</v>
      </c>
      <c r="AT637" s="31">
        <v>0.7</v>
      </c>
      <c r="AU637" s="31">
        <v>0.7</v>
      </c>
      <c r="AV637" s="31">
        <v>0.7</v>
      </c>
      <c r="AW637" s="31">
        <v>0.7</v>
      </c>
      <c r="AX637" s="31">
        <v>0.7</v>
      </c>
      <c r="AY637" s="31">
        <v>0.7</v>
      </c>
      <c r="AZ637" s="31">
        <v>0.7</v>
      </c>
      <c r="BA637" s="31">
        <v>0.7</v>
      </c>
      <c r="BB637" s="31">
        <v>0.7</v>
      </c>
      <c r="BC637" s="31">
        <v>0.8</v>
      </c>
      <c r="BD637" s="31">
        <v>0.8</v>
      </c>
      <c r="BE637" s="31">
        <v>0.8</v>
      </c>
      <c r="BF637" s="31">
        <v>0.8</v>
      </c>
      <c r="BG637" s="31">
        <v>0.8</v>
      </c>
      <c r="BH637" s="31">
        <v>0.8</v>
      </c>
      <c r="BI637" s="31">
        <v>0.8</v>
      </c>
      <c r="BJ637" s="31">
        <v>0.8</v>
      </c>
      <c r="BK637" s="31">
        <v>0.8</v>
      </c>
      <c r="BL637" s="31">
        <v>0.8</v>
      </c>
      <c r="BM637" s="31">
        <v>0.8</v>
      </c>
      <c r="BN637" s="31">
        <v>0.8</v>
      </c>
      <c r="BO637" s="31">
        <v>0.8</v>
      </c>
    </row>
    <row r="638" spans="1:67" x14ac:dyDescent="0.2">
      <c r="A638" s="5" t="s">
        <v>67</v>
      </c>
      <c r="B638" s="25">
        <v>43286</v>
      </c>
      <c r="C638" s="26">
        <v>0.46875</v>
      </c>
      <c r="D638" s="5" t="s">
        <v>108</v>
      </c>
      <c r="E638" s="5">
        <v>3</v>
      </c>
      <c r="F638" s="32">
        <v>63</v>
      </c>
      <c r="G638" s="9">
        <v>1</v>
      </c>
      <c r="H638" s="6">
        <v>1.5873015873015872E-2</v>
      </c>
      <c r="I638" s="7">
        <v>6.83E-2</v>
      </c>
      <c r="J638" s="9">
        <v>314.15899999999999</v>
      </c>
      <c r="K638" s="9">
        <v>0.75129999999999997</v>
      </c>
      <c r="L638" s="9">
        <v>11</v>
      </c>
      <c r="M638" s="14">
        <v>418.15386663117266</v>
      </c>
      <c r="N638" s="9">
        <v>1421</v>
      </c>
      <c r="O638" s="12" t="s">
        <v>130</v>
      </c>
      <c r="P638" s="12" t="s">
        <v>82</v>
      </c>
      <c r="Q638" s="9" t="s">
        <v>95</v>
      </c>
      <c r="R638" s="9" t="s">
        <v>131</v>
      </c>
      <c r="S638" s="9"/>
      <c r="T638" s="18">
        <v>1</v>
      </c>
      <c r="U638" s="18">
        <v>2</v>
      </c>
      <c r="V638" s="9">
        <v>5.6</v>
      </c>
      <c r="Y638" s="9">
        <f t="shared" si="9"/>
        <v>418.15386663117266</v>
      </c>
      <c r="Z638" s="19" t="s">
        <v>97</v>
      </c>
      <c r="AA638" s="8" t="s">
        <v>285</v>
      </c>
      <c r="AB638" s="8" t="s">
        <v>75</v>
      </c>
      <c r="AC638" s="11" t="s">
        <v>286</v>
      </c>
      <c r="AD638" s="9" t="s">
        <v>85</v>
      </c>
      <c r="AE638" s="14">
        <v>91.952244906666635</v>
      </c>
      <c r="AF638" s="13"/>
      <c r="AO638" s="34" t="s">
        <v>78</v>
      </c>
      <c r="AP638" s="31">
        <v>5.6</v>
      </c>
      <c r="AQ638" s="31">
        <v>5.6</v>
      </c>
      <c r="AR638" s="31">
        <v>5.6</v>
      </c>
    </row>
    <row r="639" spans="1:67" x14ac:dyDescent="0.2">
      <c r="A639" s="5" t="s">
        <v>67</v>
      </c>
      <c r="B639" s="25">
        <v>43286</v>
      </c>
      <c r="C639" s="26">
        <v>0.46875</v>
      </c>
      <c r="D639" s="5" t="s">
        <v>108</v>
      </c>
      <c r="E639" s="5">
        <v>3</v>
      </c>
      <c r="F639" s="32">
        <v>63</v>
      </c>
      <c r="G639" s="9">
        <v>1</v>
      </c>
      <c r="H639" s="6">
        <v>1.5873015873015872E-2</v>
      </c>
      <c r="I639" s="7">
        <v>6.83E-2</v>
      </c>
      <c r="J639" s="9">
        <v>314.15899999999999</v>
      </c>
      <c r="K639" s="9">
        <v>0.75129999999999997</v>
      </c>
      <c r="L639" s="9">
        <v>11</v>
      </c>
      <c r="M639" s="14">
        <v>418.15386663117266</v>
      </c>
      <c r="N639" s="9">
        <v>1423</v>
      </c>
      <c r="O639" s="12" t="s">
        <v>163</v>
      </c>
      <c r="P639" s="12" t="s">
        <v>82</v>
      </c>
      <c r="Q639" s="9" t="s">
        <v>95</v>
      </c>
      <c r="R639" s="9" t="s">
        <v>84</v>
      </c>
      <c r="S639" s="9"/>
      <c r="T639" s="18">
        <v>2</v>
      </c>
      <c r="U639" s="18">
        <v>8</v>
      </c>
      <c r="V639" s="9">
        <v>3.7</v>
      </c>
      <c r="Y639" s="9">
        <f t="shared" si="9"/>
        <v>836.30773326234532</v>
      </c>
      <c r="Z639" s="19" t="s">
        <v>97</v>
      </c>
      <c r="AA639" s="8" t="s">
        <v>285</v>
      </c>
      <c r="AB639" s="8" t="s">
        <v>75</v>
      </c>
      <c r="AC639" s="11" t="s">
        <v>286</v>
      </c>
      <c r="AD639" s="9" t="s">
        <v>85</v>
      </c>
      <c r="AE639" s="14">
        <v>14.137154999999998</v>
      </c>
      <c r="AF639" s="13"/>
      <c r="AO639" s="34" t="s">
        <v>78</v>
      </c>
      <c r="AP639" s="31">
        <v>2.9799999999999995</v>
      </c>
      <c r="AQ639" s="31">
        <v>2.8</v>
      </c>
      <c r="AR639" s="31">
        <v>2.8</v>
      </c>
      <c r="AS639" s="31">
        <v>2.8</v>
      </c>
      <c r="AT639" s="31">
        <v>2.8</v>
      </c>
      <c r="AU639" s="31">
        <v>3.7</v>
      </c>
    </row>
    <row r="640" spans="1:67" x14ac:dyDescent="0.2">
      <c r="A640" s="5" t="s">
        <v>67</v>
      </c>
      <c r="B640" s="25">
        <v>43290</v>
      </c>
      <c r="C640" s="26">
        <v>0.73611111111111105</v>
      </c>
      <c r="D640" s="5" t="s">
        <v>200</v>
      </c>
      <c r="E640" s="5">
        <v>3</v>
      </c>
      <c r="F640" s="32">
        <v>64</v>
      </c>
      <c r="G640" s="9">
        <v>2</v>
      </c>
      <c r="H640" s="6">
        <v>3.125E-2</v>
      </c>
      <c r="I640" s="7">
        <v>6.83E-2</v>
      </c>
      <c r="J640" s="9">
        <v>314.15899999999999</v>
      </c>
      <c r="K640" s="9">
        <v>0.75129999999999997</v>
      </c>
      <c r="L640" s="9">
        <v>11</v>
      </c>
      <c r="M640" s="14">
        <v>209.07693331558633</v>
      </c>
      <c r="N640" s="9">
        <v>190</v>
      </c>
      <c r="O640" s="12" t="s">
        <v>102</v>
      </c>
      <c r="P640" s="8" t="s">
        <v>70</v>
      </c>
      <c r="Q640" s="9" t="s">
        <v>103</v>
      </c>
      <c r="R640" s="9" t="s">
        <v>84</v>
      </c>
      <c r="S640" s="9"/>
      <c r="T640" s="18">
        <v>1</v>
      </c>
      <c r="U640" s="18">
        <v>1</v>
      </c>
      <c r="V640" s="9">
        <v>6.5</v>
      </c>
      <c r="Y640" s="9">
        <f t="shared" si="9"/>
        <v>209.07693331558633</v>
      </c>
      <c r="Z640" s="19" t="s">
        <v>73</v>
      </c>
      <c r="AA640" s="8" t="s">
        <v>290</v>
      </c>
      <c r="AB640" s="8" t="s">
        <v>75</v>
      </c>
      <c r="AC640" s="11" t="s">
        <v>281</v>
      </c>
      <c r="AD640" s="9" t="s">
        <v>104</v>
      </c>
      <c r="AE640" s="14">
        <v>152.64200412499997</v>
      </c>
      <c r="AF640" s="13"/>
      <c r="AO640" s="34" t="s">
        <v>78</v>
      </c>
      <c r="AP640" s="31">
        <v>4.5999999999999996</v>
      </c>
      <c r="AQ640" s="31">
        <v>4.5999999999999996</v>
      </c>
    </row>
    <row r="641" spans="1:67" x14ac:dyDescent="0.2">
      <c r="A641" s="5"/>
      <c r="B641" s="25"/>
      <c r="C641" s="26"/>
      <c r="D641" s="5"/>
      <c r="E641" s="5"/>
      <c r="F641" s="32"/>
      <c r="G641" s="9"/>
      <c r="H641" s="6"/>
      <c r="I641" s="7"/>
      <c r="J641" s="9"/>
      <c r="N641" s="9"/>
      <c r="O641" s="12"/>
      <c r="S641" s="9"/>
      <c r="T641" s="18"/>
      <c r="U641" s="18"/>
      <c r="Y641" s="9" t="e">
        <f t="shared" si="9"/>
        <v>#DIV/0!</v>
      </c>
      <c r="Z641" s="19"/>
      <c r="AC641" s="11"/>
      <c r="AD641" s="9"/>
      <c r="AE641" s="14"/>
      <c r="AF641" s="13"/>
      <c r="AO641" s="34" t="s">
        <v>79</v>
      </c>
      <c r="AP641" s="31">
        <v>6.5</v>
      </c>
      <c r="AQ641" s="31">
        <v>6.5</v>
      </c>
    </row>
    <row r="642" spans="1:67" x14ac:dyDescent="0.2">
      <c r="A642" s="5" t="s">
        <v>67</v>
      </c>
      <c r="B642" s="25">
        <v>43290</v>
      </c>
      <c r="C642" s="26">
        <v>0.73611111111111105</v>
      </c>
      <c r="D642" s="5" t="s">
        <v>200</v>
      </c>
      <c r="E642" s="5">
        <v>3</v>
      </c>
      <c r="F642" s="32">
        <v>64</v>
      </c>
      <c r="G642" s="9">
        <v>2</v>
      </c>
      <c r="H642" s="6">
        <v>3.125E-2</v>
      </c>
      <c r="I642" s="7">
        <v>6.83E-2</v>
      </c>
      <c r="J642" s="9">
        <v>314.15899999999999</v>
      </c>
      <c r="K642" s="9">
        <v>0.75129999999999997</v>
      </c>
      <c r="L642" s="9">
        <v>11</v>
      </c>
      <c r="M642" s="14">
        <v>209.07693331558633</v>
      </c>
      <c r="N642" s="9">
        <v>310</v>
      </c>
      <c r="O642" s="12" t="s">
        <v>291</v>
      </c>
      <c r="P642" s="8" t="s">
        <v>70</v>
      </c>
      <c r="Q642" s="9" t="s">
        <v>292</v>
      </c>
      <c r="R642" s="9" t="s">
        <v>84</v>
      </c>
      <c r="S642" s="9"/>
      <c r="T642" s="18">
        <v>1</v>
      </c>
      <c r="U642" s="18">
        <v>1</v>
      </c>
      <c r="V642" s="9">
        <v>25.9</v>
      </c>
      <c r="Y642" s="9">
        <f t="shared" si="9"/>
        <v>209.07693331558633</v>
      </c>
      <c r="Z642" s="19" t="s">
        <v>73</v>
      </c>
      <c r="AA642" s="8" t="s">
        <v>290</v>
      </c>
      <c r="AB642" s="8" t="s">
        <v>75</v>
      </c>
      <c r="AC642" s="11" t="s">
        <v>281</v>
      </c>
      <c r="AD642" s="9" t="s">
        <v>293</v>
      </c>
      <c r="AE642" s="14">
        <v>178.90347220580148</v>
      </c>
      <c r="AF642" s="13"/>
      <c r="AO642" s="34" t="s">
        <v>78</v>
      </c>
      <c r="AP642" s="31">
        <v>25.9</v>
      </c>
      <c r="AQ642" s="31">
        <v>25.9</v>
      </c>
    </row>
    <row r="643" spans="1:67" x14ac:dyDescent="0.2">
      <c r="A643" s="5"/>
      <c r="B643" s="25"/>
      <c r="C643" s="26"/>
      <c r="D643" s="5"/>
      <c r="E643" s="5"/>
      <c r="F643" s="32"/>
      <c r="G643" s="9"/>
      <c r="H643" s="6"/>
      <c r="I643" s="7"/>
      <c r="J643" s="9"/>
      <c r="N643" s="9"/>
      <c r="O643" s="12"/>
      <c r="S643" s="9"/>
      <c r="T643" s="18"/>
      <c r="U643" s="18"/>
      <c r="Y643" s="9" t="e">
        <f t="shared" ref="Y643:Y706" si="10">(T643*J643)/(G643*I643*L643)</f>
        <v>#DIV/0!</v>
      </c>
      <c r="Z643" s="19"/>
      <c r="AC643" s="11"/>
      <c r="AD643" s="9"/>
      <c r="AE643" s="14"/>
      <c r="AF643" s="13"/>
      <c r="AO643" s="34" t="s">
        <v>79</v>
      </c>
      <c r="AP643" s="31">
        <v>5.6</v>
      </c>
      <c r="AQ643" s="31">
        <v>5.6</v>
      </c>
    </row>
    <row r="644" spans="1:67" x14ac:dyDescent="0.2">
      <c r="A644" s="5"/>
      <c r="B644" s="25"/>
      <c r="C644" s="26"/>
      <c r="D644" s="5"/>
      <c r="E644" s="5"/>
      <c r="F644" s="32"/>
      <c r="G644" s="9"/>
      <c r="H644" s="6"/>
      <c r="I644" s="7"/>
      <c r="J644" s="9"/>
      <c r="N644" s="9"/>
      <c r="O644" s="12"/>
      <c r="S644" s="9"/>
      <c r="T644" s="18"/>
      <c r="U644" s="18"/>
      <c r="Y644" s="9" t="e">
        <f t="shared" si="10"/>
        <v>#DIV/0!</v>
      </c>
      <c r="Z644" s="19"/>
      <c r="AC644" s="11"/>
      <c r="AD644" s="9"/>
      <c r="AE644" s="14"/>
      <c r="AF644" s="13"/>
      <c r="AO644" s="34" t="s">
        <v>80</v>
      </c>
      <c r="AP644" s="31">
        <v>3.7</v>
      </c>
      <c r="AQ644" s="31">
        <v>3.7</v>
      </c>
    </row>
    <row r="645" spans="1:67" x14ac:dyDescent="0.2">
      <c r="A645" s="5" t="s">
        <v>67</v>
      </c>
      <c r="B645" s="25">
        <v>43290</v>
      </c>
      <c r="C645" s="26">
        <v>0.73611111111111105</v>
      </c>
      <c r="D645" s="5" t="s">
        <v>200</v>
      </c>
      <c r="E645" s="5">
        <v>3</v>
      </c>
      <c r="F645" s="32">
        <v>64</v>
      </c>
      <c r="G645" s="9">
        <v>2</v>
      </c>
      <c r="H645" s="6">
        <v>3.125E-2</v>
      </c>
      <c r="I645" s="7">
        <v>6.83E-2</v>
      </c>
      <c r="J645" s="9">
        <v>314.15899999999999</v>
      </c>
      <c r="K645" s="9">
        <v>0.75129999999999997</v>
      </c>
      <c r="L645" s="9">
        <v>11</v>
      </c>
      <c r="M645" s="14">
        <v>209.07693331558633</v>
      </c>
      <c r="N645" s="9">
        <v>749</v>
      </c>
      <c r="O645" s="12" t="s">
        <v>190</v>
      </c>
      <c r="P645" s="8" t="s">
        <v>70</v>
      </c>
      <c r="Q645" s="9" t="s">
        <v>191</v>
      </c>
      <c r="R645" s="9" t="s">
        <v>84</v>
      </c>
      <c r="S645" s="9"/>
      <c r="T645" s="18">
        <v>1</v>
      </c>
      <c r="U645" s="18">
        <v>1</v>
      </c>
      <c r="V645" s="9">
        <v>13</v>
      </c>
      <c r="Y645" s="9">
        <f t="shared" si="10"/>
        <v>209.07693331558633</v>
      </c>
      <c r="Z645" s="19" t="s">
        <v>73</v>
      </c>
      <c r="AA645" s="8" t="s">
        <v>290</v>
      </c>
      <c r="AB645" s="8" t="s">
        <v>75</v>
      </c>
      <c r="AC645" s="11" t="s">
        <v>281</v>
      </c>
      <c r="AD645" s="9" t="s">
        <v>193</v>
      </c>
      <c r="AE645" s="14">
        <v>88.985000000000014</v>
      </c>
      <c r="AF645" s="13"/>
      <c r="AO645" s="34" t="s">
        <v>78</v>
      </c>
      <c r="AP645" s="31">
        <v>13</v>
      </c>
      <c r="AQ645" s="31">
        <v>13</v>
      </c>
    </row>
    <row r="646" spans="1:67" x14ac:dyDescent="0.2">
      <c r="A646" s="5"/>
      <c r="B646" s="25"/>
      <c r="C646" s="26"/>
      <c r="D646" s="5"/>
      <c r="E646" s="5"/>
      <c r="F646" s="32"/>
      <c r="G646" s="9"/>
      <c r="H646" s="6"/>
      <c r="I646" s="7"/>
      <c r="J646" s="9"/>
      <c r="N646" s="9"/>
      <c r="O646" s="12"/>
      <c r="S646" s="9"/>
      <c r="T646" s="18"/>
      <c r="U646" s="18"/>
      <c r="Y646" s="9" t="e">
        <f t="shared" si="10"/>
        <v>#DIV/0!</v>
      </c>
      <c r="Z646" s="19"/>
      <c r="AC646" s="11"/>
      <c r="AD646" s="9"/>
      <c r="AE646" s="14"/>
      <c r="AF646" s="13"/>
      <c r="AO646" s="34" t="s">
        <v>79</v>
      </c>
      <c r="AP646" s="31">
        <v>3.7</v>
      </c>
      <c r="AQ646" s="31">
        <v>3.7</v>
      </c>
    </row>
    <row r="647" spans="1:67" x14ac:dyDescent="0.2">
      <c r="A647" s="5"/>
      <c r="B647" s="25"/>
      <c r="C647" s="26"/>
      <c r="D647" s="5"/>
      <c r="E647" s="5"/>
      <c r="F647" s="32"/>
      <c r="G647" s="9"/>
      <c r="H647" s="6"/>
      <c r="I647" s="7"/>
      <c r="J647" s="9"/>
      <c r="N647" s="9"/>
      <c r="O647" s="12"/>
      <c r="S647" s="9"/>
      <c r="T647" s="18"/>
      <c r="U647" s="18"/>
      <c r="Y647" s="9" t="e">
        <f t="shared" si="10"/>
        <v>#DIV/0!</v>
      </c>
      <c r="Z647" s="19"/>
      <c r="AC647" s="11"/>
      <c r="AD647" s="9"/>
      <c r="AE647" s="14"/>
      <c r="AF647" s="13"/>
      <c r="AO647" s="34" t="s">
        <v>80</v>
      </c>
      <c r="AP647" s="31">
        <v>3.7</v>
      </c>
      <c r="AQ647" s="31">
        <v>3.7</v>
      </c>
    </row>
    <row r="648" spans="1:67" x14ac:dyDescent="0.2">
      <c r="A648" s="5" t="s">
        <v>67</v>
      </c>
      <c r="B648" s="25">
        <v>43290</v>
      </c>
      <c r="C648" s="26">
        <v>0.73611111111111105</v>
      </c>
      <c r="D648" s="5" t="s">
        <v>200</v>
      </c>
      <c r="E648" s="5">
        <v>3</v>
      </c>
      <c r="F648" s="32">
        <v>64</v>
      </c>
      <c r="G648" s="9">
        <v>2</v>
      </c>
      <c r="H648" s="6">
        <v>3.125E-2</v>
      </c>
      <c r="I648" s="7">
        <v>6.83E-2</v>
      </c>
      <c r="J648" s="9">
        <v>314.15899999999999</v>
      </c>
      <c r="K648" s="9">
        <v>0.75129999999999997</v>
      </c>
      <c r="L648" s="9">
        <v>11</v>
      </c>
      <c r="M648" s="14">
        <v>209.07693331558633</v>
      </c>
      <c r="N648" s="9">
        <v>1037</v>
      </c>
      <c r="O648" s="12" t="s">
        <v>86</v>
      </c>
      <c r="P648" s="12" t="s">
        <v>82</v>
      </c>
      <c r="Q648" s="9" t="s">
        <v>87</v>
      </c>
      <c r="R648" s="9" t="s">
        <v>84</v>
      </c>
      <c r="S648" s="9"/>
      <c r="T648" s="18">
        <v>40</v>
      </c>
      <c r="U648" s="18">
        <v>40</v>
      </c>
      <c r="V648" s="9">
        <v>3.7</v>
      </c>
      <c r="Y648" s="9">
        <f t="shared" si="10"/>
        <v>8363.0773326234539</v>
      </c>
      <c r="Z648" s="19" t="s">
        <v>73</v>
      </c>
      <c r="AA648" s="8" t="s">
        <v>290</v>
      </c>
      <c r="AB648" s="8" t="s">
        <v>75</v>
      </c>
      <c r="AC648" s="11" t="s">
        <v>281</v>
      </c>
      <c r="AD648" s="9" t="s">
        <v>85</v>
      </c>
      <c r="AE648" s="14">
        <v>14.137154999999998</v>
      </c>
      <c r="AF648" s="13"/>
      <c r="AO648" s="34" t="s">
        <v>78</v>
      </c>
      <c r="AP648" s="31">
        <v>2.9800000000000004</v>
      </c>
      <c r="AQ648" s="31">
        <v>3.7</v>
      </c>
      <c r="AR648" s="31">
        <v>2.8</v>
      </c>
      <c r="AS648" s="31">
        <v>2.8</v>
      </c>
      <c r="AT648" s="31">
        <v>2.8</v>
      </c>
      <c r="AU648" s="31">
        <v>2.8</v>
      </c>
    </row>
    <row r="649" spans="1:67" x14ac:dyDescent="0.2">
      <c r="A649" s="5" t="s">
        <v>67</v>
      </c>
      <c r="B649" s="25">
        <v>43290</v>
      </c>
      <c r="C649" s="26">
        <v>0.73611111111111105</v>
      </c>
      <c r="D649" s="5" t="s">
        <v>200</v>
      </c>
      <c r="E649" s="5">
        <v>3</v>
      </c>
      <c r="F649" s="32">
        <v>64</v>
      </c>
      <c r="G649" s="9">
        <v>2</v>
      </c>
      <c r="H649" s="6">
        <v>3.125E-2</v>
      </c>
      <c r="I649" s="7">
        <v>6.83E-2</v>
      </c>
      <c r="J649" s="9">
        <v>314.15899999999999</v>
      </c>
      <c r="K649" s="9">
        <v>0.75129999999999997</v>
      </c>
      <c r="L649" s="9">
        <v>11</v>
      </c>
      <c r="M649" s="14">
        <v>209.07693331558633</v>
      </c>
      <c r="N649" s="9">
        <v>1806</v>
      </c>
      <c r="O649" s="12" t="s">
        <v>206</v>
      </c>
      <c r="P649" s="12" t="s">
        <v>82</v>
      </c>
      <c r="Q649" s="9" t="s">
        <v>207</v>
      </c>
      <c r="R649" s="9" t="s">
        <v>84</v>
      </c>
      <c r="S649" s="9"/>
      <c r="T649" s="18">
        <v>4</v>
      </c>
      <c r="U649" s="18">
        <v>4</v>
      </c>
      <c r="V649" s="9">
        <v>3.7</v>
      </c>
      <c r="Y649" s="9">
        <f t="shared" si="10"/>
        <v>836.30773326234532</v>
      </c>
      <c r="Z649" s="19" t="s">
        <v>73</v>
      </c>
      <c r="AA649" s="8" t="s">
        <v>290</v>
      </c>
      <c r="AB649" s="8" t="s">
        <v>75</v>
      </c>
      <c r="AC649" s="11" t="s">
        <v>281</v>
      </c>
      <c r="AD649" s="9" t="s">
        <v>120</v>
      </c>
      <c r="AE649" s="14">
        <v>21.097347644999996</v>
      </c>
      <c r="AF649" s="13"/>
      <c r="AO649" s="34" t="s">
        <v>78</v>
      </c>
      <c r="AP649" s="31">
        <v>3.7</v>
      </c>
      <c r="AQ649" s="31">
        <v>3.7</v>
      </c>
      <c r="AR649" s="31">
        <v>3.7</v>
      </c>
      <c r="AS649" s="31">
        <v>3.7</v>
      </c>
      <c r="AT649" s="31">
        <v>3.7</v>
      </c>
    </row>
    <row r="650" spans="1:67" x14ac:dyDescent="0.2">
      <c r="A650" s="5"/>
      <c r="B650" s="25"/>
      <c r="C650" s="26"/>
      <c r="D650" s="5"/>
      <c r="E650" s="5"/>
      <c r="F650" s="32"/>
      <c r="G650" s="9"/>
      <c r="H650" s="6"/>
      <c r="I650" s="7"/>
      <c r="J650" s="9"/>
      <c r="N650" s="9"/>
      <c r="O650" s="12"/>
      <c r="P650" s="12"/>
      <c r="S650" s="9"/>
      <c r="T650" s="18"/>
      <c r="U650" s="18"/>
      <c r="Y650" s="9" t="e">
        <f t="shared" si="10"/>
        <v>#DIV/0!</v>
      </c>
      <c r="Z650" s="19"/>
      <c r="AC650" s="11"/>
      <c r="AD650" s="9"/>
      <c r="AE650" s="14"/>
      <c r="AF650" s="13"/>
      <c r="AO650" s="34" t="s">
        <v>79</v>
      </c>
      <c r="AP650" s="31">
        <v>3.25</v>
      </c>
      <c r="AQ650" s="31">
        <v>2.8</v>
      </c>
      <c r="AR650" s="31">
        <v>3.7</v>
      </c>
      <c r="AS650" s="31">
        <v>2.8</v>
      </c>
      <c r="AT650" s="31">
        <v>3.7</v>
      </c>
    </row>
    <row r="651" spans="1:67" x14ac:dyDescent="0.2">
      <c r="A651" s="5" t="s">
        <v>67</v>
      </c>
      <c r="B651" s="25">
        <v>43290</v>
      </c>
      <c r="C651" s="26">
        <v>0.73611111111111105</v>
      </c>
      <c r="D651" s="5" t="s">
        <v>200</v>
      </c>
      <c r="E651" s="5">
        <v>3</v>
      </c>
      <c r="F651" s="32">
        <v>64</v>
      </c>
      <c r="G651" s="9">
        <v>2</v>
      </c>
      <c r="H651" s="6">
        <v>3.125E-2</v>
      </c>
      <c r="I651" s="7">
        <v>6.83E-2</v>
      </c>
      <c r="J651" s="9">
        <v>314.15899999999999</v>
      </c>
      <c r="K651" s="9">
        <v>0.75129999999999997</v>
      </c>
      <c r="L651" s="9">
        <v>11</v>
      </c>
      <c r="M651" s="14">
        <v>209.07693331558633</v>
      </c>
      <c r="N651" s="9">
        <v>1352</v>
      </c>
      <c r="O651" s="12" t="s">
        <v>118</v>
      </c>
      <c r="P651" s="12" t="s">
        <v>82</v>
      </c>
      <c r="Q651" s="9" t="s">
        <v>119</v>
      </c>
      <c r="R651" s="9" t="s">
        <v>84</v>
      </c>
      <c r="S651" s="9"/>
      <c r="T651" s="18">
        <v>3</v>
      </c>
      <c r="U651" s="18">
        <v>3</v>
      </c>
      <c r="V651" s="9">
        <v>16.7</v>
      </c>
      <c r="Y651" s="9">
        <f t="shared" si="10"/>
        <v>627.23079994675891</v>
      </c>
      <c r="Z651" s="19" t="s">
        <v>73</v>
      </c>
      <c r="AA651" s="8" t="s">
        <v>290</v>
      </c>
      <c r="AB651" s="8" t="s">
        <v>75</v>
      </c>
      <c r="AC651" s="11" t="s">
        <v>281</v>
      </c>
      <c r="AD651" s="9" t="s">
        <v>120</v>
      </c>
      <c r="AE651" s="14">
        <v>614.28294667499995</v>
      </c>
      <c r="AF651" s="13"/>
      <c r="AO651" s="34" t="s">
        <v>78</v>
      </c>
      <c r="AP651" s="31">
        <v>15.466666666666667</v>
      </c>
      <c r="AQ651" s="31">
        <v>13</v>
      </c>
      <c r="AR651" s="31">
        <v>16.7</v>
      </c>
      <c r="AS651" s="31">
        <v>16.7</v>
      </c>
    </row>
    <row r="652" spans="1:67" x14ac:dyDescent="0.2">
      <c r="A652" s="5"/>
      <c r="B652" s="25"/>
      <c r="C652" s="26"/>
      <c r="D652" s="5"/>
      <c r="E652" s="5"/>
      <c r="F652" s="32"/>
      <c r="G652" s="9"/>
      <c r="H652" s="6"/>
      <c r="I652" s="7"/>
      <c r="J652" s="9"/>
      <c r="N652" s="9"/>
      <c r="O652" s="12"/>
      <c r="P652" s="12"/>
      <c r="S652" s="9"/>
      <c r="T652" s="18"/>
      <c r="U652" s="18"/>
      <c r="Y652" s="9" t="e">
        <f t="shared" si="10"/>
        <v>#DIV/0!</v>
      </c>
      <c r="Z652" s="19"/>
      <c r="AC652" s="11"/>
      <c r="AD652" s="9"/>
      <c r="AE652" s="14"/>
      <c r="AF652" s="13"/>
      <c r="AO652" s="34" t="s">
        <v>79</v>
      </c>
      <c r="AP652" s="31">
        <v>8.6666666666666679</v>
      </c>
      <c r="AQ652" s="31">
        <v>7.4</v>
      </c>
      <c r="AR652" s="31">
        <v>9.3000000000000007</v>
      </c>
      <c r="AS652" s="31">
        <v>9.3000000000000007</v>
      </c>
    </row>
    <row r="653" spans="1:67" x14ac:dyDescent="0.2">
      <c r="A653" s="5" t="s">
        <v>67</v>
      </c>
      <c r="B653" s="25">
        <v>43290</v>
      </c>
      <c r="C653" s="26">
        <v>0.73611111111111105</v>
      </c>
      <c r="D653" s="5" t="s">
        <v>200</v>
      </c>
      <c r="E653" s="5">
        <v>3</v>
      </c>
      <c r="F653" s="32">
        <v>64</v>
      </c>
      <c r="G653" s="9">
        <v>2</v>
      </c>
      <c r="H653" s="6">
        <v>3.125E-2</v>
      </c>
      <c r="I653" s="7">
        <v>6.83E-2</v>
      </c>
      <c r="J653" s="9">
        <v>314.15899999999999</v>
      </c>
      <c r="K653" s="9">
        <v>0.75129999999999997</v>
      </c>
      <c r="L653" s="9">
        <v>11</v>
      </c>
      <c r="M653" s="14">
        <v>209.07693331558633</v>
      </c>
      <c r="N653" s="9">
        <v>1364</v>
      </c>
      <c r="O653" s="12" t="s">
        <v>88</v>
      </c>
      <c r="P653" s="12" t="s">
        <v>82</v>
      </c>
      <c r="Q653" s="9" t="s">
        <v>89</v>
      </c>
      <c r="R653" s="9" t="s">
        <v>90</v>
      </c>
      <c r="S653" s="9"/>
      <c r="T653" s="18">
        <v>1</v>
      </c>
      <c r="U653" s="18">
        <v>1</v>
      </c>
      <c r="V653" s="9">
        <v>11.1</v>
      </c>
      <c r="Y653" s="9">
        <f t="shared" si="10"/>
        <v>209.07693331558633</v>
      </c>
      <c r="Z653" s="19" t="s">
        <v>73</v>
      </c>
      <c r="AA653" s="8" t="s">
        <v>290</v>
      </c>
      <c r="AB653" s="8" t="s">
        <v>75</v>
      </c>
      <c r="AC653" s="11" t="s">
        <v>281</v>
      </c>
      <c r="AD653" s="9" t="s">
        <v>91</v>
      </c>
      <c r="AE653" s="14">
        <v>538.67979792749986</v>
      </c>
      <c r="AF653" s="13"/>
      <c r="AO653" s="34" t="s">
        <v>78</v>
      </c>
      <c r="AP653" s="31">
        <v>11.1</v>
      </c>
      <c r="AQ653" s="31">
        <v>11.1</v>
      </c>
    </row>
    <row r="654" spans="1:67" x14ac:dyDescent="0.2">
      <c r="A654" s="5"/>
      <c r="B654" s="25"/>
      <c r="C654" s="26"/>
      <c r="D654" s="5"/>
      <c r="E654" s="5"/>
      <c r="F654" s="32"/>
      <c r="G654" s="9"/>
      <c r="H654" s="6"/>
      <c r="I654" s="7"/>
      <c r="J654" s="9"/>
      <c r="N654" s="9"/>
      <c r="O654" s="12"/>
      <c r="P654" s="12"/>
      <c r="S654" s="9"/>
      <c r="T654" s="18"/>
      <c r="U654" s="18"/>
      <c r="Y654" s="9" t="e">
        <f t="shared" si="10"/>
        <v>#DIV/0!</v>
      </c>
      <c r="Z654" s="19"/>
      <c r="AC654" s="11"/>
      <c r="AD654" s="9"/>
      <c r="AE654" s="14"/>
      <c r="AF654" s="13"/>
      <c r="AO654" s="34" t="s">
        <v>79</v>
      </c>
      <c r="AP654" s="31">
        <v>5.6</v>
      </c>
      <c r="AQ654" s="31">
        <v>5.6</v>
      </c>
    </row>
    <row r="655" spans="1:67" x14ac:dyDescent="0.2">
      <c r="A655" s="5" t="s">
        <v>67</v>
      </c>
      <c r="B655" s="25">
        <v>43290</v>
      </c>
      <c r="C655" s="26">
        <v>0.73611111111111105</v>
      </c>
      <c r="D655" s="5" t="s">
        <v>200</v>
      </c>
      <c r="E655" s="5">
        <v>3</v>
      </c>
      <c r="F655" s="32">
        <v>64</v>
      </c>
      <c r="G655" s="9">
        <v>2</v>
      </c>
      <c r="H655" s="6">
        <v>3.125E-2</v>
      </c>
      <c r="I655" s="7">
        <v>6.83E-2</v>
      </c>
      <c r="J655" s="9">
        <v>314.15899999999999</v>
      </c>
      <c r="K655" s="9">
        <v>0.75129999999999997</v>
      </c>
      <c r="L655" s="9">
        <v>11</v>
      </c>
      <c r="M655" s="14">
        <v>209.07693331558633</v>
      </c>
      <c r="N655" s="9">
        <v>1419</v>
      </c>
      <c r="O655" s="12" t="s">
        <v>94</v>
      </c>
      <c r="P655" s="12" t="s">
        <v>82</v>
      </c>
      <c r="Q655" s="9" t="s">
        <v>95</v>
      </c>
      <c r="R655" s="9" t="s">
        <v>96</v>
      </c>
      <c r="S655" s="9"/>
      <c r="T655" s="18">
        <v>347</v>
      </c>
      <c r="U655" s="18">
        <v>704</v>
      </c>
      <c r="V655" s="9">
        <v>0.8</v>
      </c>
      <c r="W655" s="9">
        <v>0.8</v>
      </c>
      <c r="X655" s="9">
        <v>0.8</v>
      </c>
      <c r="Y655" s="9">
        <f t="shared" si="10"/>
        <v>72549.695860508451</v>
      </c>
      <c r="Z655" s="19" t="s">
        <v>97</v>
      </c>
      <c r="AA655" s="8" t="s">
        <v>290</v>
      </c>
      <c r="AB655" s="8" t="s">
        <v>75</v>
      </c>
      <c r="AC655" s="11" t="s">
        <v>281</v>
      </c>
      <c r="AD655" s="9" t="s">
        <v>85</v>
      </c>
      <c r="AE655" s="14">
        <v>0.18</v>
      </c>
      <c r="AF655" s="14">
        <v>0.18</v>
      </c>
      <c r="AG655" s="14">
        <v>0.18</v>
      </c>
      <c r="AH655" s="14">
        <v>0.18</v>
      </c>
      <c r="AI655" s="14">
        <v>0.18</v>
      </c>
      <c r="AJ655" s="14">
        <v>0.18</v>
      </c>
      <c r="AK655" s="14">
        <v>0.18</v>
      </c>
      <c r="AL655" s="14">
        <v>0.18</v>
      </c>
      <c r="AM655" s="14">
        <v>0.18</v>
      </c>
      <c r="AN655" s="14">
        <v>0.18</v>
      </c>
      <c r="AO655" s="35" t="s">
        <v>78</v>
      </c>
      <c r="AP655" s="31">
        <v>0.75200000000000033</v>
      </c>
      <c r="AQ655" s="31">
        <v>0.7</v>
      </c>
      <c r="AR655" s="31">
        <v>0.7</v>
      </c>
      <c r="AS655" s="31">
        <v>0.7</v>
      </c>
      <c r="AT655" s="31">
        <v>0.7</v>
      </c>
      <c r="AU655" s="31">
        <v>0.7</v>
      </c>
      <c r="AV655" s="31">
        <v>0.7</v>
      </c>
      <c r="AW655" s="31">
        <v>0.7</v>
      </c>
      <c r="AX655" s="31">
        <v>0.7</v>
      </c>
      <c r="AY655" s="31">
        <v>0.7</v>
      </c>
      <c r="AZ655" s="31">
        <v>0.7</v>
      </c>
      <c r="BA655" s="31">
        <v>0.7</v>
      </c>
      <c r="BB655" s="31">
        <v>0.7</v>
      </c>
      <c r="BC655" s="31">
        <v>0.8</v>
      </c>
      <c r="BD655" s="31">
        <v>0.8</v>
      </c>
      <c r="BE655" s="31">
        <v>0.8</v>
      </c>
      <c r="BF655" s="31">
        <v>0.8</v>
      </c>
      <c r="BG655" s="31">
        <v>0.8</v>
      </c>
      <c r="BH655" s="31">
        <v>0.8</v>
      </c>
      <c r="BI655" s="31">
        <v>0.8</v>
      </c>
      <c r="BJ655" s="31">
        <v>0.8</v>
      </c>
      <c r="BK655" s="31">
        <v>0.8</v>
      </c>
      <c r="BL655" s="31">
        <v>0.8</v>
      </c>
      <c r="BM655" s="31">
        <v>0.8</v>
      </c>
      <c r="BN655" s="31">
        <v>0.8</v>
      </c>
      <c r="BO655" s="31">
        <v>0.8</v>
      </c>
    </row>
    <row r="656" spans="1:67" x14ac:dyDescent="0.2">
      <c r="A656" s="5" t="s">
        <v>67</v>
      </c>
      <c r="B656" s="25">
        <v>43290</v>
      </c>
      <c r="C656" s="26">
        <v>0.73611111111111105</v>
      </c>
      <c r="D656" s="5" t="s">
        <v>200</v>
      </c>
      <c r="E656" s="5">
        <v>3</v>
      </c>
      <c r="F656" s="32">
        <v>64</v>
      </c>
      <c r="G656" s="9">
        <v>2</v>
      </c>
      <c r="H656" s="6">
        <v>3.125E-2</v>
      </c>
      <c r="I656" s="7">
        <v>6.83E-2</v>
      </c>
      <c r="J656" s="9">
        <v>314.15899999999999</v>
      </c>
      <c r="K656" s="9">
        <v>0.75129999999999997</v>
      </c>
      <c r="L656" s="9">
        <v>11</v>
      </c>
      <c r="M656" s="14">
        <v>209.07693331558633</v>
      </c>
      <c r="N656" s="9">
        <v>1420</v>
      </c>
      <c r="O656" s="12" t="s">
        <v>98</v>
      </c>
      <c r="P656" s="12" t="s">
        <v>82</v>
      </c>
      <c r="Q656" s="9" t="s">
        <v>95</v>
      </c>
      <c r="R656" s="9" t="s">
        <v>99</v>
      </c>
      <c r="S656" s="9"/>
      <c r="T656" s="18">
        <v>1</v>
      </c>
      <c r="U656" s="18">
        <v>2</v>
      </c>
      <c r="V656" s="9">
        <v>1.9</v>
      </c>
      <c r="Y656" s="9">
        <f t="shared" si="10"/>
        <v>209.07693331558633</v>
      </c>
      <c r="Z656" s="19" t="s">
        <v>97</v>
      </c>
      <c r="AA656" s="8" t="s">
        <v>290</v>
      </c>
      <c r="AB656" s="8" t="s">
        <v>75</v>
      </c>
      <c r="AC656" s="11" t="s">
        <v>281</v>
      </c>
      <c r="AD656" s="9" t="s">
        <v>85</v>
      </c>
      <c r="AE656" s="14">
        <v>3.5913609683333325</v>
      </c>
      <c r="AF656" s="13"/>
      <c r="AO656" s="34" t="s">
        <v>78</v>
      </c>
      <c r="AP656" s="31">
        <v>1.9</v>
      </c>
      <c r="AQ656" s="31">
        <v>1.9</v>
      </c>
      <c r="AR656" s="31">
        <v>1.9</v>
      </c>
    </row>
    <row r="657" spans="1:67" x14ac:dyDescent="0.2">
      <c r="A657" s="5" t="s">
        <v>67</v>
      </c>
      <c r="B657" s="25">
        <v>43290</v>
      </c>
      <c r="C657" s="26">
        <v>0.73611111111111105</v>
      </c>
      <c r="D657" s="5" t="s">
        <v>200</v>
      </c>
      <c r="E657" s="5">
        <v>3</v>
      </c>
      <c r="F657" s="32">
        <v>64</v>
      </c>
      <c r="G657" s="9">
        <v>2</v>
      </c>
      <c r="H657" s="6">
        <v>3.125E-2</v>
      </c>
      <c r="I657" s="7">
        <v>6.83E-2</v>
      </c>
      <c r="J657" s="9">
        <v>314.15899999999999</v>
      </c>
      <c r="K657" s="9">
        <v>0.75129999999999997</v>
      </c>
      <c r="L657" s="9">
        <v>11</v>
      </c>
      <c r="M657" s="14">
        <v>209.07693331558633</v>
      </c>
      <c r="N657" s="9">
        <v>1421</v>
      </c>
      <c r="O657" s="12" t="s">
        <v>130</v>
      </c>
      <c r="P657" s="12" t="s">
        <v>82</v>
      </c>
      <c r="Q657" s="9" t="s">
        <v>95</v>
      </c>
      <c r="R657" s="9" t="s">
        <v>131</v>
      </c>
      <c r="S657" s="9"/>
      <c r="T657" s="18">
        <v>26</v>
      </c>
      <c r="U657" s="18">
        <v>30</v>
      </c>
      <c r="V657" s="9">
        <v>5.6</v>
      </c>
      <c r="Y657" s="9">
        <f t="shared" si="10"/>
        <v>5436.0002662052448</v>
      </c>
      <c r="Z657" s="19" t="s">
        <v>97</v>
      </c>
      <c r="AA657" s="8" t="s">
        <v>290</v>
      </c>
      <c r="AB657" s="8" t="s">
        <v>75</v>
      </c>
      <c r="AC657" s="11" t="s">
        <v>281</v>
      </c>
      <c r="AD657" s="9" t="s">
        <v>85</v>
      </c>
      <c r="AE657" s="14">
        <v>44.60220042666667</v>
      </c>
      <c r="AF657" s="13"/>
      <c r="AO657" s="34" t="s">
        <v>78</v>
      </c>
      <c r="AP657" s="31">
        <v>4.4399999999999995</v>
      </c>
      <c r="AQ657" s="31">
        <v>3.7</v>
      </c>
      <c r="AR657" s="31">
        <v>4.5999999999999996</v>
      </c>
      <c r="AS657" s="31">
        <v>4.5999999999999996</v>
      </c>
      <c r="AT657" s="31">
        <v>5.6</v>
      </c>
      <c r="AU657" s="31">
        <v>3.7</v>
      </c>
    </row>
    <row r="658" spans="1:67" x14ac:dyDescent="0.2">
      <c r="A658" s="5" t="s">
        <v>67</v>
      </c>
      <c r="B658" s="25">
        <v>43290</v>
      </c>
      <c r="C658" s="26">
        <v>0.73611111111111105</v>
      </c>
      <c r="D658" s="5" t="s">
        <v>200</v>
      </c>
      <c r="E658" s="5">
        <v>3</v>
      </c>
      <c r="F658" s="32">
        <v>64</v>
      </c>
      <c r="G658" s="9">
        <v>2</v>
      </c>
      <c r="H658" s="6">
        <v>3.125E-2</v>
      </c>
      <c r="I658" s="7">
        <v>6.83E-2</v>
      </c>
      <c r="J658" s="9">
        <v>314.15899999999999</v>
      </c>
      <c r="K658" s="9">
        <v>0.75129999999999997</v>
      </c>
      <c r="L658" s="9">
        <v>11</v>
      </c>
      <c r="M658" s="14">
        <v>209.07693331558633</v>
      </c>
      <c r="N658" s="9">
        <v>1526</v>
      </c>
      <c r="O658" s="8" t="s">
        <v>294</v>
      </c>
      <c r="P658" s="12" t="s">
        <v>82</v>
      </c>
      <c r="Q658" s="9" t="s">
        <v>157</v>
      </c>
      <c r="R658" s="9" t="s">
        <v>84</v>
      </c>
      <c r="S658" s="9"/>
      <c r="T658" s="18">
        <v>1</v>
      </c>
      <c r="U658" s="18">
        <v>1</v>
      </c>
      <c r="V658" s="9">
        <v>5.6</v>
      </c>
      <c r="Y658" s="9">
        <f t="shared" si="10"/>
        <v>209.07693331558633</v>
      </c>
      <c r="Z658" s="19" t="s">
        <v>73</v>
      </c>
      <c r="AA658" s="8" t="s">
        <v>290</v>
      </c>
      <c r="AB658" s="8" t="s">
        <v>75</v>
      </c>
      <c r="AC658" s="11" t="s">
        <v>281</v>
      </c>
      <c r="AD658" s="9" t="s">
        <v>85</v>
      </c>
      <c r="AE658" s="14">
        <v>91.952244906666635</v>
      </c>
      <c r="AF658" s="13"/>
      <c r="AO658" s="34" t="s">
        <v>78</v>
      </c>
      <c r="AP658" s="31">
        <v>5.6</v>
      </c>
      <c r="AQ658" s="31">
        <v>5.6</v>
      </c>
    </row>
    <row r="659" spans="1:67" s="58" customFormat="1" x14ac:dyDescent="0.2">
      <c r="A659" s="49" t="s">
        <v>67</v>
      </c>
      <c r="B659" s="50">
        <v>43256</v>
      </c>
      <c r="C659" s="51">
        <v>0.51458333333333295</v>
      </c>
      <c r="D659" s="49" t="s">
        <v>245</v>
      </c>
      <c r="E659" s="49"/>
      <c r="F659" s="52">
        <v>62</v>
      </c>
      <c r="G659" s="53">
        <v>2</v>
      </c>
      <c r="H659" s="54">
        <v>3.2258064516129031E-2</v>
      </c>
      <c r="I659" s="55">
        <v>6.83E-2</v>
      </c>
      <c r="J659" s="53">
        <v>314.15899999999999</v>
      </c>
      <c r="K659" s="53">
        <v>0.61470000000000002</v>
      </c>
      <c r="L659" s="53">
        <v>9</v>
      </c>
      <c r="M659" s="56">
        <v>255.53847405238326</v>
      </c>
      <c r="N659" s="53">
        <v>145</v>
      </c>
      <c r="O659" s="57" t="s">
        <v>69</v>
      </c>
      <c r="P659" s="58" t="s">
        <v>70</v>
      </c>
      <c r="Q659" s="53" t="s">
        <v>71</v>
      </c>
      <c r="R659" s="53" t="s">
        <v>72</v>
      </c>
      <c r="S659" s="53"/>
      <c r="T659" s="59">
        <v>1</v>
      </c>
      <c r="U659" s="59">
        <v>1</v>
      </c>
      <c r="V659" s="53">
        <v>17.600000000000001</v>
      </c>
      <c r="W659" s="53"/>
      <c r="X659" s="53"/>
      <c r="Y659" s="9">
        <f t="shared" si="10"/>
        <v>255.53847405238326</v>
      </c>
      <c r="Z659" s="60" t="s">
        <v>73</v>
      </c>
      <c r="AA659" s="58" t="s">
        <v>295</v>
      </c>
      <c r="AB659" s="58" t="s">
        <v>75</v>
      </c>
      <c r="AC659" s="61" t="s">
        <v>221</v>
      </c>
      <c r="AD659" s="53" t="s">
        <v>77</v>
      </c>
      <c r="AE659" s="56">
        <v>567.71044572000005</v>
      </c>
      <c r="AF659" s="62"/>
      <c r="AG659" s="63"/>
      <c r="AH659" s="61"/>
      <c r="AO659" s="64" t="s">
        <v>78</v>
      </c>
      <c r="AP659" s="65">
        <v>17.600000000000001</v>
      </c>
      <c r="AQ659" s="65">
        <v>17.600000000000001</v>
      </c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65"/>
      <c r="BH659" s="65"/>
      <c r="BI659" s="65"/>
      <c r="BJ659" s="65"/>
      <c r="BK659" s="65"/>
      <c r="BL659" s="65"/>
      <c r="BM659" s="65"/>
      <c r="BN659" s="65"/>
      <c r="BO659" s="65"/>
    </row>
    <row r="660" spans="1:67" s="58" customFormat="1" x14ac:dyDescent="0.2">
      <c r="A660" s="49"/>
      <c r="B660" s="50"/>
      <c r="C660" s="51"/>
      <c r="D660" s="49"/>
      <c r="E660" s="49"/>
      <c r="F660" s="52"/>
      <c r="G660" s="53"/>
      <c r="H660" s="54"/>
      <c r="I660" s="55"/>
      <c r="J660" s="53"/>
      <c r="K660" s="53"/>
      <c r="L660" s="53"/>
      <c r="M660" s="56"/>
      <c r="N660" s="53"/>
      <c r="O660" s="57"/>
      <c r="Q660" s="53"/>
      <c r="R660" s="53"/>
      <c r="S660" s="53"/>
      <c r="T660" s="59"/>
      <c r="U660" s="59"/>
      <c r="V660" s="53"/>
      <c r="W660" s="53"/>
      <c r="X660" s="53"/>
      <c r="Y660" s="9" t="e">
        <f t="shared" si="10"/>
        <v>#DIV/0!</v>
      </c>
      <c r="Z660" s="60"/>
      <c r="AC660" s="61"/>
      <c r="AD660" s="53"/>
      <c r="AE660" s="56"/>
      <c r="AF660" s="62"/>
      <c r="AG660" s="63"/>
      <c r="AH660" s="61"/>
      <c r="AO660" s="64" t="s">
        <v>79</v>
      </c>
      <c r="AP660" s="65">
        <v>11.1</v>
      </c>
      <c r="AQ660" s="65">
        <v>11.1</v>
      </c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65"/>
      <c r="BH660" s="65"/>
      <c r="BI660" s="65"/>
      <c r="BJ660" s="65"/>
      <c r="BK660" s="65"/>
      <c r="BL660" s="65"/>
      <c r="BM660" s="65"/>
      <c r="BN660" s="65"/>
      <c r="BO660" s="65"/>
    </row>
    <row r="661" spans="1:67" s="58" customFormat="1" x14ac:dyDescent="0.2">
      <c r="A661" s="49"/>
      <c r="B661" s="50"/>
      <c r="C661" s="51"/>
      <c r="D661" s="49"/>
      <c r="E661" s="49"/>
      <c r="F661" s="52"/>
      <c r="G661" s="53"/>
      <c r="H661" s="54"/>
      <c r="I661" s="55"/>
      <c r="J661" s="53"/>
      <c r="K661" s="53"/>
      <c r="L661" s="53"/>
      <c r="M661" s="56"/>
      <c r="N661" s="53"/>
      <c r="O661" s="57"/>
      <c r="Q661" s="53"/>
      <c r="R661" s="53"/>
      <c r="S661" s="53"/>
      <c r="T661" s="59"/>
      <c r="U661" s="59"/>
      <c r="V661" s="53"/>
      <c r="W661" s="53"/>
      <c r="X661" s="53"/>
      <c r="Y661" s="9" t="e">
        <f t="shared" si="10"/>
        <v>#DIV/0!</v>
      </c>
      <c r="Z661" s="60"/>
      <c r="AC661" s="61"/>
      <c r="AD661" s="53"/>
      <c r="AE661" s="56"/>
      <c r="AF661" s="62"/>
      <c r="AG661" s="63"/>
      <c r="AH661" s="61"/>
      <c r="AO661" s="64" t="s">
        <v>80</v>
      </c>
      <c r="AP661" s="65">
        <v>3.7</v>
      </c>
      <c r="AQ661" s="65">
        <v>3.7</v>
      </c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65"/>
      <c r="BH661" s="65"/>
      <c r="BI661" s="65"/>
      <c r="BJ661" s="65"/>
      <c r="BK661" s="65"/>
      <c r="BL661" s="65"/>
      <c r="BM661" s="65"/>
      <c r="BN661" s="65"/>
      <c r="BO661" s="65"/>
    </row>
    <row r="662" spans="1:67" s="58" customFormat="1" x14ac:dyDescent="0.2">
      <c r="A662" s="49" t="s">
        <v>67</v>
      </c>
      <c r="B662" s="50">
        <v>43256</v>
      </c>
      <c r="C662" s="51">
        <v>0.51458333333333295</v>
      </c>
      <c r="D662" s="49" t="s">
        <v>245</v>
      </c>
      <c r="E662" s="49"/>
      <c r="F662" s="52">
        <v>62</v>
      </c>
      <c r="G662" s="53">
        <v>2</v>
      </c>
      <c r="H662" s="54">
        <v>3.2258064516129031E-2</v>
      </c>
      <c r="I662" s="55">
        <v>6.83E-2</v>
      </c>
      <c r="J662" s="53">
        <v>314.15899999999999</v>
      </c>
      <c r="K662" s="53">
        <v>0.61470000000000002</v>
      </c>
      <c r="L662" s="53">
        <v>9</v>
      </c>
      <c r="M662" s="56">
        <v>255.53847405238326</v>
      </c>
      <c r="N662" s="53">
        <v>190</v>
      </c>
      <c r="O662" s="57" t="s">
        <v>102</v>
      </c>
      <c r="P662" s="58" t="s">
        <v>70</v>
      </c>
      <c r="Q662" s="53" t="s">
        <v>103</v>
      </c>
      <c r="R662" s="53" t="s">
        <v>84</v>
      </c>
      <c r="S662" s="53"/>
      <c r="T662" s="59">
        <v>3</v>
      </c>
      <c r="U662" s="59">
        <v>3</v>
      </c>
      <c r="V662" s="53">
        <v>7.4</v>
      </c>
      <c r="W662" s="53"/>
      <c r="X662" s="53"/>
      <c r="Y662" s="9">
        <f t="shared" si="10"/>
        <v>766.61542215714974</v>
      </c>
      <c r="Z662" s="60" t="s">
        <v>73</v>
      </c>
      <c r="AA662" s="58" t="s">
        <v>295</v>
      </c>
      <c r="AB662" s="58" t="s">
        <v>75</v>
      </c>
      <c r="AC662" s="61" t="s">
        <v>221</v>
      </c>
      <c r="AD662" s="53" t="s">
        <v>104</v>
      </c>
      <c r="AE662" s="56">
        <v>129.81992357000001</v>
      </c>
      <c r="AF662" s="62"/>
      <c r="AG662" s="63"/>
      <c r="AH662" s="61"/>
      <c r="AO662" s="64" t="s">
        <v>78</v>
      </c>
      <c r="AP662" s="65">
        <v>4.333333333333333</v>
      </c>
      <c r="AQ662" s="65">
        <v>3.7</v>
      </c>
      <c r="AR662" s="65">
        <v>3.7</v>
      </c>
      <c r="AS662" s="65">
        <v>5.6</v>
      </c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65"/>
      <c r="BK662" s="65"/>
      <c r="BL662" s="65"/>
      <c r="BM662" s="65"/>
      <c r="BN662" s="65"/>
      <c r="BO662" s="65"/>
    </row>
    <row r="663" spans="1:67" s="58" customFormat="1" x14ac:dyDescent="0.2">
      <c r="A663" s="49"/>
      <c r="B663" s="50"/>
      <c r="C663" s="51"/>
      <c r="D663" s="49"/>
      <c r="E663" s="49"/>
      <c r="F663" s="52"/>
      <c r="G663" s="53"/>
      <c r="H663" s="54"/>
      <c r="I663" s="55"/>
      <c r="J663" s="53"/>
      <c r="K663" s="53"/>
      <c r="L663" s="53"/>
      <c r="M663" s="56"/>
      <c r="N663" s="53"/>
      <c r="O663" s="57"/>
      <c r="Q663" s="53"/>
      <c r="R663" s="53"/>
      <c r="S663" s="53"/>
      <c r="T663" s="59"/>
      <c r="U663" s="59"/>
      <c r="V663" s="53"/>
      <c r="W663" s="53"/>
      <c r="X663" s="53"/>
      <c r="Y663" s="9" t="e">
        <f t="shared" si="10"/>
        <v>#DIV/0!</v>
      </c>
      <c r="Z663" s="60"/>
      <c r="AC663" s="61"/>
      <c r="AD663" s="53"/>
      <c r="AE663" s="56"/>
      <c r="AF663" s="62"/>
      <c r="AG663" s="63"/>
      <c r="AH663" s="61"/>
      <c r="AO663" s="64" t="s">
        <v>79</v>
      </c>
      <c r="AP663" s="65">
        <v>6.2</v>
      </c>
      <c r="AQ663" s="65">
        <v>5.6</v>
      </c>
      <c r="AR663" s="65">
        <v>5.6</v>
      </c>
      <c r="AS663" s="65">
        <v>7.4</v>
      </c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65"/>
      <c r="BH663" s="65"/>
      <c r="BI663" s="65"/>
      <c r="BJ663" s="65"/>
      <c r="BK663" s="65"/>
      <c r="BL663" s="65"/>
      <c r="BM663" s="65"/>
      <c r="BN663" s="65"/>
      <c r="BO663" s="65"/>
    </row>
    <row r="664" spans="1:67" s="58" customFormat="1" x14ac:dyDescent="0.2">
      <c r="A664" s="49" t="s">
        <v>67</v>
      </c>
      <c r="B664" s="50">
        <v>43256</v>
      </c>
      <c r="C664" s="51">
        <v>0.51458333333333295</v>
      </c>
      <c r="D664" s="49" t="s">
        <v>245</v>
      </c>
      <c r="E664" s="49"/>
      <c r="F664" s="52">
        <v>62</v>
      </c>
      <c r="G664" s="53">
        <v>2</v>
      </c>
      <c r="H664" s="54">
        <v>3.2258064516129031E-2</v>
      </c>
      <c r="I664" s="55">
        <v>6.83E-2</v>
      </c>
      <c r="J664" s="53">
        <v>314.15899999999999</v>
      </c>
      <c r="K664" s="53">
        <v>0.61470000000000002</v>
      </c>
      <c r="L664" s="53">
        <v>9</v>
      </c>
      <c r="M664" s="56">
        <v>255.53847405238326</v>
      </c>
      <c r="N664" s="53">
        <v>1031</v>
      </c>
      <c r="O664" s="57" t="s">
        <v>81</v>
      </c>
      <c r="P664" s="57" t="s">
        <v>82</v>
      </c>
      <c r="Q664" s="53" t="s">
        <v>83</v>
      </c>
      <c r="R664" s="53" t="s">
        <v>84</v>
      </c>
      <c r="S664" s="53"/>
      <c r="T664" s="59">
        <v>3</v>
      </c>
      <c r="U664" s="59">
        <v>3</v>
      </c>
      <c r="V664" s="53">
        <v>7.4</v>
      </c>
      <c r="W664" s="53"/>
      <c r="X664" s="53"/>
      <c r="Y664" s="9">
        <f t="shared" si="10"/>
        <v>766.61542215714974</v>
      </c>
      <c r="Z664" s="60" t="s">
        <v>73</v>
      </c>
      <c r="AA664" s="58" t="s">
        <v>295</v>
      </c>
      <c r="AB664" s="58" t="s">
        <v>75</v>
      </c>
      <c r="AC664" s="61" t="s">
        <v>221</v>
      </c>
      <c r="AD664" s="53" t="s">
        <v>85</v>
      </c>
      <c r="AE664" s="56">
        <v>64.910485383333324</v>
      </c>
      <c r="AF664" s="62"/>
      <c r="AG664" s="63"/>
      <c r="AH664" s="61"/>
      <c r="AO664" s="64" t="s">
        <v>78</v>
      </c>
      <c r="AP664" s="65">
        <v>5.5333333333333341</v>
      </c>
      <c r="AQ664" s="65">
        <v>7.4</v>
      </c>
      <c r="AR664" s="65">
        <v>4.5999999999999996</v>
      </c>
      <c r="AS664" s="65">
        <v>4.5999999999999996</v>
      </c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65"/>
      <c r="BK664" s="65"/>
      <c r="BL664" s="65"/>
      <c r="BM664" s="65"/>
      <c r="BN664" s="65"/>
      <c r="BO664" s="65"/>
    </row>
    <row r="665" spans="1:67" s="58" customFormat="1" x14ac:dyDescent="0.2">
      <c r="A665" s="49"/>
      <c r="B665" s="50"/>
      <c r="C665" s="51"/>
      <c r="D665" s="49"/>
      <c r="E665" s="49"/>
      <c r="F665" s="52"/>
      <c r="G665" s="53"/>
      <c r="H665" s="54"/>
      <c r="I665" s="55"/>
      <c r="J665" s="53"/>
      <c r="K665" s="53"/>
      <c r="L665" s="53"/>
      <c r="M665" s="56"/>
      <c r="N665" s="53"/>
      <c r="O665" s="57"/>
      <c r="P665" s="57"/>
      <c r="Q665" s="53"/>
      <c r="R665" s="53"/>
      <c r="S665" s="53"/>
      <c r="T665" s="59"/>
      <c r="U665" s="59"/>
      <c r="V665" s="53"/>
      <c r="W665" s="53"/>
      <c r="X665" s="53"/>
      <c r="Y665" s="9" t="e">
        <f t="shared" si="10"/>
        <v>#DIV/0!</v>
      </c>
      <c r="Z665" s="60"/>
      <c r="AC665" s="61"/>
      <c r="AD665" s="53"/>
      <c r="AE665" s="56"/>
      <c r="AF665" s="62"/>
      <c r="AG665" s="63"/>
      <c r="AH665" s="61"/>
      <c r="AO665" s="64" t="s">
        <v>79</v>
      </c>
      <c r="AP665" s="65">
        <v>4.9333333333333336</v>
      </c>
      <c r="AQ665" s="65">
        <v>6.5</v>
      </c>
      <c r="AR665" s="65">
        <v>4.5999999999999996</v>
      </c>
      <c r="AS665" s="65">
        <v>3.7</v>
      </c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65"/>
      <c r="BH665" s="65"/>
      <c r="BI665" s="65"/>
      <c r="BJ665" s="65"/>
      <c r="BK665" s="65"/>
      <c r="BL665" s="65"/>
      <c r="BM665" s="65"/>
      <c r="BN665" s="65"/>
      <c r="BO665" s="65"/>
    </row>
    <row r="666" spans="1:67" s="58" customFormat="1" x14ac:dyDescent="0.2">
      <c r="A666" s="49"/>
      <c r="B666" s="50"/>
      <c r="C666" s="51"/>
      <c r="D666" s="49"/>
      <c r="E666" s="49"/>
      <c r="F666" s="52"/>
      <c r="G666" s="53"/>
      <c r="H666" s="54"/>
      <c r="I666" s="55"/>
      <c r="J666" s="53"/>
      <c r="K666" s="53"/>
      <c r="L666" s="53"/>
      <c r="M666" s="56"/>
      <c r="N666" s="53"/>
      <c r="O666" s="57"/>
      <c r="P666" s="57"/>
      <c r="Q666" s="53"/>
      <c r="R666" s="53"/>
      <c r="S666" s="53"/>
      <c r="T666" s="59"/>
      <c r="U666" s="59"/>
      <c r="V666" s="53"/>
      <c r="W666" s="53"/>
      <c r="X666" s="53"/>
      <c r="Y666" s="9" t="e">
        <f t="shared" si="10"/>
        <v>#DIV/0!</v>
      </c>
      <c r="Z666" s="60"/>
      <c r="AC666" s="61"/>
      <c r="AD666" s="53"/>
      <c r="AE666" s="56"/>
      <c r="AF666" s="62"/>
      <c r="AG666" s="63"/>
      <c r="AH666" s="61"/>
      <c r="AO666" s="64" t="s">
        <v>80</v>
      </c>
      <c r="AP666" s="65">
        <v>4.6333333333333329</v>
      </c>
      <c r="AQ666" s="65">
        <v>5.6</v>
      </c>
      <c r="AR666" s="65">
        <v>4.5999999999999996</v>
      </c>
      <c r="AS666" s="65">
        <v>3.7</v>
      </c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  <c r="BM666" s="65"/>
      <c r="BN666" s="65"/>
      <c r="BO666" s="65"/>
    </row>
    <row r="667" spans="1:67" s="58" customFormat="1" x14ac:dyDescent="0.2">
      <c r="A667" s="49" t="s">
        <v>67</v>
      </c>
      <c r="B667" s="50">
        <v>43256</v>
      </c>
      <c r="C667" s="51">
        <v>0.51458333333333295</v>
      </c>
      <c r="D667" s="49" t="s">
        <v>245</v>
      </c>
      <c r="E667" s="49"/>
      <c r="F667" s="52">
        <v>62</v>
      </c>
      <c r="G667" s="53">
        <v>2</v>
      </c>
      <c r="H667" s="54">
        <v>3.2258064516129031E-2</v>
      </c>
      <c r="I667" s="55">
        <v>6.83E-2</v>
      </c>
      <c r="J667" s="53">
        <v>314.15899999999999</v>
      </c>
      <c r="K667" s="53">
        <v>0.61470000000000002</v>
      </c>
      <c r="L667" s="53">
        <v>9</v>
      </c>
      <c r="M667" s="56">
        <v>255.53847405238326</v>
      </c>
      <c r="N667" s="53">
        <v>1037</v>
      </c>
      <c r="O667" s="57" t="s">
        <v>86</v>
      </c>
      <c r="P667" s="57" t="s">
        <v>82</v>
      </c>
      <c r="Q667" s="53" t="s">
        <v>87</v>
      </c>
      <c r="R667" s="53" t="s">
        <v>84</v>
      </c>
      <c r="S667" s="53"/>
      <c r="T667" s="59">
        <v>28</v>
      </c>
      <c r="U667" s="59">
        <v>28</v>
      </c>
      <c r="V667" s="53">
        <v>3.7</v>
      </c>
      <c r="W667" s="53"/>
      <c r="X667" s="53"/>
      <c r="Y667" s="9">
        <f t="shared" si="10"/>
        <v>7155.0772734667307</v>
      </c>
      <c r="Z667" s="60" t="s">
        <v>73</v>
      </c>
      <c r="AA667" s="58" t="s">
        <v>295</v>
      </c>
      <c r="AB667" s="58" t="s">
        <v>75</v>
      </c>
      <c r="AC667" s="61" t="s">
        <v>221</v>
      </c>
      <c r="AD667" s="53" t="s">
        <v>85</v>
      </c>
      <c r="AE667" s="56">
        <v>11.494030613333329</v>
      </c>
      <c r="AF667" s="62"/>
      <c r="AG667" s="63"/>
      <c r="AH667" s="61"/>
      <c r="AO667" s="64" t="s">
        <v>78</v>
      </c>
      <c r="AP667" s="65">
        <v>2.8</v>
      </c>
      <c r="AQ667" s="65">
        <v>2.8</v>
      </c>
      <c r="AR667" s="65">
        <v>2.8</v>
      </c>
      <c r="AS667" s="65">
        <v>2.8</v>
      </c>
      <c r="AT667" s="65">
        <v>3.7</v>
      </c>
      <c r="AU667" s="65">
        <v>1.9</v>
      </c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65"/>
      <c r="BK667" s="65"/>
      <c r="BL667" s="65"/>
      <c r="BM667" s="65"/>
      <c r="BN667" s="65"/>
      <c r="BO667" s="65"/>
    </row>
    <row r="668" spans="1:67" s="58" customFormat="1" x14ac:dyDescent="0.2">
      <c r="A668" s="49" t="s">
        <v>67</v>
      </c>
      <c r="B668" s="50">
        <v>43256</v>
      </c>
      <c r="C668" s="51">
        <v>0.51458333333333295</v>
      </c>
      <c r="D668" s="49" t="s">
        <v>245</v>
      </c>
      <c r="E668" s="49"/>
      <c r="F668" s="52">
        <v>62</v>
      </c>
      <c r="G668" s="53">
        <v>2</v>
      </c>
      <c r="H668" s="54">
        <v>3.2258064516129031E-2</v>
      </c>
      <c r="I668" s="55">
        <v>6.83E-2</v>
      </c>
      <c r="J668" s="53">
        <v>314.15899999999999</v>
      </c>
      <c r="K668" s="53">
        <v>0.61470000000000002</v>
      </c>
      <c r="L668" s="53">
        <v>9</v>
      </c>
      <c r="M668" s="56">
        <v>255.53847405238326</v>
      </c>
      <c r="N668" s="53">
        <v>1140</v>
      </c>
      <c r="O668" s="57" t="s">
        <v>126</v>
      </c>
      <c r="P668" s="57" t="s">
        <v>82</v>
      </c>
      <c r="Q668" s="53" t="s">
        <v>127</v>
      </c>
      <c r="R668" s="53" t="s">
        <v>128</v>
      </c>
      <c r="S668" s="53"/>
      <c r="T668" s="59">
        <v>5</v>
      </c>
      <c r="U668" s="59">
        <v>5</v>
      </c>
      <c r="V668" s="53">
        <v>18.5</v>
      </c>
      <c r="W668" s="53"/>
      <c r="X668" s="53"/>
      <c r="Y668" s="9">
        <f t="shared" si="10"/>
        <v>1277.6923702619165</v>
      </c>
      <c r="Z668" s="60" t="s">
        <v>73</v>
      </c>
      <c r="AA668" s="58" t="s">
        <v>295</v>
      </c>
      <c r="AB668" s="58" t="s">
        <v>75</v>
      </c>
      <c r="AC668" s="61" t="s">
        <v>221</v>
      </c>
      <c r="AD668" s="53" t="s">
        <v>129</v>
      </c>
      <c r="AE668" s="56">
        <v>25.13952677833333</v>
      </c>
      <c r="AF668" s="62"/>
      <c r="AG668" s="63"/>
      <c r="AH668" s="61"/>
      <c r="AO668" s="64" t="s">
        <v>78</v>
      </c>
      <c r="AP668" s="65">
        <v>13.319999999999999</v>
      </c>
      <c r="AQ668" s="65">
        <v>11.1</v>
      </c>
      <c r="AR668" s="65">
        <v>11.1</v>
      </c>
      <c r="AS668" s="65">
        <v>18.5</v>
      </c>
      <c r="AT668" s="65">
        <v>14.8</v>
      </c>
      <c r="AU668" s="65">
        <v>11.1</v>
      </c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65"/>
      <c r="BK668" s="65"/>
      <c r="BL668" s="65"/>
      <c r="BM668" s="65"/>
      <c r="BN668" s="65"/>
      <c r="BO668" s="65"/>
    </row>
    <row r="669" spans="1:67" s="58" customFormat="1" x14ac:dyDescent="0.2">
      <c r="A669" s="49"/>
      <c r="B669" s="50"/>
      <c r="C669" s="51"/>
      <c r="D669" s="49"/>
      <c r="E669" s="49"/>
      <c r="F669" s="52"/>
      <c r="G669" s="53"/>
      <c r="H669" s="54"/>
      <c r="I669" s="55"/>
      <c r="J669" s="53"/>
      <c r="K669" s="53"/>
      <c r="L669" s="53"/>
      <c r="M669" s="56"/>
      <c r="N669" s="53"/>
      <c r="O669" s="57"/>
      <c r="P669" s="57"/>
      <c r="Q669" s="53"/>
      <c r="R669" s="53"/>
      <c r="S669" s="53"/>
      <c r="T669" s="59"/>
      <c r="U669" s="59"/>
      <c r="V669" s="53"/>
      <c r="W669" s="53"/>
      <c r="X669" s="53"/>
      <c r="Y669" s="9" t="e">
        <f t="shared" si="10"/>
        <v>#DIV/0!</v>
      </c>
      <c r="Z669" s="60"/>
      <c r="AC669" s="61"/>
      <c r="AD669" s="53"/>
      <c r="AE669" s="56"/>
      <c r="AF669" s="62"/>
      <c r="AG669" s="63"/>
      <c r="AH669" s="61"/>
      <c r="AO669" s="64" t="s">
        <v>79</v>
      </c>
      <c r="AP669" s="65">
        <v>1.9</v>
      </c>
      <c r="AQ669" s="65">
        <v>1.9</v>
      </c>
      <c r="AR669" s="65">
        <v>1.9</v>
      </c>
      <c r="AS669" s="65">
        <v>1.9</v>
      </c>
      <c r="AT669" s="65">
        <v>1.9</v>
      </c>
      <c r="AU669" s="65">
        <v>1.9</v>
      </c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65"/>
      <c r="BH669" s="65"/>
      <c r="BI669" s="65"/>
      <c r="BJ669" s="65"/>
      <c r="BK669" s="65"/>
      <c r="BL669" s="65"/>
      <c r="BM669" s="65"/>
      <c r="BN669" s="65"/>
      <c r="BO669" s="65"/>
    </row>
    <row r="670" spans="1:67" s="58" customFormat="1" x14ac:dyDescent="0.2">
      <c r="A670" s="49" t="s">
        <v>67</v>
      </c>
      <c r="B670" s="50">
        <v>43256</v>
      </c>
      <c r="C670" s="51">
        <v>0.51458333333333295</v>
      </c>
      <c r="D670" s="49" t="s">
        <v>245</v>
      </c>
      <c r="E670" s="49"/>
      <c r="F670" s="52">
        <v>62</v>
      </c>
      <c r="G670" s="53">
        <v>2</v>
      </c>
      <c r="H670" s="54">
        <v>3.2258064516129031E-2</v>
      </c>
      <c r="I670" s="55">
        <v>6.83E-2</v>
      </c>
      <c r="J670" s="53">
        <v>314.15899999999999</v>
      </c>
      <c r="K670" s="53">
        <v>0.61470000000000002</v>
      </c>
      <c r="L670" s="53">
        <v>9</v>
      </c>
      <c r="M670" s="56">
        <v>255.53847405238326</v>
      </c>
      <c r="N670" s="53">
        <v>1364</v>
      </c>
      <c r="O670" s="57" t="s">
        <v>88</v>
      </c>
      <c r="P670" s="57" t="s">
        <v>82</v>
      </c>
      <c r="Q670" s="53" t="s">
        <v>89</v>
      </c>
      <c r="R670" s="53" t="s">
        <v>90</v>
      </c>
      <c r="S670" s="53"/>
      <c r="T670" s="59">
        <v>1</v>
      </c>
      <c r="U670" s="59">
        <v>1</v>
      </c>
      <c r="V670" s="53">
        <v>9.3000000000000007</v>
      </c>
      <c r="W670" s="53"/>
      <c r="X670" s="53"/>
      <c r="Y670" s="9">
        <f t="shared" si="10"/>
        <v>255.53847405238326</v>
      </c>
      <c r="Z670" s="60" t="s">
        <v>73</v>
      </c>
      <c r="AA670" s="58" t="s">
        <v>295</v>
      </c>
      <c r="AB670" s="58" t="s">
        <v>75</v>
      </c>
      <c r="AC670" s="61" t="s">
        <v>221</v>
      </c>
      <c r="AD670" s="53" t="s">
        <v>91</v>
      </c>
      <c r="AE670" s="56">
        <v>337.38084788249995</v>
      </c>
      <c r="AF670" s="62"/>
      <c r="AG670" s="63"/>
      <c r="AH670" s="61"/>
      <c r="AO670" s="64" t="s">
        <v>78</v>
      </c>
      <c r="AP670" s="65">
        <v>9.3000000000000007</v>
      </c>
      <c r="AQ670" s="65">
        <v>9.3000000000000007</v>
      </c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  <c r="BJ670" s="65"/>
      <c r="BK670" s="65"/>
      <c r="BL670" s="65"/>
      <c r="BM670" s="65"/>
      <c r="BN670" s="65"/>
      <c r="BO670" s="65"/>
    </row>
    <row r="671" spans="1:67" s="58" customFormat="1" x14ac:dyDescent="0.2">
      <c r="A671" s="49"/>
      <c r="B671" s="50"/>
      <c r="C671" s="51"/>
      <c r="D671" s="49"/>
      <c r="E671" s="49"/>
      <c r="F671" s="52"/>
      <c r="G671" s="53"/>
      <c r="H671" s="54"/>
      <c r="I671" s="55"/>
      <c r="J671" s="53"/>
      <c r="K671" s="53"/>
      <c r="L671" s="53"/>
      <c r="M671" s="56"/>
      <c r="N671" s="53"/>
      <c r="O671" s="57"/>
      <c r="P671" s="57"/>
      <c r="Q671" s="53"/>
      <c r="R671" s="53"/>
      <c r="S671" s="53"/>
      <c r="T671" s="59"/>
      <c r="U671" s="59"/>
      <c r="V671" s="53"/>
      <c r="W671" s="53"/>
      <c r="X671" s="53"/>
      <c r="Y671" s="9" t="e">
        <f t="shared" si="10"/>
        <v>#DIV/0!</v>
      </c>
      <c r="Z671" s="60"/>
      <c r="AC671" s="61"/>
      <c r="AD671" s="53"/>
      <c r="AE671" s="56"/>
      <c r="AF671" s="62"/>
      <c r="AG671" s="63"/>
      <c r="AH671" s="61"/>
      <c r="AO671" s="64" t="s">
        <v>79</v>
      </c>
      <c r="AP671" s="65">
        <v>5.6</v>
      </c>
      <c r="AQ671" s="65">
        <v>5.6</v>
      </c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65"/>
      <c r="BH671" s="65"/>
      <c r="BI671" s="65"/>
      <c r="BJ671" s="65"/>
      <c r="BK671" s="65"/>
      <c r="BL671" s="65"/>
      <c r="BM671" s="65"/>
      <c r="BN671" s="65"/>
      <c r="BO671" s="65"/>
    </row>
    <row r="672" spans="1:67" s="58" customFormat="1" x14ac:dyDescent="0.2">
      <c r="A672" s="49" t="s">
        <v>67</v>
      </c>
      <c r="B672" s="50">
        <v>43256</v>
      </c>
      <c r="C672" s="51">
        <v>0.51458333333333295</v>
      </c>
      <c r="D672" s="49" t="s">
        <v>245</v>
      </c>
      <c r="E672" s="49"/>
      <c r="F672" s="52">
        <v>62</v>
      </c>
      <c r="G672" s="53">
        <v>2</v>
      </c>
      <c r="H672" s="54">
        <v>3.2258064516129031E-2</v>
      </c>
      <c r="I672" s="55">
        <v>6.83E-2</v>
      </c>
      <c r="J672" s="53">
        <v>314.15899999999999</v>
      </c>
      <c r="K672" s="53">
        <v>0.61470000000000002</v>
      </c>
      <c r="L672" s="53">
        <v>9</v>
      </c>
      <c r="M672" s="56">
        <v>255.53847405238326</v>
      </c>
      <c r="N672" s="53">
        <v>1419</v>
      </c>
      <c r="O672" s="57" t="s">
        <v>94</v>
      </c>
      <c r="P672" s="57" t="s">
        <v>82</v>
      </c>
      <c r="Q672" s="53" t="s">
        <v>95</v>
      </c>
      <c r="R672" s="53" t="s">
        <v>96</v>
      </c>
      <c r="S672" s="53"/>
      <c r="T672" s="59">
        <v>382</v>
      </c>
      <c r="U672" s="59">
        <v>765</v>
      </c>
      <c r="V672" s="53">
        <v>0.8</v>
      </c>
      <c r="W672" s="53">
        <v>0.8</v>
      </c>
      <c r="X672" s="53">
        <v>0.8</v>
      </c>
      <c r="Y672" s="9">
        <f t="shared" si="10"/>
        <v>97615.697088010405</v>
      </c>
      <c r="Z672" s="60" t="s">
        <v>97</v>
      </c>
      <c r="AA672" s="58" t="s">
        <v>295</v>
      </c>
      <c r="AB672" s="58" t="s">
        <v>75</v>
      </c>
      <c r="AC672" s="61" t="s">
        <v>221</v>
      </c>
      <c r="AD672" s="53" t="s">
        <v>85</v>
      </c>
      <c r="AE672" s="56">
        <v>0.18</v>
      </c>
      <c r="AF672" s="56">
        <v>0.18</v>
      </c>
      <c r="AG672" s="56">
        <v>0.18</v>
      </c>
      <c r="AH672" s="56">
        <v>0.18</v>
      </c>
      <c r="AI672" s="56">
        <v>0.18</v>
      </c>
      <c r="AJ672" s="56">
        <v>0.18</v>
      </c>
      <c r="AK672" s="56">
        <v>0.18</v>
      </c>
      <c r="AL672" s="56">
        <v>0.18</v>
      </c>
      <c r="AM672" s="56">
        <v>0.18</v>
      </c>
      <c r="AN672" s="56">
        <v>0.18</v>
      </c>
      <c r="AO672" s="66" t="s">
        <v>78</v>
      </c>
      <c r="AP672" s="65">
        <v>0.75200000000000033</v>
      </c>
      <c r="AQ672" s="65">
        <v>0.7</v>
      </c>
      <c r="AR672" s="65">
        <v>0.7</v>
      </c>
      <c r="AS672" s="65">
        <v>0.7</v>
      </c>
      <c r="AT672" s="65">
        <v>0.7</v>
      </c>
      <c r="AU672" s="65">
        <v>0.7</v>
      </c>
      <c r="AV672" s="65">
        <v>0.7</v>
      </c>
      <c r="AW672" s="65">
        <v>0.7</v>
      </c>
      <c r="AX672" s="65">
        <v>0.7</v>
      </c>
      <c r="AY672" s="65">
        <v>0.7</v>
      </c>
      <c r="AZ672" s="65">
        <v>0.7</v>
      </c>
      <c r="BA672" s="65">
        <v>0.7</v>
      </c>
      <c r="BB672" s="65">
        <v>0.7</v>
      </c>
      <c r="BC672" s="65">
        <v>0.8</v>
      </c>
      <c r="BD672" s="65">
        <v>0.8</v>
      </c>
      <c r="BE672" s="65">
        <v>0.8</v>
      </c>
      <c r="BF672" s="65">
        <v>0.8</v>
      </c>
      <c r="BG672" s="65">
        <v>0.8</v>
      </c>
      <c r="BH672" s="65">
        <v>0.8</v>
      </c>
      <c r="BI672" s="65">
        <v>0.8</v>
      </c>
      <c r="BJ672" s="65">
        <v>0.8</v>
      </c>
      <c r="BK672" s="65">
        <v>0.8</v>
      </c>
      <c r="BL672" s="65">
        <v>0.8</v>
      </c>
      <c r="BM672" s="65">
        <v>0.8</v>
      </c>
      <c r="BN672" s="65">
        <v>0.8</v>
      </c>
      <c r="BO672" s="65">
        <v>0.8</v>
      </c>
    </row>
    <row r="673" spans="1:67" s="58" customFormat="1" x14ac:dyDescent="0.2">
      <c r="A673" s="49" t="s">
        <v>67</v>
      </c>
      <c r="B673" s="50">
        <v>43290</v>
      </c>
      <c r="C673" s="51">
        <v>0.75</v>
      </c>
      <c r="D673" s="49" t="s">
        <v>135</v>
      </c>
      <c r="E673" s="49"/>
      <c r="F673" s="52">
        <v>62.5</v>
      </c>
      <c r="G673" s="53">
        <v>2</v>
      </c>
      <c r="H673" s="54">
        <v>3.2000000000000001E-2</v>
      </c>
      <c r="I673" s="55">
        <v>6.83E-2</v>
      </c>
      <c r="J673" s="53">
        <v>314.15899999999999</v>
      </c>
      <c r="K673" s="53">
        <v>0.68300000000000005</v>
      </c>
      <c r="L673" s="53">
        <v>10</v>
      </c>
      <c r="M673" s="56">
        <v>229.98462664714492</v>
      </c>
      <c r="N673" s="53">
        <v>190</v>
      </c>
      <c r="O673" s="57" t="s">
        <v>296</v>
      </c>
      <c r="P673" s="58" t="s">
        <v>70</v>
      </c>
      <c r="Q673" s="53" t="s">
        <v>103</v>
      </c>
      <c r="R673" s="53" t="s">
        <v>84</v>
      </c>
      <c r="S673" s="53"/>
      <c r="T673" s="59">
        <v>1</v>
      </c>
      <c r="U673" s="59">
        <v>1</v>
      </c>
      <c r="V673" s="53">
        <v>5.6</v>
      </c>
      <c r="W673" s="53"/>
      <c r="X673" s="53"/>
      <c r="Y673" s="9">
        <f t="shared" si="10"/>
        <v>229.98462664714492</v>
      </c>
      <c r="Z673" s="60" t="s">
        <v>73</v>
      </c>
      <c r="AA673" s="58" t="s">
        <v>297</v>
      </c>
      <c r="AB673" s="58" t="s">
        <v>75</v>
      </c>
      <c r="AC673" s="61" t="s">
        <v>281</v>
      </c>
      <c r="AD673" s="53" t="s">
        <v>104</v>
      </c>
      <c r="AE673" s="56">
        <v>91.131242719999989</v>
      </c>
      <c r="AF673" s="62"/>
      <c r="AG673" s="63"/>
      <c r="AH673" s="61"/>
      <c r="AO673" s="64" t="s">
        <v>78</v>
      </c>
      <c r="AP673" s="65">
        <v>3.7</v>
      </c>
      <c r="AQ673" s="65">
        <v>3.7</v>
      </c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  <c r="BE673" s="65"/>
      <c r="BF673" s="65"/>
      <c r="BG673" s="65"/>
      <c r="BH673" s="65"/>
      <c r="BI673" s="65"/>
      <c r="BJ673" s="65"/>
      <c r="BK673" s="65"/>
      <c r="BL673" s="65"/>
      <c r="BM673" s="65"/>
      <c r="BN673" s="65"/>
      <c r="BO673" s="65"/>
    </row>
    <row r="674" spans="1:67" s="58" customFormat="1" x14ac:dyDescent="0.2">
      <c r="A674" s="49"/>
      <c r="B674" s="50"/>
      <c r="C674" s="51"/>
      <c r="D674" s="49"/>
      <c r="E674" s="49"/>
      <c r="F674" s="52"/>
      <c r="G674" s="53"/>
      <c r="H674" s="54"/>
      <c r="I674" s="55"/>
      <c r="J674" s="53"/>
      <c r="K674" s="53"/>
      <c r="L674" s="53"/>
      <c r="M674" s="56"/>
      <c r="N674" s="53"/>
      <c r="O674" s="57"/>
      <c r="Q674" s="53"/>
      <c r="R674" s="53"/>
      <c r="S674" s="53"/>
      <c r="T674" s="59"/>
      <c r="U674" s="59"/>
      <c r="V674" s="53"/>
      <c r="W674" s="53"/>
      <c r="X674" s="53"/>
      <c r="Y674" s="9" t="e">
        <f t="shared" si="10"/>
        <v>#DIV/0!</v>
      </c>
      <c r="Z674" s="60"/>
      <c r="AC674" s="61"/>
      <c r="AD674" s="53"/>
      <c r="AE674" s="56"/>
      <c r="AF674" s="62"/>
      <c r="AG674" s="63"/>
      <c r="AH674" s="61"/>
      <c r="AO674" s="64" t="s">
        <v>79</v>
      </c>
      <c r="AP674" s="65">
        <v>5.6</v>
      </c>
      <c r="AQ674" s="65">
        <v>5.6</v>
      </c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  <c r="BE674" s="65"/>
      <c r="BF674" s="65"/>
      <c r="BG674" s="65"/>
      <c r="BH674" s="65"/>
      <c r="BI674" s="65"/>
      <c r="BJ674" s="65"/>
      <c r="BK674" s="65"/>
      <c r="BL674" s="65"/>
      <c r="BM674" s="65"/>
      <c r="BN674" s="65"/>
      <c r="BO674" s="65"/>
    </row>
    <row r="675" spans="1:67" s="58" customFormat="1" x14ac:dyDescent="0.2">
      <c r="A675" s="49" t="s">
        <v>67</v>
      </c>
      <c r="B675" s="50">
        <v>43290</v>
      </c>
      <c r="C675" s="51">
        <v>0.75</v>
      </c>
      <c r="D675" s="49" t="s">
        <v>135</v>
      </c>
      <c r="E675" s="49"/>
      <c r="F675" s="52">
        <v>62.5</v>
      </c>
      <c r="G675" s="53">
        <v>2</v>
      </c>
      <c r="H675" s="54">
        <v>3.2000000000000001E-2</v>
      </c>
      <c r="I675" s="55">
        <v>6.83E-2</v>
      </c>
      <c r="J675" s="53">
        <v>314.15899999999999</v>
      </c>
      <c r="K675" s="53">
        <v>0.68300000000000005</v>
      </c>
      <c r="L675" s="53">
        <v>10</v>
      </c>
      <c r="M675" s="56">
        <v>229.98462664714492</v>
      </c>
      <c r="N675" s="53">
        <v>749</v>
      </c>
      <c r="O675" s="57" t="s">
        <v>190</v>
      </c>
      <c r="P675" s="58" t="s">
        <v>70</v>
      </c>
      <c r="Q675" s="53" t="s">
        <v>191</v>
      </c>
      <c r="R675" s="53" t="s">
        <v>84</v>
      </c>
      <c r="S675" s="53"/>
      <c r="T675" s="59">
        <v>1</v>
      </c>
      <c r="U675" s="59">
        <v>1</v>
      </c>
      <c r="V675" s="53">
        <v>18.5</v>
      </c>
      <c r="W675" s="53"/>
      <c r="X675" s="53"/>
      <c r="Y675" s="9">
        <f t="shared" si="10"/>
        <v>229.98462664714492</v>
      </c>
      <c r="Z675" s="60" t="s">
        <v>73</v>
      </c>
      <c r="AA675" s="58" t="s">
        <v>297</v>
      </c>
      <c r="AB675" s="58" t="s">
        <v>75</v>
      </c>
      <c r="AC675" s="61" t="s">
        <v>281</v>
      </c>
      <c r="AD675" s="53" t="s">
        <v>193</v>
      </c>
      <c r="AE675" s="56">
        <v>95.83</v>
      </c>
      <c r="AF675" s="62"/>
      <c r="AG675" s="63"/>
      <c r="AH675" s="61"/>
      <c r="AO675" s="64" t="s">
        <v>78</v>
      </c>
      <c r="AP675" s="65">
        <v>18.5</v>
      </c>
      <c r="AQ675" s="65">
        <v>18.5</v>
      </c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  <c r="BE675" s="65"/>
      <c r="BF675" s="65"/>
      <c r="BG675" s="65"/>
      <c r="BH675" s="65"/>
      <c r="BI675" s="65"/>
      <c r="BJ675" s="65"/>
      <c r="BK675" s="65"/>
      <c r="BL675" s="65"/>
      <c r="BM675" s="65"/>
      <c r="BN675" s="65"/>
      <c r="BO675" s="65"/>
    </row>
    <row r="676" spans="1:67" s="58" customFormat="1" x14ac:dyDescent="0.2">
      <c r="A676" s="49"/>
      <c r="B676" s="50"/>
      <c r="C676" s="51"/>
      <c r="D676" s="49"/>
      <c r="E676" s="49"/>
      <c r="F676" s="52"/>
      <c r="G676" s="53"/>
      <c r="H676" s="54"/>
      <c r="I676" s="55"/>
      <c r="J676" s="53"/>
      <c r="K676" s="53"/>
      <c r="L676" s="53"/>
      <c r="M676" s="56"/>
      <c r="N676" s="53"/>
      <c r="O676" s="57"/>
      <c r="Q676" s="53"/>
      <c r="R676" s="53"/>
      <c r="S676" s="53"/>
      <c r="T676" s="59"/>
      <c r="U676" s="59"/>
      <c r="V676" s="53"/>
      <c r="W676" s="53"/>
      <c r="X676" s="53"/>
      <c r="Y676" s="9" t="e">
        <f t="shared" si="10"/>
        <v>#DIV/0!</v>
      </c>
      <c r="Z676" s="60"/>
      <c r="AC676" s="61"/>
      <c r="AD676" s="53"/>
      <c r="AE676" s="56"/>
      <c r="AF676" s="62"/>
      <c r="AG676" s="63"/>
      <c r="AH676" s="61"/>
      <c r="AO676" s="64" t="s">
        <v>79</v>
      </c>
      <c r="AP676" s="65">
        <v>3.7</v>
      </c>
      <c r="AQ676" s="65">
        <v>3.7</v>
      </c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  <c r="BE676" s="65"/>
      <c r="BF676" s="65"/>
      <c r="BG676" s="65"/>
      <c r="BH676" s="65"/>
      <c r="BI676" s="65"/>
      <c r="BJ676" s="65"/>
      <c r="BK676" s="65"/>
      <c r="BL676" s="65"/>
      <c r="BM676" s="65"/>
      <c r="BN676" s="65"/>
      <c r="BO676" s="65"/>
    </row>
    <row r="677" spans="1:67" s="58" customFormat="1" x14ac:dyDescent="0.2">
      <c r="A677" s="49"/>
      <c r="B677" s="50"/>
      <c r="C677" s="51"/>
      <c r="D677" s="49"/>
      <c r="E677" s="49"/>
      <c r="F677" s="52"/>
      <c r="G677" s="53"/>
      <c r="H677" s="54"/>
      <c r="I677" s="55"/>
      <c r="J677" s="53"/>
      <c r="K677" s="53"/>
      <c r="L677" s="53"/>
      <c r="M677" s="56"/>
      <c r="N677" s="53"/>
      <c r="O677" s="57"/>
      <c r="Q677" s="53"/>
      <c r="R677" s="53"/>
      <c r="S677" s="53"/>
      <c r="T677" s="59"/>
      <c r="U677" s="59"/>
      <c r="V677" s="53"/>
      <c r="W677" s="53"/>
      <c r="X677" s="53"/>
      <c r="Y677" s="9" t="e">
        <f t="shared" si="10"/>
        <v>#DIV/0!</v>
      </c>
      <c r="Z677" s="60"/>
      <c r="AC677" s="61"/>
      <c r="AD677" s="53"/>
      <c r="AE677" s="56"/>
      <c r="AF677" s="62"/>
      <c r="AG677" s="63"/>
      <c r="AH677" s="61"/>
      <c r="AO677" s="64" t="s">
        <v>80</v>
      </c>
      <c r="AP677" s="65">
        <v>2.8</v>
      </c>
      <c r="AQ677" s="65">
        <v>2.8</v>
      </c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  <c r="BE677" s="65"/>
      <c r="BF677" s="65"/>
      <c r="BG677" s="65"/>
      <c r="BH677" s="65"/>
      <c r="BI677" s="65"/>
      <c r="BJ677" s="65"/>
      <c r="BK677" s="65"/>
      <c r="BL677" s="65"/>
      <c r="BM677" s="65"/>
      <c r="BN677" s="65"/>
      <c r="BO677" s="65"/>
    </row>
    <row r="678" spans="1:67" s="58" customFormat="1" x14ac:dyDescent="0.2">
      <c r="A678" s="49" t="s">
        <v>67</v>
      </c>
      <c r="B678" s="50">
        <v>43290</v>
      </c>
      <c r="C678" s="51">
        <v>0.75</v>
      </c>
      <c r="D678" s="49" t="s">
        <v>135</v>
      </c>
      <c r="E678" s="49"/>
      <c r="F678" s="52">
        <v>62.5</v>
      </c>
      <c r="G678" s="53">
        <v>2</v>
      </c>
      <c r="H678" s="54">
        <v>3.2000000000000001E-2</v>
      </c>
      <c r="I678" s="55">
        <v>6.83E-2</v>
      </c>
      <c r="J678" s="53">
        <v>314.15899999999999</v>
      </c>
      <c r="K678" s="53">
        <v>0.68300000000000005</v>
      </c>
      <c r="L678" s="53">
        <v>10</v>
      </c>
      <c r="M678" s="56">
        <v>229.98462664714492</v>
      </c>
      <c r="N678" s="53">
        <v>1037</v>
      </c>
      <c r="O678" s="57" t="s">
        <v>86</v>
      </c>
      <c r="P678" s="57" t="s">
        <v>82</v>
      </c>
      <c r="Q678" s="53" t="s">
        <v>87</v>
      </c>
      <c r="R678" s="53" t="s">
        <v>84</v>
      </c>
      <c r="S678" s="53"/>
      <c r="T678" s="59">
        <v>20</v>
      </c>
      <c r="U678" s="59">
        <v>20</v>
      </c>
      <c r="V678" s="53">
        <v>3.7</v>
      </c>
      <c r="W678" s="53"/>
      <c r="X678" s="53"/>
      <c r="Y678" s="9">
        <f t="shared" si="10"/>
        <v>4599.6925329428987</v>
      </c>
      <c r="Z678" s="60" t="s">
        <v>73</v>
      </c>
      <c r="AA678" s="58" t="s">
        <v>297</v>
      </c>
      <c r="AB678" s="58" t="s">
        <v>75</v>
      </c>
      <c r="AC678" s="61" t="s">
        <v>281</v>
      </c>
      <c r="AD678" s="53" t="s">
        <v>85</v>
      </c>
      <c r="AE678" s="56">
        <v>9.2027643066666673</v>
      </c>
      <c r="AF678" s="62"/>
      <c r="AG678" s="63"/>
      <c r="AH678" s="61"/>
      <c r="AO678" s="64" t="s">
        <v>78</v>
      </c>
      <c r="AP678" s="65">
        <v>2.6199999999999997</v>
      </c>
      <c r="AQ678" s="65">
        <v>1.9</v>
      </c>
      <c r="AR678" s="65">
        <v>2.8</v>
      </c>
      <c r="AS678" s="65">
        <v>2.8</v>
      </c>
      <c r="AT678" s="65">
        <v>1.9</v>
      </c>
      <c r="AU678" s="65">
        <v>3.7</v>
      </c>
      <c r="AV678" s="65"/>
      <c r="AW678" s="65"/>
      <c r="AX678" s="65"/>
      <c r="AY678" s="65"/>
      <c r="AZ678" s="65"/>
      <c r="BA678" s="65"/>
      <c r="BB678" s="65"/>
      <c r="BC678" s="65"/>
      <c r="BD678" s="65"/>
      <c r="BE678" s="65"/>
      <c r="BF678" s="65"/>
      <c r="BG678" s="65"/>
      <c r="BH678" s="65"/>
      <c r="BI678" s="65"/>
      <c r="BJ678" s="65"/>
      <c r="BK678" s="65"/>
      <c r="BL678" s="65"/>
      <c r="BM678" s="65"/>
      <c r="BN678" s="65"/>
      <c r="BO678" s="65"/>
    </row>
    <row r="679" spans="1:67" s="58" customFormat="1" x14ac:dyDescent="0.2">
      <c r="A679" s="49" t="s">
        <v>67</v>
      </c>
      <c r="B679" s="50">
        <v>43290</v>
      </c>
      <c r="C679" s="51">
        <v>0.75</v>
      </c>
      <c r="D679" s="49" t="s">
        <v>135</v>
      </c>
      <c r="E679" s="49"/>
      <c r="F679" s="52">
        <v>62.5</v>
      </c>
      <c r="G679" s="53">
        <v>2</v>
      </c>
      <c r="H679" s="54">
        <v>3.2000000000000001E-2</v>
      </c>
      <c r="I679" s="55">
        <v>6.83E-2</v>
      </c>
      <c r="J679" s="53">
        <v>314.15899999999999</v>
      </c>
      <c r="K679" s="53">
        <v>0.68300000000000005</v>
      </c>
      <c r="L679" s="53">
        <v>10</v>
      </c>
      <c r="M679" s="56">
        <v>229.98462664714492</v>
      </c>
      <c r="N679" s="53">
        <v>1119</v>
      </c>
      <c r="O679" s="58" t="s">
        <v>197</v>
      </c>
      <c r="P679" s="57" t="s">
        <v>82</v>
      </c>
      <c r="Q679" s="53" t="s">
        <v>198</v>
      </c>
      <c r="R679" s="53" t="s">
        <v>199</v>
      </c>
      <c r="S679" s="53"/>
      <c r="T679" s="59">
        <v>2</v>
      </c>
      <c r="U679" s="59">
        <v>2</v>
      </c>
      <c r="V679" s="53">
        <v>5.6</v>
      </c>
      <c r="W679" s="53"/>
      <c r="X679" s="53"/>
      <c r="Y679" s="9">
        <f t="shared" si="10"/>
        <v>459.96925329428984</v>
      </c>
      <c r="Z679" s="60" t="s">
        <v>73</v>
      </c>
      <c r="AA679" s="58" t="s">
        <v>297</v>
      </c>
      <c r="AB679" s="58" t="s">
        <v>75</v>
      </c>
      <c r="AC679" s="61" t="s">
        <v>281</v>
      </c>
      <c r="AD679" s="53" t="s">
        <v>150</v>
      </c>
      <c r="AE679" s="56">
        <v>16.743103904999995</v>
      </c>
      <c r="AF679" s="62"/>
      <c r="AG679" s="63"/>
      <c r="AH679" s="61"/>
      <c r="AO679" s="64" t="s">
        <v>78</v>
      </c>
      <c r="AP679" s="65">
        <v>5.0999999999999996</v>
      </c>
      <c r="AQ679" s="65">
        <v>4.5999999999999996</v>
      </c>
      <c r="AR679" s="65">
        <v>5.6</v>
      </c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  <c r="BE679" s="65"/>
      <c r="BF679" s="65"/>
      <c r="BG679" s="65"/>
      <c r="BH679" s="65"/>
      <c r="BI679" s="65"/>
      <c r="BJ679" s="65"/>
      <c r="BK679" s="65"/>
      <c r="BL679" s="65"/>
      <c r="BM679" s="65"/>
      <c r="BN679" s="65"/>
      <c r="BO679" s="65"/>
    </row>
    <row r="680" spans="1:67" s="58" customFormat="1" x14ac:dyDescent="0.2">
      <c r="A680" s="49"/>
      <c r="B680" s="50"/>
      <c r="C680" s="51"/>
      <c r="D680" s="49"/>
      <c r="E680" s="49"/>
      <c r="F680" s="52"/>
      <c r="G680" s="53"/>
      <c r="H680" s="54"/>
      <c r="I680" s="55"/>
      <c r="J680" s="53"/>
      <c r="K680" s="53"/>
      <c r="L680" s="53"/>
      <c r="M680" s="56"/>
      <c r="N680" s="53"/>
      <c r="P680" s="57"/>
      <c r="Q680" s="53"/>
      <c r="R680" s="53"/>
      <c r="S680" s="53"/>
      <c r="T680" s="59"/>
      <c r="U680" s="59"/>
      <c r="V680" s="53"/>
      <c r="W680" s="53"/>
      <c r="X680" s="53"/>
      <c r="Y680" s="9" t="e">
        <f t="shared" si="10"/>
        <v>#DIV/0!</v>
      </c>
      <c r="Z680" s="60"/>
      <c r="AC680" s="61"/>
      <c r="AD680" s="53"/>
      <c r="AE680" s="56"/>
      <c r="AF680" s="62"/>
      <c r="AG680" s="63"/>
      <c r="AH680" s="61"/>
      <c r="AO680" s="64" t="s">
        <v>79</v>
      </c>
      <c r="AP680" s="65">
        <v>3.25</v>
      </c>
      <c r="AQ680" s="65">
        <v>2.8</v>
      </c>
      <c r="AR680" s="65">
        <v>3.7</v>
      </c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  <c r="BE680" s="65"/>
      <c r="BF680" s="65"/>
      <c r="BG680" s="65"/>
      <c r="BH680" s="65"/>
      <c r="BI680" s="65"/>
      <c r="BJ680" s="65"/>
      <c r="BK680" s="65"/>
      <c r="BL680" s="65"/>
      <c r="BM680" s="65"/>
      <c r="BN680" s="65"/>
      <c r="BO680" s="65"/>
    </row>
    <row r="681" spans="1:67" s="58" customFormat="1" x14ac:dyDescent="0.2">
      <c r="A681" s="49"/>
      <c r="B681" s="50"/>
      <c r="C681" s="51"/>
      <c r="D681" s="49"/>
      <c r="E681" s="49"/>
      <c r="F681" s="52"/>
      <c r="G681" s="53"/>
      <c r="H681" s="54"/>
      <c r="I681" s="55"/>
      <c r="J681" s="53"/>
      <c r="K681" s="53"/>
      <c r="L681" s="53"/>
      <c r="M681" s="56"/>
      <c r="N681" s="53"/>
      <c r="P681" s="57"/>
      <c r="Q681" s="53"/>
      <c r="R681" s="53"/>
      <c r="S681" s="53"/>
      <c r="T681" s="59"/>
      <c r="U681" s="59"/>
      <c r="V681" s="53"/>
      <c r="W681" s="53"/>
      <c r="X681" s="53"/>
      <c r="Y681" s="9" t="e">
        <f t="shared" si="10"/>
        <v>#DIV/0!</v>
      </c>
      <c r="Z681" s="60"/>
      <c r="AC681" s="61"/>
      <c r="AD681" s="53"/>
      <c r="AE681" s="56"/>
      <c r="AF681" s="62"/>
      <c r="AG681" s="63"/>
      <c r="AH681" s="61"/>
      <c r="AO681" s="64" t="s">
        <v>80</v>
      </c>
      <c r="AP681" s="65">
        <v>1.9</v>
      </c>
      <c r="AQ681" s="65">
        <v>1.9</v>
      </c>
      <c r="AR681" s="65">
        <v>1.9</v>
      </c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  <c r="BE681" s="65"/>
      <c r="BF681" s="65"/>
      <c r="BG681" s="65"/>
      <c r="BH681" s="65"/>
      <c r="BI681" s="65"/>
      <c r="BJ681" s="65"/>
      <c r="BK681" s="65"/>
      <c r="BL681" s="65"/>
      <c r="BM681" s="65"/>
      <c r="BN681" s="65"/>
      <c r="BO681" s="65"/>
    </row>
    <row r="682" spans="1:67" s="58" customFormat="1" x14ac:dyDescent="0.2">
      <c r="A682" s="49" t="s">
        <v>67</v>
      </c>
      <c r="B682" s="50">
        <v>43290</v>
      </c>
      <c r="C682" s="51">
        <v>0.75</v>
      </c>
      <c r="D682" s="49" t="s">
        <v>135</v>
      </c>
      <c r="E682" s="49"/>
      <c r="F682" s="52">
        <v>62.5</v>
      </c>
      <c r="G682" s="53">
        <v>2</v>
      </c>
      <c r="H682" s="54">
        <v>3.2000000000000001E-2</v>
      </c>
      <c r="I682" s="55">
        <v>6.83E-2</v>
      </c>
      <c r="J682" s="53">
        <v>314.15899999999999</v>
      </c>
      <c r="K682" s="53">
        <v>0.68300000000000005</v>
      </c>
      <c r="L682" s="53">
        <v>10</v>
      </c>
      <c r="M682" s="56">
        <v>229.98462664714492</v>
      </c>
      <c r="N682" s="53">
        <v>1806</v>
      </c>
      <c r="O682" s="57" t="s">
        <v>206</v>
      </c>
      <c r="P682" s="57" t="s">
        <v>82</v>
      </c>
      <c r="Q682" s="53" t="s">
        <v>207</v>
      </c>
      <c r="R682" s="53" t="s">
        <v>84</v>
      </c>
      <c r="S682" s="53"/>
      <c r="T682" s="59">
        <v>2</v>
      </c>
      <c r="U682" s="59">
        <v>2</v>
      </c>
      <c r="V682" s="53">
        <v>3.7</v>
      </c>
      <c r="W682" s="53"/>
      <c r="X682" s="53"/>
      <c r="Y682" s="9">
        <f t="shared" si="10"/>
        <v>459.96925329428984</v>
      </c>
      <c r="Z682" s="60" t="s">
        <v>73</v>
      </c>
      <c r="AA682" s="58" t="s">
        <v>297</v>
      </c>
      <c r="AB682" s="58" t="s">
        <v>75</v>
      </c>
      <c r="AC682" s="61" t="s">
        <v>281</v>
      </c>
      <c r="AD682" s="53" t="s">
        <v>120</v>
      </c>
      <c r="AE682" s="56">
        <v>15.188540453333331</v>
      </c>
      <c r="AF682" s="62"/>
      <c r="AG682" s="63"/>
      <c r="AH682" s="61"/>
      <c r="AO682" s="64" t="s">
        <v>78</v>
      </c>
      <c r="AP682" s="65">
        <v>3.7</v>
      </c>
      <c r="AQ682" s="65">
        <v>3.7</v>
      </c>
      <c r="AR682" s="65">
        <v>3.7</v>
      </c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/>
      <c r="BJ682" s="65"/>
      <c r="BK682" s="65"/>
      <c r="BL682" s="65"/>
      <c r="BM682" s="65"/>
      <c r="BN682" s="65"/>
      <c r="BO682" s="65"/>
    </row>
    <row r="683" spans="1:67" s="58" customFormat="1" x14ac:dyDescent="0.2">
      <c r="A683" s="49"/>
      <c r="B683" s="50"/>
      <c r="C683" s="51"/>
      <c r="D683" s="49"/>
      <c r="E683" s="49"/>
      <c r="F683" s="52"/>
      <c r="G683" s="53"/>
      <c r="H683" s="54"/>
      <c r="I683" s="55"/>
      <c r="J683" s="53"/>
      <c r="K683" s="53"/>
      <c r="L683" s="53"/>
      <c r="M683" s="56"/>
      <c r="N683" s="53"/>
      <c r="O683" s="57"/>
      <c r="P683" s="57"/>
      <c r="Q683" s="53"/>
      <c r="R683" s="53"/>
      <c r="S683" s="53"/>
      <c r="T683" s="59"/>
      <c r="U683" s="59"/>
      <c r="V683" s="53"/>
      <c r="W683" s="53"/>
      <c r="X683" s="53"/>
      <c r="Y683" s="9" t="e">
        <f t="shared" si="10"/>
        <v>#DIV/0!</v>
      </c>
      <c r="Z683" s="60"/>
      <c r="AC683" s="61"/>
      <c r="AD683" s="53"/>
      <c r="AE683" s="56"/>
      <c r="AF683" s="62"/>
      <c r="AG683" s="63"/>
      <c r="AH683" s="61"/>
      <c r="AO683" s="64" t="s">
        <v>79</v>
      </c>
      <c r="AP683" s="65">
        <v>2.8</v>
      </c>
      <c r="AQ683" s="65">
        <v>2.8</v>
      </c>
      <c r="AR683" s="65">
        <v>2.8</v>
      </c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65"/>
      <c r="BH683" s="65"/>
      <c r="BI683" s="65"/>
      <c r="BJ683" s="65"/>
      <c r="BK683" s="65"/>
      <c r="BL683" s="65"/>
      <c r="BM683" s="65"/>
      <c r="BN683" s="65"/>
      <c r="BO683" s="65"/>
    </row>
    <row r="684" spans="1:67" s="58" customFormat="1" x14ac:dyDescent="0.2">
      <c r="A684" s="49" t="s">
        <v>67</v>
      </c>
      <c r="B684" s="50">
        <v>43290</v>
      </c>
      <c r="C684" s="51">
        <v>0.75</v>
      </c>
      <c r="D684" s="49" t="s">
        <v>135</v>
      </c>
      <c r="E684" s="49"/>
      <c r="F684" s="52">
        <v>62.5</v>
      </c>
      <c r="G684" s="53">
        <v>2</v>
      </c>
      <c r="H684" s="54">
        <v>3.2000000000000001E-2</v>
      </c>
      <c r="I684" s="55">
        <v>6.83E-2</v>
      </c>
      <c r="J684" s="53">
        <v>314.15899999999999</v>
      </c>
      <c r="K684" s="53">
        <v>0.68300000000000005</v>
      </c>
      <c r="L684" s="53">
        <v>10</v>
      </c>
      <c r="M684" s="56">
        <v>229.98462664714492</v>
      </c>
      <c r="N684" s="53">
        <v>1419</v>
      </c>
      <c r="O684" s="57" t="s">
        <v>94</v>
      </c>
      <c r="P684" s="57" t="s">
        <v>82</v>
      </c>
      <c r="Q684" s="53" t="s">
        <v>95</v>
      </c>
      <c r="R684" s="53" t="s">
        <v>96</v>
      </c>
      <c r="S684" s="53"/>
      <c r="T684" s="59">
        <v>398</v>
      </c>
      <c r="U684" s="59">
        <v>800</v>
      </c>
      <c r="V684" s="53">
        <v>0.8</v>
      </c>
      <c r="W684" s="53">
        <v>0.8</v>
      </c>
      <c r="X684" s="53">
        <v>0.8</v>
      </c>
      <c r="Y684" s="9">
        <f t="shared" si="10"/>
        <v>91533.881405563676</v>
      </c>
      <c r="Z684" s="60" t="s">
        <v>97</v>
      </c>
      <c r="AA684" s="58" t="s">
        <v>297</v>
      </c>
      <c r="AB684" s="58" t="s">
        <v>75</v>
      </c>
      <c r="AC684" s="61" t="s">
        <v>281</v>
      </c>
      <c r="AD684" s="53" t="s">
        <v>85</v>
      </c>
      <c r="AE684" s="56">
        <v>0.18</v>
      </c>
      <c r="AF684" s="56">
        <v>0.18</v>
      </c>
      <c r="AG684" s="56">
        <v>0.18</v>
      </c>
      <c r="AH684" s="56">
        <v>0.18</v>
      </c>
      <c r="AI684" s="56">
        <v>0.18</v>
      </c>
      <c r="AJ684" s="56">
        <v>0.18</v>
      </c>
      <c r="AK684" s="56">
        <v>0.18</v>
      </c>
      <c r="AL684" s="56">
        <v>0.18</v>
      </c>
      <c r="AM684" s="56">
        <v>0.18</v>
      </c>
      <c r="AN684" s="56">
        <v>0.18</v>
      </c>
      <c r="AO684" s="66" t="s">
        <v>78</v>
      </c>
      <c r="AP684" s="65">
        <v>0.75200000000000033</v>
      </c>
      <c r="AQ684" s="65">
        <v>0.7</v>
      </c>
      <c r="AR684" s="65">
        <v>0.7</v>
      </c>
      <c r="AS684" s="65">
        <v>0.7</v>
      </c>
      <c r="AT684" s="65">
        <v>0.7</v>
      </c>
      <c r="AU684" s="65">
        <v>0.7</v>
      </c>
      <c r="AV684" s="65">
        <v>0.7</v>
      </c>
      <c r="AW684" s="65">
        <v>0.7</v>
      </c>
      <c r="AX684" s="65">
        <v>0.7</v>
      </c>
      <c r="AY684" s="65">
        <v>0.7</v>
      </c>
      <c r="AZ684" s="65">
        <v>0.7</v>
      </c>
      <c r="BA684" s="65">
        <v>0.7</v>
      </c>
      <c r="BB684" s="65">
        <v>0.7</v>
      </c>
      <c r="BC684" s="65">
        <v>0.8</v>
      </c>
      <c r="BD684" s="65">
        <v>0.8</v>
      </c>
      <c r="BE684" s="65">
        <v>0.8</v>
      </c>
      <c r="BF684" s="65">
        <v>0.8</v>
      </c>
      <c r="BG684" s="65">
        <v>0.8</v>
      </c>
      <c r="BH684" s="65">
        <v>0.8</v>
      </c>
      <c r="BI684" s="65">
        <v>0.8</v>
      </c>
      <c r="BJ684" s="65">
        <v>0.8</v>
      </c>
      <c r="BK684" s="65">
        <v>0.8</v>
      </c>
      <c r="BL684" s="65">
        <v>0.8</v>
      </c>
      <c r="BM684" s="65">
        <v>0.8</v>
      </c>
      <c r="BN684" s="65">
        <v>0.8</v>
      </c>
      <c r="BO684" s="65">
        <v>0.8</v>
      </c>
    </row>
    <row r="685" spans="1:67" s="58" customFormat="1" x14ac:dyDescent="0.2">
      <c r="A685" s="49" t="s">
        <v>67</v>
      </c>
      <c r="B685" s="50">
        <v>43290</v>
      </c>
      <c r="C685" s="51">
        <v>0.75</v>
      </c>
      <c r="D685" s="49" t="s">
        <v>135</v>
      </c>
      <c r="E685" s="49"/>
      <c r="F685" s="52">
        <v>62.5</v>
      </c>
      <c r="G685" s="53">
        <v>2</v>
      </c>
      <c r="H685" s="54">
        <v>3.2000000000000001E-2</v>
      </c>
      <c r="I685" s="55">
        <v>6.83E-2</v>
      </c>
      <c r="J685" s="53">
        <v>314.15899999999999</v>
      </c>
      <c r="K685" s="53">
        <v>0.68300000000000005</v>
      </c>
      <c r="L685" s="53">
        <v>10</v>
      </c>
      <c r="M685" s="56">
        <v>229.98462664714492</v>
      </c>
      <c r="N685" s="53">
        <v>1421</v>
      </c>
      <c r="O685" s="57" t="s">
        <v>130</v>
      </c>
      <c r="P685" s="57" t="s">
        <v>82</v>
      </c>
      <c r="Q685" s="53" t="s">
        <v>95</v>
      </c>
      <c r="R685" s="53" t="s">
        <v>131</v>
      </c>
      <c r="S685" s="53"/>
      <c r="T685" s="59">
        <v>13</v>
      </c>
      <c r="U685" s="59">
        <v>16</v>
      </c>
      <c r="V685" s="53">
        <v>5.6</v>
      </c>
      <c r="W685" s="53"/>
      <c r="X685" s="53"/>
      <c r="Y685" s="9">
        <f t="shared" si="10"/>
        <v>2989.8001464128843</v>
      </c>
      <c r="Z685" s="60" t="s">
        <v>97</v>
      </c>
      <c r="AA685" s="58" t="s">
        <v>297</v>
      </c>
      <c r="AB685" s="58" t="s">
        <v>75</v>
      </c>
      <c r="AC685" s="61" t="s">
        <v>281</v>
      </c>
      <c r="AD685" s="53" t="s">
        <v>85</v>
      </c>
      <c r="AE685" s="56">
        <v>91.952244906666635</v>
      </c>
      <c r="AF685" s="62"/>
      <c r="AG685" s="63"/>
      <c r="AH685" s="61"/>
      <c r="AO685" s="66" t="s">
        <v>78</v>
      </c>
      <c r="AP685" s="65">
        <v>5.6</v>
      </c>
      <c r="AQ685" s="65">
        <v>5.6</v>
      </c>
      <c r="AR685" s="65">
        <v>5.6</v>
      </c>
      <c r="AS685" s="65">
        <v>5.6</v>
      </c>
      <c r="AT685" s="65">
        <v>5.6</v>
      </c>
      <c r="AU685" s="65">
        <v>5.6</v>
      </c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/>
      <c r="BK685" s="65"/>
      <c r="BL685" s="65"/>
      <c r="BM685" s="65"/>
      <c r="BN685" s="65"/>
      <c r="BO685" s="65"/>
    </row>
    <row r="686" spans="1:67" s="58" customFormat="1" x14ac:dyDescent="0.2">
      <c r="A686" s="49" t="s">
        <v>67</v>
      </c>
      <c r="B686" s="50">
        <v>43290</v>
      </c>
      <c r="C686" s="51">
        <v>0.75</v>
      </c>
      <c r="D686" s="49" t="s">
        <v>135</v>
      </c>
      <c r="E686" s="49"/>
      <c r="F686" s="52">
        <v>62.5</v>
      </c>
      <c r="G686" s="53">
        <v>2</v>
      </c>
      <c r="H686" s="54">
        <v>3.2000000000000001E-2</v>
      </c>
      <c r="I686" s="55">
        <v>6.83E-2</v>
      </c>
      <c r="J686" s="53">
        <v>314.15899999999999</v>
      </c>
      <c r="K686" s="53">
        <v>0.68300000000000005</v>
      </c>
      <c r="L686" s="53">
        <v>10</v>
      </c>
      <c r="M686" s="56">
        <v>229.98462664714492</v>
      </c>
      <c r="N686" s="53">
        <v>1423</v>
      </c>
      <c r="O686" s="57" t="s">
        <v>163</v>
      </c>
      <c r="P686" s="57" t="s">
        <v>82</v>
      </c>
      <c r="Q686" s="53" t="s">
        <v>95</v>
      </c>
      <c r="R686" s="53" t="s">
        <v>84</v>
      </c>
      <c r="S686" s="53"/>
      <c r="T686" s="59">
        <v>1</v>
      </c>
      <c r="U686" s="59">
        <v>4</v>
      </c>
      <c r="V686" s="53">
        <v>2.8</v>
      </c>
      <c r="W686" s="53"/>
      <c r="X686" s="53"/>
      <c r="Y686" s="9">
        <f t="shared" si="10"/>
        <v>229.98462664714492</v>
      </c>
      <c r="Z686" s="60" t="s">
        <v>97</v>
      </c>
      <c r="AA686" s="58" t="s">
        <v>297</v>
      </c>
      <c r="AB686" s="58" t="s">
        <v>75</v>
      </c>
      <c r="AC686" s="61" t="s">
        <v>281</v>
      </c>
      <c r="AD686" s="53" t="s">
        <v>85</v>
      </c>
      <c r="AE686" s="56">
        <v>11.494030613333329</v>
      </c>
      <c r="AF686" s="62"/>
      <c r="AG686" s="63"/>
      <c r="AH686" s="61"/>
      <c r="AO686" s="66" t="s">
        <v>78</v>
      </c>
      <c r="AP686" s="65">
        <v>2.8</v>
      </c>
      <c r="AQ686" s="65">
        <v>2.8</v>
      </c>
      <c r="AR686" s="65">
        <v>2.8</v>
      </c>
      <c r="AS686" s="65">
        <v>2.8</v>
      </c>
      <c r="AT686" s="65">
        <v>2.8</v>
      </c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  <c r="BJ686" s="65"/>
      <c r="BK686" s="65"/>
      <c r="BL686" s="65"/>
      <c r="BM686" s="65"/>
      <c r="BN686" s="65"/>
      <c r="BO686" s="65"/>
    </row>
    <row r="687" spans="1:67" s="58" customFormat="1" x14ac:dyDescent="0.2">
      <c r="A687" s="49" t="s">
        <v>67</v>
      </c>
      <c r="B687" s="50">
        <v>43290</v>
      </c>
      <c r="C687" s="51">
        <v>0.75</v>
      </c>
      <c r="D687" s="49" t="s">
        <v>135</v>
      </c>
      <c r="E687" s="49"/>
      <c r="F687" s="52">
        <v>62.5</v>
      </c>
      <c r="G687" s="53">
        <v>2</v>
      </c>
      <c r="H687" s="54">
        <v>3.2000000000000001E-2</v>
      </c>
      <c r="I687" s="55">
        <v>6.83E-2</v>
      </c>
      <c r="J687" s="53">
        <v>314.15899999999999</v>
      </c>
      <c r="K687" s="53">
        <v>0.68300000000000005</v>
      </c>
      <c r="L687" s="53">
        <v>10</v>
      </c>
      <c r="M687" s="56">
        <v>229.98462664714492</v>
      </c>
      <c r="N687" s="53">
        <v>1902</v>
      </c>
      <c r="O687" s="57" t="s">
        <v>272</v>
      </c>
      <c r="P687" s="57" t="s">
        <v>82</v>
      </c>
      <c r="Q687" s="53" t="s">
        <v>133</v>
      </c>
      <c r="R687" s="53" t="s">
        <v>273</v>
      </c>
      <c r="S687" s="53"/>
      <c r="T687" s="59">
        <v>2</v>
      </c>
      <c r="U687" s="59">
        <v>21</v>
      </c>
      <c r="V687" s="53">
        <v>7.4</v>
      </c>
      <c r="W687" s="53"/>
      <c r="X687" s="53"/>
      <c r="Y687" s="9">
        <f t="shared" si="10"/>
        <v>459.96925329428984</v>
      </c>
      <c r="Z687" s="60" t="s">
        <v>134</v>
      </c>
      <c r="AA687" s="58" t="s">
        <v>297</v>
      </c>
      <c r="AB687" s="58" t="s">
        <v>75</v>
      </c>
      <c r="AC687" s="61" t="s">
        <v>281</v>
      </c>
      <c r="AD687" s="53" t="s">
        <v>104</v>
      </c>
      <c r="AE687" s="56">
        <v>55.910877230000004</v>
      </c>
      <c r="AF687" s="62"/>
      <c r="AG687" s="63"/>
      <c r="AH687" s="61"/>
      <c r="AO687" s="66" t="s">
        <v>78</v>
      </c>
      <c r="AP687" s="65">
        <v>5.18</v>
      </c>
      <c r="AQ687" s="65">
        <v>7.4</v>
      </c>
      <c r="AR687" s="65">
        <v>6.5</v>
      </c>
      <c r="AS687" s="65">
        <v>4.5999999999999996</v>
      </c>
      <c r="AT687" s="65">
        <v>3.7</v>
      </c>
      <c r="AU687" s="65">
        <v>3.7</v>
      </c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  <c r="BM687" s="65"/>
      <c r="BN687" s="65"/>
      <c r="BO687" s="65"/>
    </row>
    <row r="688" spans="1:67" s="58" customFormat="1" x14ac:dyDescent="0.2">
      <c r="A688" s="61"/>
      <c r="B688" s="67"/>
      <c r="C688" s="61"/>
      <c r="D688" s="53"/>
      <c r="E688" s="53"/>
      <c r="F688" s="68"/>
      <c r="G688" s="61"/>
      <c r="H688" s="61"/>
      <c r="I688" s="61"/>
      <c r="J688" s="61"/>
      <c r="K688" s="53"/>
      <c r="L688" s="53"/>
      <c r="M688" s="56"/>
      <c r="Q688" s="53"/>
      <c r="R688" s="53"/>
      <c r="S688" s="69"/>
      <c r="T688" s="69"/>
      <c r="U688" s="49"/>
      <c r="V688" s="53"/>
      <c r="W688" s="53"/>
      <c r="X688" s="53"/>
      <c r="Y688" s="9" t="e">
        <f t="shared" si="10"/>
        <v>#DIV/0!</v>
      </c>
      <c r="Z688" s="69"/>
      <c r="AC688" s="63"/>
      <c r="AD688" s="70"/>
      <c r="AE688" s="71"/>
      <c r="AF688" s="71"/>
      <c r="AG688" s="63"/>
      <c r="AH688" s="61"/>
      <c r="AO688" s="64" t="s">
        <v>79</v>
      </c>
      <c r="AP688" s="65">
        <v>3.7</v>
      </c>
      <c r="AQ688" s="65">
        <v>3.7</v>
      </c>
      <c r="AR688" s="65">
        <v>3.7</v>
      </c>
      <c r="AS688" s="65">
        <v>3.7</v>
      </c>
      <c r="AT688" s="65">
        <v>3.7</v>
      </c>
      <c r="AU688" s="65">
        <v>3.7</v>
      </c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  <c r="BM688" s="65"/>
      <c r="BN688" s="65"/>
      <c r="BO688" s="65"/>
    </row>
    <row r="689" spans="1:67" s="58" customFormat="1" x14ac:dyDescent="0.2">
      <c r="A689" s="49" t="s">
        <v>67</v>
      </c>
      <c r="B689" s="50">
        <v>43286</v>
      </c>
      <c r="C689" s="51">
        <v>0.49791666666666701</v>
      </c>
      <c r="D689" s="49" t="s">
        <v>113</v>
      </c>
      <c r="E689" s="49"/>
      <c r="F689" s="52">
        <v>62.5</v>
      </c>
      <c r="G689" s="53">
        <v>1</v>
      </c>
      <c r="H689" s="54">
        <v>1.6E-2</v>
      </c>
      <c r="I689" s="55">
        <v>6.83E-2</v>
      </c>
      <c r="J689" s="53">
        <v>314.15899999999999</v>
      </c>
      <c r="K689" s="53">
        <v>0.61470000000000002</v>
      </c>
      <c r="L689" s="53">
        <v>9</v>
      </c>
      <c r="M689" s="56">
        <v>511.07694810476653</v>
      </c>
      <c r="N689" s="53">
        <v>46</v>
      </c>
      <c r="O689" s="57" t="s">
        <v>109</v>
      </c>
      <c r="P689" s="58" t="s">
        <v>70</v>
      </c>
      <c r="Q689" s="53" t="s">
        <v>110</v>
      </c>
      <c r="R689" s="53" t="s">
        <v>84</v>
      </c>
      <c r="S689" s="53"/>
      <c r="T689" s="59">
        <v>1</v>
      </c>
      <c r="U689" s="59">
        <v>1</v>
      </c>
      <c r="V689" s="53">
        <v>11.1</v>
      </c>
      <c r="W689" s="53"/>
      <c r="X689" s="53"/>
      <c r="Y689" s="9">
        <f t="shared" si="10"/>
        <v>511.07694810476653</v>
      </c>
      <c r="Z689" s="60" t="s">
        <v>73</v>
      </c>
      <c r="AA689" s="58" t="s">
        <v>298</v>
      </c>
      <c r="AB689" s="58" t="s">
        <v>75</v>
      </c>
      <c r="AC689" s="61" t="s">
        <v>286</v>
      </c>
      <c r="AD689" s="53" t="s">
        <v>77</v>
      </c>
      <c r="AE689" s="56">
        <v>90.317570909999986</v>
      </c>
      <c r="AF689" s="62"/>
      <c r="AG689" s="63"/>
      <c r="AH689" s="61"/>
      <c r="AO689" s="66" t="s">
        <v>78</v>
      </c>
      <c r="AP689" s="65">
        <v>11.1</v>
      </c>
      <c r="AQ689" s="65">
        <v>11.1</v>
      </c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65"/>
      <c r="BH689" s="65"/>
      <c r="BI689" s="65"/>
      <c r="BJ689" s="65"/>
      <c r="BK689" s="65"/>
      <c r="BL689" s="65"/>
      <c r="BM689" s="65"/>
      <c r="BN689" s="65"/>
      <c r="BO689" s="65"/>
    </row>
    <row r="690" spans="1:67" s="58" customFormat="1" x14ac:dyDescent="0.2">
      <c r="A690" s="49"/>
      <c r="B690" s="50"/>
      <c r="C690" s="51"/>
      <c r="D690" s="49"/>
      <c r="E690" s="49"/>
      <c r="F690" s="52"/>
      <c r="G690" s="53"/>
      <c r="H690" s="54"/>
      <c r="I690" s="55"/>
      <c r="J690" s="53"/>
      <c r="K690" s="53"/>
      <c r="L690" s="53"/>
      <c r="M690" s="56"/>
      <c r="N690" s="53"/>
      <c r="O690" s="57"/>
      <c r="Q690" s="53"/>
      <c r="R690" s="53"/>
      <c r="S690" s="53"/>
      <c r="T690" s="59"/>
      <c r="U690" s="59"/>
      <c r="V690" s="53"/>
      <c r="W690" s="53"/>
      <c r="X690" s="53"/>
      <c r="Y690" s="9" t="e">
        <f t="shared" si="10"/>
        <v>#DIV/0!</v>
      </c>
      <c r="Z690" s="60"/>
      <c r="AC690" s="61"/>
      <c r="AD690" s="53"/>
      <c r="AE690" s="56"/>
      <c r="AF690" s="62"/>
      <c r="AG690" s="63"/>
      <c r="AH690" s="61"/>
      <c r="AO690" s="64" t="s">
        <v>79</v>
      </c>
      <c r="AP690" s="65">
        <v>3.7</v>
      </c>
      <c r="AQ690" s="65">
        <v>3.7</v>
      </c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  <c r="BM690" s="65"/>
      <c r="BN690" s="65"/>
      <c r="BO690" s="65"/>
    </row>
    <row r="691" spans="1:67" s="58" customFormat="1" x14ac:dyDescent="0.2">
      <c r="A691" s="49"/>
      <c r="B691" s="50"/>
      <c r="C691" s="51"/>
      <c r="D691" s="49"/>
      <c r="E691" s="49"/>
      <c r="F691" s="52"/>
      <c r="G691" s="53"/>
      <c r="H691" s="54"/>
      <c r="I691" s="55"/>
      <c r="J691" s="53"/>
      <c r="K691" s="53"/>
      <c r="L691" s="53"/>
      <c r="M691" s="56"/>
      <c r="N691" s="53"/>
      <c r="O691" s="57"/>
      <c r="Q691" s="53"/>
      <c r="R691" s="53"/>
      <c r="S691" s="53"/>
      <c r="T691" s="59"/>
      <c r="U691" s="59"/>
      <c r="V691" s="53"/>
      <c r="W691" s="53"/>
      <c r="X691" s="53"/>
      <c r="Y691" s="9" t="e">
        <f t="shared" si="10"/>
        <v>#DIV/0!</v>
      </c>
      <c r="Z691" s="60"/>
      <c r="AC691" s="61"/>
      <c r="AD691" s="53"/>
      <c r="AE691" s="56"/>
      <c r="AF691" s="62"/>
      <c r="AG691" s="63"/>
      <c r="AH691" s="61"/>
      <c r="AO691" s="64" t="s">
        <v>80</v>
      </c>
      <c r="AP691" s="65">
        <v>2.8</v>
      </c>
      <c r="AQ691" s="65">
        <v>2.8</v>
      </c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  <c r="BE691" s="65"/>
      <c r="BF691" s="65"/>
      <c r="BG691" s="65"/>
      <c r="BH691" s="65"/>
      <c r="BI691" s="65"/>
      <c r="BJ691" s="65"/>
      <c r="BK691" s="65"/>
      <c r="BL691" s="65"/>
      <c r="BM691" s="65"/>
      <c r="BN691" s="65"/>
      <c r="BO691" s="65"/>
    </row>
    <row r="692" spans="1:67" s="58" customFormat="1" x14ac:dyDescent="0.2">
      <c r="A692" s="49" t="s">
        <v>67</v>
      </c>
      <c r="B692" s="50">
        <v>43286</v>
      </c>
      <c r="C692" s="51">
        <v>0.49791666666666701</v>
      </c>
      <c r="D692" s="49" t="s">
        <v>113</v>
      </c>
      <c r="E692" s="49"/>
      <c r="F692" s="52">
        <v>62.5</v>
      </c>
      <c r="G692" s="53">
        <v>1</v>
      </c>
      <c r="H692" s="54">
        <v>1.6E-2</v>
      </c>
      <c r="I692" s="55">
        <v>6.83E-2</v>
      </c>
      <c r="J692" s="53">
        <v>314.15899999999999</v>
      </c>
      <c r="K692" s="53">
        <v>0.61470000000000002</v>
      </c>
      <c r="L692" s="53">
        <v>9</v>
      </c>
      <c r="M692" s="56">
        <v>511.07694810476653</v>
      </c>
      <c r="N692" s="53">
        <v>145</v>
      </c>
      <c r="O692" s="57" t="s">
        <v>69</v>
      </c>
      <c r="P692" s="58" t="s">
        <v>70</v>
      </c>
      <c r="Q692" s="53" t="s">
        <v>71</v>
      </c>
      <c r="R692" s="53" t="s">
        <v>72</v>
      </c>
      <c r="S692" s="53"/>
      <c r="T692" s="59">
        <v>1</v>
      </c>
      <c r="U692" s="59">
        <v>1</v>
      </c>
      <c r="V692" s="53">
        <v>22.2</v>
      </c>
      <c r="W692" s="53"/>
      <c r="X692" s="53"/>
      <c r="Y692" s="9">
        <f t="shared" si="10"/>
        <v>511.07694810476653</v>
      </c>
      <c r="Z692" s="60" t="s">
        <v>73</v>
      </c>
      <c r="AA692" s="58" t="s">
        <v>298</v>
      </c>
      <c r="AB692" s="58" t="s">
        <v>75</v>
      </c>
      <c r="AC692" s="61" t="s">
        <v>286</v>
      </c>
      <c r="AD692" s="53" t="s">
        <v>77</v>
      </c>
      <c r="AE692" s="56">
        <v>954.78574961999993</v>
      </c>
      <c r="AF692" s="62"/>
      <c r="AG692" s="63"/>
      <c r="AH692" s="61"/>
      <c r="AO692" s="66" t="s">
        <v>78</v>
      </c>
      <c r="AP692" s="65">
        <v>22.2</v>
      </c>
      <c r="AQ692" s="65">
        <v>22.2</v>
      </c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  <c r="BE692" s="65"/>
      <c r="BF692" s="65"/>
      <c r="BG692" s="65"/>
      <c r="BH692" s="65"/>
      <c r="BI692" s="65"/>
      <c r="BJ692" s="65"/>
      <c r="BK692" s="65"/>
      <c r="BL692" s="65"/>
      <c r="BM692" s="65"/>
      <c r="BN692" s="65"/>
      <c r="BO692" s="65"/>
    </row>
    <row r="693" spans="1:67" s="58" customFormat="1" x14ac:dyDescent="0.2">
      <c r="A693" s="49"/>
      <c r="B693" s="50"/>
      <c r="C693" s="51"/>
      <c r="D693" s="49"/>
      <c r="E693" s="49"/>
      <c r="F693" s="52"/>
      <c r="G693" s="53"/>
      <c r="H693" s="54"/>
      <c r="I693" s="55"/>
      <c r="J693" s="53"/>
      <c r="K693" s="53"/>
      <c r="L693" s="53"/>
      <c r="M693" s="56"/>
      <c r="N693" s="53"/>
      <c r="O693" s="57"/>
      <c r="Q693" s="53"/>
      <c r="R693" s="53"/>
      <c r="S693" s="53"/>
      <c r="T693" s="59"/>
      <c r="U693" s="59"/>
      <c r="V693" s="53"/>
      <c r="W693" s="53"/>
      <c r="X693" s="53"/>
      <c r="Y693" s="9" t="e">
        <f t="shared" si="10"/>
        <v>#DIV/0!</v>
      </c>
      <c r="Z693" s="60"/>
      <c r="AC693" s="61"/>
      <c r="AD693" s="53"/>
      <c r="AE693" s="56"/>
      <c r="AF693" s="62"/>
      <c r="AG693" s="63"/>
      <c r="AH693" s="61"/>
      <c r="AO693" s="64" t="s">
        <v>79</v>
      </c>
      <c r="AP693" s="65">
        <v>14.8</v>
      </c>
      <c r="AQ693" s="65">
        <v>14.8</v>
      </c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65"/>
      <c r="BH693" s="65"/>
      <c r="BI693" s="65"/>
      <c r="BJ693" s="65"/>
      <c r="BK693" s="65"/>
      <c r="BL693" s="65"/>
      <c r="BM693" s="65"/>
      <c r="BN693" s="65"/>
      <c r="BO693" s="65"/>
    </row>
    <row r="694" spans="1:67" s="58" customFormat="1" x14ac:dyDescent="0.2">
      <c r="A694" s="49"/>
      <c r="B694" s="50"/>
      <c r="C694" s="51"/>
      <c r="D694" s="49"/>
      <c r="E694" s="49"/>
      <c r="F694" s="52"/>
      <c r="G694" s="53"/>
      <c r="H694" s="54"/>
      <c r="I694" s="55"/>
      <c r="J694" s="53"/>
      <c r="K694" s="53"/>
      <c r="L694" s="53"/>
      <c r="M694" s="56"/>
      <c r="N694" s="53"/>
      <c r="O694" s="57"/>
      <c r="Q694" s="53"/>
      <c r="R694" s="53"/>
      <c r="S694" s="53"/>
      <c r="T694" s="59"/>
      <c r="U694" s="59"/>
      <c r="V694" s="53"/>
      <c r="W694" s="53"/>
      <c r="X694" s="53"/>
      <c r="Y694" s="9" t="e">
        <f t="shared" si="10"/>
        <v>#DIV/0!</v>
      </c>
      <c r="Z694" s="60"/>
      <c r="AC694" s="61"/>
      <c r="AD694" s="53"/>
      <c r="AE694" s="56"/>
      <c r="AF694" s="62"/>
      <c r="AG694" s="63"/>
      <c r="AH694" s="61"/>
      <c r="AO694" s="64" t="s">
        <v>80</v>
      </c>
      <c r="AP694" s="65">
        <v>3.7</v>
      </c>
      <c r="AQ694" s="65">
        <v>3.7</v>
      </c>
      <c r="AR694" s="65"/>
      <c r="AS694" s="65"/>
      <c r="AT694" s="65"/>
      <c r="AU694" s="65"/>
      <c r="AV694" s="65"/>
      <c r="AW694" s="65"/>
      <c r="AX694" s="65"/>
      <c r="AY694" s="65"/>
      <c r="AZ694" s="65"/>
      <c r="BA694" s="65"/>
      <c r="BB694" s="65"/>
      <c r="BC694" s="65"/>
      <c r="BD694" s="65"/>
      <c r="BE694" s="65"/>
      <c r="BF694" s="65"/>
      <c r="BG694" s="65"/>
      <c r="BH694" s="65"/>
      <c r="BI694" s="65"/>
      <c r="BJ694" s="65"/>
      <c r="BK694" s="65"/>
      <c r="BL694" s="65"/>
      <c r="BM694" s="65"/>
      <c r="BN694" s="65"/>
      <c r="BO694" s="65"/>
    </row>
    <row r="695" spans="1:67" s="58" customFormat="1" x14ac:dyDescent="0.2">
      <c r="A695" s="49" t="s">
        <v>67</v>
      </c>
      <c r="B695" s="50">
        <v>43286</v>
      </c>
      <c r="C695" s="51">
        <v>0.49791666666666701</v>
      </c>
      <c r="D695" s="49" t="s">
        <v>113</v>
      </c>
      <c r="E695" s="49"/>
      <c r="F695" s="52">
        <v>62.5</v>
      </c>
      <c r="G695" s="53">
        <v>1</v>
      </c>
      <c r="H695" s="54">
        <v>1.6E-2</v>
      </c>
      <c r="I695" s="55">
        <v>6.83E-2</v>
      </c>
      <c r="J695" s="53">
        <v>314.15899999999999</v>
      </c>
      <c r="K695" s="53">
        <v>0.61470000000000002</v>
      </c>
      <c r="L695" s="53">
        <v>9</v>
      </c>
      <c r="M695" s="56">
        <v>511.07694810476653</v>
      </c>
      <c r="N695" s="53">
        <v>1037</v>
      </c>
      <c r="O695" s="57" t="s">
        <v>86</v>
      </c>
      <c r="P695" s="57" t="s">
        <v>82</v>
      </c>
      <c r="Q695" s="53" t="s">
        <v>87</v>
      </c>
      <c r="R695" s="53" t="s">
        <v>84</v>
      </c>
      <c r="S695" s="53"/>
      <c r="T695" s="59">
        <v>13</v>
      </c>
      <c r="U695" s="59">
        <v>13</v>
      </c>
      <c r="V695" s="53">
        <v>2.8</v>
      </c>
      <c r="W695" s="53"/>
      <c r="X695" s="53"/>
      <c r="Y695" s="9">
        <f t="shared" si="10"/>
        <v>6644.0003253619652</v>
      </c>
      <c r="Z695" s="60" t="s">
        <v>73</v>
      </c>
      <c r="AA695" s="58" t="s">
        <v>298</v>
      </c>
      <c r="AB695" s="58" t="s">
        <v>75</v>
      </c>
      <c r="AC695" s="61" t="s">
        <v>286</v>
      </c>
      <c r="AD695" s="53" t="s">
        <v>85</v>
      </c>
      <c r="AE695" s="56">
        <v>7.2382233599999992</v>
      </c>
      <c r="AF695" s="62"/>
      <c r="AG695" s="63"/>
      <c r="AH695" s="61"/>
      <c r="AO695" s="66" t="s">
        <v>78</v>
      </c>
      <c r="AP695" s="65">
        <v>2.4400000000000004</v>
      </c>
      <c r="AQ695" s="65">
        <v>2.8</v>
      </c>
      <c r="AR695" s="65">
        <v>2.8</v>
      </c>
      <c r="AS695" s="65">
        <v>1.9</v>
      </c>
      <c r="AT695" s="65">
        <v>2.8</v>
      </c>
      <c r="AU695" s="65">
        <v>1.9</v>
      </c>
      <c r="AV695" s="65"/>
      <c r="AW695" s="65"/>
      <c r="AX695" s="65"/>
      <c r="AY695" s="65"/>
      <c r="AZ695" s="65"/>
      <c r="BA695" s="65"/>
      <c r="BB695" s="65"/>
      <c r="BC695" s="65"/>
      <c r="BD695" s="65"/>
      <c r="BE695" s="65"/>
      <c r="BF695" s="65"/>
      <c r="BG695" s="65"/>
      <c r="BH695" s="65"/>
      <c r="BI695" s="65"/>
      <c r="BJ695" s="65"/>
      <c r="BK695" s="65"/>
      <c r="BL695" s="65"/>
      <c r="BM695" s="65"/>
      <c r="BN695" s="65"/>
      <c r="BO695" s="65"/>
    </row>
    <row r="696" spans="1:67" s="58" customFormat="1" x14ac:dyDescent="0.2">
      <c r="A696" s="49" t="s">
        <v>67</v>
      </c>
      <c r="B696" s="50">
        <v>43286</v>
      </c>
      <c r="C696" s="51">
        <v>0.49791666666666701</v>
      </c>
      <c r="D696" s="49" t="s">
        <v>113</v>
      </c>
      <c r="E696" s="49"/>
      <c r="F696" s="52">
        <v>62.5</v>
      </c>
      <c r="G696" s="53">
        <v>1</v>
      </c>
      <c r="H696" s="54">
        <v>1.6E-2</v>
      </c>
      <c r="I696" s="55">
        <v>6.83E-2</v>
      </c>
      <c r="J696" s="53">
        <v>314.15899999999999</v>
      </c>
      <c r="K696" s="53">
        <v>0.61470000000000002</v>
      </c>
      <c r="L696" s="53">
        <v>9</v>
      </c>
      <c r="M696" s="56">
        <v>511.07694810476653</v>
      </c>
      <c r="N696" s="53">
        <v>1692</v>
      </c>
      <c r="O696" s="58" t="s">
        <v>179</v>
      </c>
      <c r="P696" s="57" t="s">
        <v>82</v>
      </c>
      <c r="Q696" s="53" t="s">
        <v>180</v>
      </c>
      <c r="R696" s="53" t="s">
        <v>84</v>
      </c>
      <c r="S696" s="53"/>
      <c r="T696" s="59">
        <v>1</v>
      </c>
      <c r="U696" s="59">
        <v>1</v>
      </c>
      <c r="V696" s="53">
        <v>7.4</v>
      </c>
      <c r="W696" s="53"/>
      <c r="X696" s="53"/>
      <c r="Y696" s="9">
        <f t="shared" si="10"/>
        <v>511.07694810476653</v>
      </c>
      <c r="Z696" s="60" t="s">
        <v>73</v>
      </c>
      <c r="AA696" s="58" t="s">
        <v>298</v>
      </c>
      <c r="AB696" s="58" t="s">
        <v>75</v>
      </c>
      <c r="AC696" s="61" t="s">
        <v>286</v>
      </c>
      <c r="AD696" s="53" t="s">
        <v>120</v>
      </c>
      <c r="AE696" s="56">
        <v>121.50832362666665</v>
      </c>
      <c r="AF696" s="62"/>
      <c r="AG696" s="63"/>
      <c r="AH696" s="61"/>
      <c r="AO696" s="66" t="s">
        <v>78</v>
      </c>
      <c r="AP696" s="65">
        <v>7.4</v>
      </c>
      <c r="AQ696" s="65">
        <v>7.4</v>
      </c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/>
      <c r="BD696" s="65"/>
      <c r="BE696" s="65"/>
      <c r="BF696" s="65"/>
      <c r="BG696" s="65"/>
      <c r="BH696" s="65"/>
      <c r="BI696" s="65"/>
      <c r="BJ696" s="65"/>
      <c r="BK696" s="65"/>
      <c r="BL696" s="65"/>
      <c r="BM696" s="65"/>
      <c r="BN696" s="65"/>
      <c r="BO696" s="65"/>
    </row>
    <row r="697" spans="1:67" s="58" customFormat="1" x14ac:dyDescent="0.2">
      <c r="A697" s="49"/>
      <c r="B697" s="50"/>
      <c r="C697" s="51"/>
      <c r="D697" s="49"/>
      <c r="E697" s="49"/>
      <c r="F697" s="52"/>
      <c r="G697" s="53"/>
      <c r="H697" s="54"/>
      <c r="I697" s="55"/>
      <c r="J697" s="53"/>
      <c r="K697" s="53"/>
      <c r="L697" s="53"/>
      <c r="M697" s="56"/>
      <c r="N697" s="53"/>
      <c r="P697" s="57"/>
      <c r="Q697" s="53"/>
      <c r="R697" s="53"/>
      <c r="S697" s="53"/>
      <c r="T697" s="59"/>
      <c r="U697" s="59"/>
      <c r="V697" s="53"/>
      <c r="W697" s="53"/>
      <c r="X697" s="53"/>
      <c r="Y697" s="9" t="e">
        <f t="shared" si="10"/>
        <v>#DIV/0!</v>
      </c>
      <c r="Z697" s="60"/>
      <c r="AC697" s="61"/>
      <c r="AD697" s="53"/>
      <c r="AE697" s="56"/>
      <c r="AF697" s="62"/>
      <c r="AG697" s="63"/>
      <c r="AH697" s="61"/>
      <c r="AO697" s="64" t="s">
        <v>79</v>
      </c>
      <c r="AP697" s="65">
        <v>5.6</v>
      </c>
      <c r="AQ697" s="65">
        <v>5.6</v>
      </c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  <c r="BJ697" s="65"/>
      <c r="BK697" s="65"/>
      <c r="BL697" s="65"/>
      <c r="BM697" s="65"/>
      <c r="BN697" s="65"/>
      <c r="BO697" s="65"/>
    </row>
    <row r="698" spans="1:67" s="58" customFormat="1" x14ac:dyDescent="0.2">
      <c r="A698" s="49" t="s">
        <v>67</v>
      </c>
      <c r="B698" s="50">
        <v>43286</v>
      </c>
      <c r="C698" s="51">
        <v>0.49791666666666701</v>
      </c>
      <c r="D698" s="49" t="s">
        <v>113</v>
      </c>
      <c r="E698" s="49"/>
      <c r="F698" s="52">
        <v>62.5</v>
      </c>
      <c r="G698" s="53">
        <v>1</v>
      </c>
      <c r="H698" s="54">
        <v>1.6E-2</v>
      </c>
      <c r="I698" s="55">
        <v>6.83E-2</v>
      </c>
      <c r="J698" s="53">
        <v>314.15899999999999</v>
      </c>
      <c r="K698" s="53">
        <v>0.61470000000000002</v>
      </c>
      <c r="L698" s="53">
        <v>9</v>
      </c>
      <c r="M698" s="56">
        <v>511.07694810476653</v>
      </c>
      <c r="N698" s="53">
        <v>1364</v>
      </c>
      <c r="O698" s="57" t="s">
        <v>88</v>
      </c>
      <c r="P698" s="57" t="s">
        <v>82</v>
      </c>
      <c r="Q698" s="53" t="s">
        <v>89</v>
      </c>
      <c r="R698" s="53" t="s">
        <v>90</v>
      </c>
      <c r="S698" s="53"/>
      <c r="T698" s="59">
        <v>1</v>
      </c>
      <c r="U698" s="59">
        <v>1</v>
      </c>
      <c r="V698" s="53">
        <v>9.3000000000000007</v>
      </c>
      <c r="W698" s="53"/>
      <c r="X698" s="53"/>
      <c r="Y698" s="9">
        <f t="shared" si="10"/>
        <v>511.07694810476653</v>
      </c>
      <c r="Z698" s="60" t="s">
        <v>73</v>
      </c>
      <c r="AA698" s="58" t="s">
        <v>298</v>
      </c>
      <c r="AB698" s="58" t="s">
        <v>75</v>
      </c>
      <c r="AC698" s="61" t="s">
        <v>286</v>
      </c>
      <c r="AD698" s="53" t="s">
        <v>91</v>
      </c>
      <c r="AE698" s="56">
        <v>314.73783795749995</v>
      </c>
      <c r="AF698" s="62"/>
      <c r="AG698" s="63"/>
      <c r="AH698" s="61"/>
      <c r="AO698" s="66" t="s">
        <v>78</v>
      </c>
      <c r="AP698" s="65">
        <v>9.3000000000000007</v>
      </c>
      <c r="AQ698" s="65">
        <v>9.3000000000000007</v>
      </c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  <c r="BJ698" s="65"/>
      <c r="BK698" s="65"/>
      <c r="BL698" s="65"/>
      <c r="BM698" s="65"/>
      <c r="BN698" s="65"/>
      <c r="BO698" s="65"/>
    </row>
    <row r="699" spans="1:67" s="58" customFormat="1" x14ac:dyDescent="0.2">
      <c r="A699" s="49"/>
      <c r="B699" s="50"/>
      <c r="C699" s="51"/>
      <c r="D699" s="49"/>
      <c r="E699" s="49"/>
      <c r="F699" s="52"/>
      <c r="G699" s="53"/>
      <c r="H699" s="54"/>
      <c r="I699" s="55"/>
      <c r="J699" s="53"/>
      <c r="K699" s="53"/>
      <c r="L699" s="53"/>
      <c r="M699" s="56"/>
      <c r="N699" s="53"/>
      <c r="O699" s="57"/>
      <c r="P699" s="57"/>
      <c r="Q699" s="53"/>
      <c r="R699" s="53"/>
      <c r="S699" s="53"/>
      <c r="T699" s="59"/>
      <c r="U699" s="59"/>
      <c r="V699" s="53"/>
      <c r="W699" s="53"/>
      <c r="X699" s="53"/>
      <c r="Y699" s="9" t="e">
        <f t="shared" si="10"/>
        <v>#DIV/0!</v>
      </c>
      <c r="Z699" s="60"/>
      <c r="AC699" s="61"/>
      <c r="AD699" s="53"/>
      <c r="AE699" s="56"/>
      <c r="AF699" s="62"/>
      <c r="AG699" s="63"/>
      <c r="AH699" s="61"/>
      <c r="AO699" s="64" t="s">
        <v>79</v>
      </c>
      <c r="AP699" s="65">
        <v>4.5999999999999996</v>
      </c>
      <c r="AQ699" s="65">
        <v>4.5999999999999996</v>
      </c>
      <c r="AR699" s="65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65"/>
      <c r="BH699" s="65"/>
      <c r="BI699" s="65"/>
      <c r="BJ699" s="65"/>
      <c r="BK699" s="65"/>
      <c r="BL699" s="65"/>
      <c r="BM699" s="65"/>
      <c r="BN699" s="65"/>
      <c r="BO699" s="65"/>
    </row>
    <row r="700" spans="1:67" s="58" customFormat="1" x14ac:dyDescent="0.2">
      <c r="A700" s="49" t="s">
        <v>67</v>
      </c>
      <c r="B700" s="50">
        <v>43286</v>
      </c>
      <c r="C700" s="51">
        <v>0.49791666666666701</v>
      </c>
      <c r="D700" s="49" t="s">
        <v>113</v>
      </c>
      <c r="E700" s="49"/>
      <c r="F700" s="52">
        <v>62.5</v>
      </c>
      <c r="G700" s="53">
        <v>1</v>
      </c>
      <c r="H700" s="54">
        <v>1.6E-2</v>
      </c>
      <c r="I700" s="55">
        <v>6.83E-2</v>
      </c>
      <c r="J700" s="53">
        <v>314.15899999999999</v>
      </c>
      <c r="K700" s="53">
        <v>0.61470000000000002</v>
      </c>
      <c r="L700" s="53">
        <v>9</v>
      </c>
      <c r="M700" s="56">
        <v>511.07694810476653</v>
      </c>
      <c r="N700" s="53">
        <v>1419</v>
      </c>
      <c r="O700" s="57" t="s">
        <v>94</v>
      </c>
      <c r="P700" s="57" t="s">
        <v>82</v>
      </c>
      <c r="Q700" s="53" t="s">
        <v>95</v>
      </c>
      <c r="R700" s="53" t="s">
        <v>96</v>
      </c>
      <c r="S700" s="53"/>
      <c r="T700" s="59">
        <v>399</v>
      </c>
      <c r="U700" s="59">
        <v>801</v>
      </c>
      <c r="V700" s="53">
        <v>0.8</v>
      </c>
      <c r="W700" s="53">
        <v>0.8</v>
      </c>
      <c r="X700" s="53">
        <v>0.8</v>
      </c>
      <c r="Y700" s="9">
        <f t="shared" si="10"/>
        <v>203919.70229380182</v>
      </c>
      <c r="Z700" s="60" t="s">
        <v>97</v>
      </c>
      <c r="AA700" s="58" t="s">
        <v>298</v>
      </c>
      <c r="AB700" s="58" t="s">
        <v>75</v>
      </c>
      <c r="AC700" s="61" t="s">
        <v>286</v>
      </c>
      <c r="AD700" s="53" t="s">
        <v>85</v>
      </c>
      <c r="AE700" s="56">
        <v>0.18</v>
      </c>
      <c r="AF700" s="56">
        <v>0.18</v>
      </c>
      <c r="AG700" s="56">
        <v>0.18</v>
      </c>
      <c r="AH700" s="56">
        <v>0.18</v>
      </c>
      <c r="AI700" s="56">
        <v>0.18</v>
      </c>
      <c r="AJ700" s="56">
        <v>0.18</v>
      </c>
      <c r="AK700" s="56">
        <v>0.18</v>
      </c>
      <c r="AL700" s="56">
        <v>0.18</v>
      </c>
      <c r="AM700" s="56">
        <v>0.18</v>
      </c>
      <c r="AN700" s="56">
        <v>0.18</v>
      </c>
      <c r="AO700" s="66" t="s">
        <v>78</v>
      </c>
      <c r="AP700" s="65">
        <v>0.75200000000000033</v>
      </c>
      <c r="AQ700" s="65">
        <v>0.7</v>
      </c>
      <c r="AR700" s="65">
        <v>0.7</v>
      </c>
      <c r="AS700" s="65">
        <v>0.7</v>
      </c>
      <c r="AT700" s="65">
        <v>0.7</v>
      </c>
      <c r="AU700" s="65">
        <v>0.7</v>
      </c>
      <c r="AV700" s="65">
        <v>0.7</v>
      </c>
      <c r="AW700" s="65">
        <v>0.7</v>
      </c>
      <c r="AX700" s="65">
        <v>0.7</v>
      </c>
      <c r="AY700" s="65">
        <v>0.7</v>
      </c>
      <c r="AZ700" s="65">
        <v>0.7</v>
      </c>
      <c r="BA700" s="65">
        <v>0.7</v>
      </c>
      <c r="BB700" s="65">
        <v>0.7</v>
      </c>
      <c r="BC700" s="65">
        <v>0.8</v>
      </c>
      <c r="BD700" s="65">
        <v>0.8</v>
      </c>
      <c r="BE700" s="65">
        <v>0.8</v>
      </c>
      <c r="BF700" s="65">
        <v>0.8</v>
      </c>
      <c r="BG700" s="65">
        <v>0.8</v>
      </c>
      <c r="BH700" s="65">
        <v>0.8</v>
      </c>
      <c r="BI700" s="65">
        <v>0.8</v>
      </c>
      <c r="BJ700" s="65">
        <v>0.8</v>
      </c>
      <c r="BK700" s="65">
        <v>0.8</v>
      </c>
      <c r="BL700" s="65">
        <v>0.8</v>
      </c>
      <c r="BM700" s="65">
        <v>0.8</v>
      </c>
      <c r="BN700" s="65">
        <v>0.8</v>
      </c>
      <c r="BO700" s="65">
        <v>0.8</v>
      </c>
    </row>
    <row r="701" spans="1:67" s="58" customFormat="1" x14ac:dyDescent="0.2">
      <c r="A701" s="49" t="s">
        <v>67</v>
      </c>
      <c r="B701" s="50">
        <v>43256</v>
      </c>
      <c r="C701" s="51">
        <v>0.42708333333333298</v>
      </c>
      <c r="D701" s="49" t="s">
        <v>219</v>
      </c>
      <c r="E701" s="49"/>
      <c r="F701" s="52">
        <v>62</v>
      </c>
      <c r="G701" s="53">
        <v>2</v>
      </c>
      <c r="H701" s="54">
        <v>3.2258064516129031E-2</v>
      </c>
      <c r="I701" s="55">
        <v>6.83E-2</v>
      </c>
      <c r="J701" s="53">
        <v>314.15899999999999</v>
      </c>
      <c r="K701" s="53">
        <v>0.34150000000000003</v>
      </c>
      <c r="L701" s="53">
        <v>5</v>
      </c>
      <c r="M701" s="56">
        <v>459.96925329428984</v>
      </c>
      <c r="N701" s="53">
        <v>1037</v>
      </c>
      <c r="O701" s="57" t="s">
        <v>86</v>
      </c>
      <c r="P701" s="57" t="s">
        <v>82</v>
      </c>
      <c r="Q701" s="53" t="s">
        <v>87</v>
      </c>
      <c r="R701" s="53" t="s">
        <v>84</v>
      </c>
      <c r="S701" s="53"/>
      <c r="T701" s="59">
        <v>12</v>
      </c>
      <c r="U701" s="59">
        <v>12</v>
      </c>
      <c r="V701" s="53">
        <v>2.8</v>
      </c>
      <c r="W701" s="53"/>
      <c r="X701" s="53"/>
      <c r="Y701" s="9">
        <f t="shared" si="10"/>
        <v>5519.6310395314786</v>
      </c>
      <c r="Z701" s="60" t="s">
        <v>73</v>
      </c>
      <c r="AA701" s="58" t="s">
        <v>299</v>
      </c>
      <c r="AB701" s="58" t="s">
        <v>75</v>
      </c>
      <c r="AC701" s="61" t="s">
        <v>76</v>
      </c>
      <c r="AD701" s="53" t="s">
        <v>85</v>
      </c>
      <c r="AE701" s="56">
        <v>6.3706209216666645</v>
      </c>
      <c r="AF701" s="62"/>
      <c r="AG701" s="63"/>
      <c r="AH701" s="61"/>
      <c r="AO701" s="64" t="s">
        <v>78</v>
      </c>
      <c r="AP701" s="65">
        <v>2.2600000000000002</v>
      </c>
      <c r="AQ701" s="65">
        <v>2.8</v>
      </c>
      <c r="AR701" s="65">
        <v>1.9</v>
      </c>
      <c r="AS701" s="65">
        <v>1.9</v>
      </c>
      <c r="AT701" s="65">
        <v>1.9</v>
      </c>
      <c r="AU701" s="65">
        <v>2.8</v>
      </c>
      <c r="AV701" s="65"/>
      <c r="AW701" s="65"/>
      <c r="AX701" s="65"/>
      <c r="AY701" s="65"/>
      <c r="AZ701" s="65"/>
      <c r="BA701" s="65"/>
      <c r="BB701" s="65"/>
      <c r="BC701" s="65"/>
      <c r="BD701" s="65"/>
      <c r="BE701" s="65"/>
      <c r="BF701" s="65"/>
      <c r="BG701" s="65"/>
      <c r="BH701" s="65"/>
      <c r="BI701" s="65"/>
      <c r="BJ701" s="65"/>
      <c r="BK701" s="65"/>
      <c r="BL701" s="65"/>
      <c r="BM701" s="65"/>
      <c r="BN701" s="65"/>
      <c r="BO701" s="65"/>
    </row>
    <row r="702" spans="1:67" s="58" customFormat="1" x14ac:dyDescent="0.2">
      <c r="A702" s="49" t="s">
        <v>67</v>
      </c>
      <c r="B702" s="50">
        <v>43256</v>
      </c>
      <c r="C702" s="51">
        <v>0.42708333333333298</v>
      </c>
      <c r="D702" s="49" t="s">
        <v>219</v>
      </c>
      <c r="E702" s="49"/>
      <c r="F702" s="52">
        <v>62</v>
      </c>
      <c r="G702" s="53">
        <v>2</v>
      </c>
      <c r="H702" s="54">
        <v>3.2258064516129031E-2</v>
      </c>
      <c r="I702" s="55">
        <v>6.83E-2</v>
      </c>
      <c r="J702" s="53">
        <v>314.15899999999999</v>
      </c>
      <c r="K702" s="53">
        <v>0.34150000000000003</v>
      </c>
      <c r="L702" s="53">
        <v>5</v>
      </c>
      <c r="M702" s="56">
        <v>459.96925329428984</v>
      </c>
      <c r="N702" s="53">
        <v>1135</v>
      </c>
      <c r="O702" s="58" t="s">
        <v>282</v>
      </c>
      <c r="P702" s="57" t="s">
        <v>82</v>
      </c>
      <c r="Q702" s="53" t="s">
        <v>127</v>
      </c>
      <c r="R702" s="53" t="s">
        <v>283</v>
      </c>
      <c r="S702" s="53"/>
      <c r="T702" s="59">
        <v>3</v>
      </c>
      <c r="U702" s="59">
        <v>3</v>
      </c>
      <c r="V702" s="53">
        <v>10.199999999999999</v>
      </c>
      <c r="W702" s="53"/>
      <c r="X702" s="53"/>
      <c r="Y702" s="9">
        <f t="shared" si="10"/>
        <v>1379.9077598828696</v>
      </c>
      <c r="Z702" s="60" t="s">
        <v>73</v>
      </c>
      <c r="AA702" s="58" t="s">
        <v>299</v>
      </c>
      <c r="AB702" s="58" t="s">
        <v>75</v>
      </c>
      <c r="AC702" s="61" t="s">
        <v>76</v>
      </c>
      <c r="AD702" s="53" t="s">
        <v>129</v>
      </c>
      <c r="AE702" s="56">
        <v>22.807943399999999</v>
      </c>
      <c r="AF702" s="62"/>
      <c r="AG702" s="63"/>
      <c r="AH702" s="61"/>
      <c r="AO702" s="64" t="s">
        <v>78</v>
      </c>
      <c r="AP702" s="65">
        <v>8.9666666666666668</v>
      </c>
      <c r="AQ702" s="65">
        <v>7.4</v>
      </c>
      <c r="AR702" s="65">
        <v>10.199999999999999</v>
      </c>
      <c r="AS702" s="65">
        <v>9.3000000000000007</v>
      </c>
      <c r="AT702" s="65"/>
      <c r="AU702" s="65"/>
      <c r="AV702" s="65"/>
      <c r="AW702" s="65"/>
      <c r="AX702" s="65"/>
      <c r="AY702" s="65"/>
      <c r="AZ702" s="65"/>
      <c r="BA702" s="65"/>
      <c r="BB702" s="65"/>
      <c r="BC702" s="65"/>
      <c r="BD702" s="65"/>
      <c r="BE702" s="65"/>
      <c r="BF702" s="65"/>
      <c r="BG702" s="65"/>
      <c r="BH702" s="65"/>
      <c r="BI702" s="65"/>
      <c r="BJ702" s="65"/>
      <c r="BK702" s="65"/>
      <c r="BL702" s="65"/>
      <c r="BM702" s="65"/>
      <c r="BN702" s="65"/>
      <c r="BO702" s="65"/>
    </row>
    <row r="703" spans="1:67" s="58" customFormat="1" x14ac:dyDescent="0.2">
      <c r="A703" s="49"/>
      <c r="B703" s="50"/>
      <c r="C703" s="51"/>
      <c r="D703" s="49"/>
      <c r="E703" s="49"/>
      <c r="F703" s="52"/>
      <c r="G703" s="53"/>
      <c r="H703" s="54"/>
      <c r="I703" s="55"/>
      <c r="J703" s="53"/>
      <c r="K703" s="53"/>
      <c r="L703" s="53"/>
      <c r="M703" s="56"/>
      <c r="N703" s="53"/>
      <c r="P703" s="57"/>
      <c r="Q703" s="53"/>
      <c r="R703" s="53"/>
      <c r="S703" s="53"/>
      <c r="T703" s="59"/>
      <c r="U703" s="59"/>
      <c r="V703" s="53"/>
      <c r="W703" s="53"/>
      <c r="X703" s="53"/>
      <c r="Y703" s="9" t="e">
        <f t="shared" si="10"/>
        <v>#DIV/0!</v>
      </c>
      <c r="Z703" s="60"/>
      <c r="AC703" s="61"/>
      <c r="AD703" s="53"/>
      <c r="AE703" s="56"/>
      <c r="AF703" s="62"/>
      <c r="AG703" s="63"/>
      <c r="AH703" s="61"/>
      <c r="AO703" s="64" t="s">
        <v>79</v>
      </c>
      <c r="AP703" s="65">
        <v>2.1999999999999997</v>
      </c>
      <c r="AQ703" s="65">
        <v>1.9</v>
      </c>
      <c r="AR703" s="65">
        <v>2.8</v>
      </c>
      <c r="AS703" s="65">
        <v>1.9</v>
      </c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  <c r="BD703" s="65"/>
      <c r="BE703" s="65"/>
      <c r="BF703" s="65"/>
      <c r="BG703" s="65"/>
      <c r="BH703" s="65"/>
      <c r="BI703" s="65"/>
      <c r="BJ703" s="65"/>
      <c r="BK703" s="65"/>
      <c r="BL703" s="65"/>
      <c r="BM703" s="65"/>
      <c r="BN703" s="65"/>
      <c r="BO703" s="65"/>
    </row>
    <row r="704" spans="1:67" s="58" customFormat="1" x14ac:dyDescent="0.2">
      <c r="A704" s="49" t="s">
        <v>67</v>
      </c>
      <c r="B704" s="50">
        <v>43256</v>
      </c>
      <c r="C704" s="51">
        <v>0.42708333333333298</v>
      </c>
      <c r="D704" s="49" t="s">
        <v>219</v>
      </c>
      <c r="E704" s="49"/>
      <c r="F704" s="52">
        <v>62</v>
      </c>
      <c r="G704" s="53">
        <v>2</v>
      </c>
      <c r="H704" s="54">
        <v>3.2258064516129031E-2</v>
      </c>
      <c r="I704" s="55">
        <v>6.83E-2</v>
      </c>
      <c r="J704" s="53">
        <v>314.15899999999999</v>
      </c>
      <c r="K704" s="53">
        <v>0.34150000000000003</v>
      </c>
      <c r="L704" s="53">
        <v>5</v>
      </c>
      <c r="M704" s="56">
        <v>459.96925329428984</v>
      </c>
      <c r="N704" s="53">
        <v>1733</v>
      </c>
      <c r="O704" s="57" t="s">
        <v>92</v>
      </c>
      <c r="P704" s="57" t="s">
        <v>82</v>
      </c>
      <c r="Q704" s="53" t="s">
        <v>89</v>
      </c>
      <c r="R704" s="53" t="s">
        <v>93</v>
      </c>
      <c r="S704" s="53"/>
      <c r="T704" s="59">
        <v>2</v>
      </c>
      <c r="U704" s="59">
        <v>2</v>
      </c>
      <c r="V704" s="53">
        <v>6.5</v>
      </c>
      <c r="W704" s="53"/>
      <c r="X704" s="53"/>
      <c r="Y704" s="9">
        <f t="shared" si="10"/>
        <v>919.93850658857968</v>
      </c>
      <c r="Z704" s="60" t="s">
        <v>73</v>
      </c>
      <c r="AA704" s="58" t="s">
        <v>299</v>
      </c>
      <c r="AB704" s="58" t="s">
        <v>75</v>
      </c>
      <c r="AC704" s="61" t="s">
        <v>76</v>
      </c>
      <c r="AD704" s="53" t="s">
        <v>91</v>
      </c>
      <c r="AE704" s="56">
        <v>91.570541721666629</v>
      </c>
      <c r="AF704" s="62"/>
      <c r="AG704" s="63"/>
      <c r="AH704" s="61"/>
      <c r="AO704" s="64" t="s">
        <v>78</v>
      </c>
      <c r="AP704" s="65">
        <v>6.05</v>
      </c>
      <c r="AQ704" s="65">
        <v>6.5</v>
      </c>
      <c r="AR704" s="65">
        <v>5.6</v>
      </c>
      <c r="AS704" s="65"/>
      <c r="AT704" s="65"/>
      <c r="AU704" s="65"/>
      <c r="AV704" s="65"/>
      <c r="AW704" s="65"/>
      <c r="AX704" s="65"/>
      <c r="AY704" s="65"/>
      <c r="AZ704" s="65"/>
      <c r="BA704" s="65"/>
      <c r="BB704" s="65"/>
      <c r="BC704" s="65"/>
      <c r="BD704" s="65"/>
      <c r="BE704" s="65"/>
      <c r="BF704" s="65"/>
      <c r="BG704" s="65"/>
      <c r="BH704" s="65"/>
      <c r="BI704" s="65"/>
      <c r="BJ704" s="65"/>
      <c r="BK704" s="65"/>
      <c r="BL704" s="65"/>
      <c r="BM704" s="65"/>
      <c r="BN704" s="65"/>
      <c r="BO704" s="65"/>
    </row>
    <row r="705" spans="1:67" s="58" customFormat="1" x14ac:dyDescent="0.2">
      <c r="A705" s="49"/>
      <c r="B705" s="50"/>
      <c r="C705" s="51"/>
      <c r="D705" s="49"/>
      <c r="E705" s="49"/>
      <c r="F705" s="52"/>
      <c r="G705" s="53"/>
      <c r="H705" s="54"/>
      <c r="I705" s="55"/>
      <c r="J705" s="53"/>
      <c r="K705" s="53"/>
      <c r="L705" s="53"/>
      <c r="M705" s="56"/>
      <c r="N705" s="53"/>
      <c r="O705" s="57"/>
      <c r="P705" s="57"/>
      <c r="Q705" s="53"/>
      <c r="R705" s="53"/>
      <c r="S705" s="53"/>
      <c r="T705" s="59"/>
      <c r="U705" s="59"/>
      <c r="V705" s="53"/>
      <c r="W705" s="53"/>
      <c r="X705" s="53"/>
      <c r="Y705" s="9" t="e">
        <f t="shared" si="10"/>
        <v>#DIV/0!</v>
      </c>
      <c r="Z705" s="60"/>
      <c r="AC705" s="61"/>
      <c r="AD705" s="53"/>
      <c r="AE705" s="56"/>
      <c r="AF705" s="62"/>
      <c r="AG705" s="63"/>
      <c r="AH705" s="61"/>
      <c r="AO705" s="64" t="s">
        <v>79</v>
      </c>
      <c r="AP705" s="65">
        <v>3.25</v>
      </c>
      <c r="AQ705" s="65">
        <v>3.7</v>
      </c>
      <c r="AR705" s="65">
        <v>2.8</v>
      </c>
      <c r="AS705" s="65"/>
      <c r="AT705" s="65"/>
      <c r="AU705" s="65"/>
      <c r="AV705" s="65"/>
      <c r="AW705" s="65"/>
      <c r="AX705" s="65"/>
      <c r="AY705" s="65"/>
      <c r="AZ705" s="65"/>
      <c r="BA705" s="65"/>
      <c r="BB705" s="65"/>
      <c r="BC705" s="65"/>
      <c r="BD705" s="65"/>
      <c r="BE705" s="65"/>
      <c r="BF705" s="65"/>
      <c r="BG705" s="65"/>
      <c r="BH705" s="65"/>
      <c r="BI705" s="65"/>
      <c r="BJ705" s="65"/>
      <c r="BK705" s="65"/>
      <c r="BL705" s="65"/>
      <c r="BM705" s="65"/>
      <c r="BN705" s="65"/>
      <c r="BO705" s="65"/>
    </row>
    <row r="706" spans="1:67" s="58" customFormat="1" x14ac:dyDescent="0.2">
      <c r="A706" s="49" t="s">
        <v>67</v>
      </c>
      <c r="B706" s="50">
        <v>43256</v>
      </c>
      <c r="C706" s="51">
        <v>0.42708333333333298</v>
      </c>
      <c r="D706" s="49" t="s">
        <v>219</v>
      </c>
      <c r="E706" s="49"/>
      <c r="F706" s="52">
        <v>62</v>
      </c>
      <c r="G706" s="53">
        <v>2</v>
      </c>
      <c r="H706" s="54">
        <v>3.2258064516129031E-2</v>
      </c>
      <c r="I706" s="55">
        <v>6.83E-2</v>
      </c>
      <c r="J706" s="53">
        <v>314.15899999999999</v>
      </c>
      <c r="K706" s="53">
        <v>0.34150000000000003</v>
      </c>
      <c r="L706" s="53">
        <v>5</v>
      </c>
      <c r="M706" s="56">
        <v>459.96925329428984</v>
      </c>
      <c r="N706" s="53">
        <v>1419</v>
      </c>
      <c r="O706" s="57" t="s">
        <v>94</v>
      </c>
      <c r="P706" s="57" t="s">
        <v>82</v>
      </c>
      <c r="Q706" s="53" t="s">
        <v>95</v>
      </c>
      <c r="R706" s="53" t="s">
        <v>96</v>
      </c>
      <c r="S706" s="53"/>
      <c r="T706" s="59">
        <v>422</v>
      </c>
      <c r="U706" s="59">
        <v>849</v>
      </c>
      <c r="V706" s="53">
        <v>0.8</v>
      </c>
      <c r="W706" s="53">
        <v>0.8</v>
      </c>
      <c r="X706" s="53">
        <v>0.8</v>
      </c>
      <c r="Y706" s="9">
        <f t="shared" si="10"/>
        <v>194107.02489019031</v>
      </c>
      <c r="Z706" s="60" t="s">
        <v>97</v>
      </c>
      <c r="AA706" s="58" t="s">
        <v>299</v>
      </c>
      <c r="AB706" s="58" t="s">
        <v>75</v>
      </c>
      <c r="AC706" s="61" t="s">
        <v>76</v>
      </c>
      <c r="AD706" s="53" t="s">
        <v>85</v>
      </c>
      <c r="AE706" s="56">
        <v>0.18</v>
      </c>
      <c r="AF706" s="56">
        <v>0.18</v>
      </c>
      <c r="AG706" s="56">
        <v>0.18</v>
      </c>
      <c r="AH706" s="56">
        <v>0.18</v>
      </c>
      <c r="AI706" s="56">
        <v>0.18</v>
      </c>
      <c r="AJ706" s="56">
        <v>0.18</v>
      </c>
      <c r="AK706" s="56">
        <v>0.18</v>
      </c>
      <c r="AL706" s="56">
        <v>0.18</v>
      </c>
      <c r="AM706" s="56">
        <v>0.18</v>
      </c>
      <c r="AN706" s="56">
        <v>0.18</v>
      </c>
      <c r="AO706" s="66" t="s">
        <v>78</v>
      </c>
      <c r="AP706" s="65">
        <v>0.75200000000000033</v>
      </c>
      <c r="AQ706" s="65">
        <v>0.7</v>
      </c>
      <c r="AR706" s="65">
        <v>0.7</v>
      </c>
      <c r="AS706" s="65">
        <v>0.7</v>
      </c>
      <c r="AT706" s="65">
        <v>0.7</v>
      </c>
      <c r="AU706" s="65">
        <v>0.7</v>
      </c>
      <c r="AV706" s="65">
        <v>0.7</v>
      </c>
      <c r="AW706" s="65">
        <v>0.7</v>
      </c>
      <c r="AX706" s="65">
        <v>0.7</v>
      </c>
      <c r="AY706" s="65">
        <v>0.7</v>
      </c>
      <c r="AZ706" s="65">
        <v>0.7</v>
      </c>
      <c r="BA706" s="65">
        <v>0.7</v>
      </c>
      <c r="BB706" s="65">
        <v>0.7</v>
      </c>
      <c r="BC706" s="65">
        <v>0.8</v>
      </c>
      <c r="BD706" s="65">
        <v>0.8</v>
      </c>
      <c r="BE706" s="65">
        <v>0.8</v>
      </c>
      <c r="BF706" s="65">
        <v>0.8</v>
      </c>
      <c r="BG706" s="65">
        <v>0.8</v>
      </c>
      <c r="BH706" s="65">
        <v>0.8</v>
      </c>
      <c r="BI706" s="65">
        <v>0.8</v>
      </c>
      <c r="BJ706" s="65">
        <v>0.8</v>
      </c>
      <c r="BK706" s="65">
        <v>0.8</v>
      </c>
      <c r="BL706" s="65">
        <v>0.8</v>
      </c>
      <c r="BM706" s="65">
        <v>0.8</v>
      </c>
      <c r="BN706" s="65">
        <v>0.8</v>
      </c>
      <c r="BO706" s="65">
        <v>0.8</v>
      </c>
    </row>
    <row r="707" spans="1:67" s="58" customFormat="1" x14ac:dyDescent="0.2">
      <c r="A707" s="49" t="s">
        <v>67</v>
      </c>
      <c r="B707" s="50">
        <v>43256</v>
      </c>
      <c r="C707" s="51">
        <v>0.43472222222222201</v>
      </c>
      <c r="D707" s="49" t="s">
        <v>247</v>
      </c>
      <c r="E707" s="49">
        <v>3</v>
      </c>
      <c r="F707" s="52">
        <v>62</v>
      </c>
      <c r="G707" s="53">
        <v>2</v>
      </c>
      <c r="H707" s="54">
        <v>3.2258064516129031E-2</v>
      </c>
      <c r="I707" s="55">
        <v>6.83E-2</v>
      </c>
      <c r="J707" s="53">
        <v>314.15899999999999</v>
      </c>
      <c r="K707" s="53">
        <v>0.75129999999999997</v>
      </c>
      <c r="L707" s="53">
        <v>11</v>
      </c>
      <c r="M707" s="56">
        <v>209.07693331558633</v>
      </c>
      <c r="N707" s="53">
        <v>190</v>
      </c>
      <c r="O707" s="57" t="s">
        <v>102</v>
      </c>
      <c r="P707" s="58" t="s">
        <v>70</v>
      </c>
      <c r="Q707" s="53" t="s">
        <v>103</v>
      </c>
      <c r="R707" s="53" t="s">
        <v>84</v>
      </c>
      <c r="S707" s="53"/>
      <c r="T707" s="59">
        <v>1</v>
      </c>
      <c r="U707" s="59">
        <v>1</v>
      </c>
      <c r="V707" s="53">
        <v>9.3000000000000007</v>
      </c>
      <c r="W707" s="53"/>
      <c r="X707" s="53"/>
      <c r="Y707" s="9">
        <f t="shared" ref="Y707:Y770" si="11">(T707*J707)/(G707*I707*L707)</f>
        <v>209.07693331558633</v>
      </c>
      <c r="Z707" s="60" t="s">
        <v>73</v>
      </c>
      <c r="AA707" s="58" t="s">
        <v>300</v>
      </c>
      <c r="AB707" s="58" t="s">
        <v>75</v>
      </c>
      <c r="AC707" s="61" t="s">
        <v>221</v>
      </c>
      <c r="AD707" s="53" t="s">
        <v>104</v>
      </c>
      <c r="AE707" s="56">
        <v>380.40256674</v>
      </c>
      <c r="AF707" s="62"/>
      <c r="AG707" s="63"/>
      <c r="AH707" s="61"/>
      <c r="AO707" s="64" t="s">
        <v>78</v>
      </c>
      <c r="AP707" s="65">
        <v>5.6</v>
      </c>
      <c r="AQ707" s="65">
        <v>5.6</v>
      </c>
      <c r="AR707" s="65"/>
      <c r="AS707" s="65"/>
      <c r="AT707" s="65"/>
      <c r="AU707" s="65"/>
      <c r="AV707" s="65"/>
      <c r="AW707" s="65"/>
      <c r="AX707" s="65"/>
      <c r="AY707" s="65"/>
      <c r="AZ707" s="65"/>
      <c r="BA707" s="65"/>
      <c r="BB707" s="65"/>
      <c r="BC707" s="65"/>
      <c r="BD707" s="65"/>
      <c r="BE707" s="65"/>
      <c r="BF707" s="65"/>
      <c r="BG707" s="65"/>
      <c r="BH707" s="65"/>
      <c r="BI707" s="65"/>
      <c r="BJ707" s="65"/>
      <c r="BK707" s="65"/>
      <c r="BL707" s="65"/>
      <c r="BM707" s="65"/>
      <c r="BN707" s="65"/>
      <c r="BO707" s="65"/>
    </row>
    <row r="708" spans="1:67" s="58" customFormat="1" x14ac:dyDescent="0.2">
      <c r="A708" s="49"/>
      <c r="B708" s="50"/>
      <c r="C708" s="51"/>
      <c r="D708" s="49"/>
      <c r="E708" s="49"/>
      <c r="F708" s="52"/>
      <c r="G708" s="53"/>
      <c r="H708" s="54"/>
      <c r="I708" s="55"/>
      <c r="J708" s="53"/>
      <c r="K708" s="53"/>
      <c r="L708" s="53"/>
      <c r="M708" s="56"/>
      <c r="N708" s="53"/>
      <c r="O708" s="57"/>
      <c r="Q708" s="53"/>
      <c r="R708" s="53"/>
      <c r="S708" s="53"/>
      <c r="T708" s="59"/>
      <c r="U708" s="59"/>
      <c r="V708" s="53"/>
      <c r="W708" s="53"/>
      <c r="X708" s="53"/>
      <c r="Y708" s="9" t="e">
        <f t="shared" si="11"/>
        <v>#DIV/0!</v>
      </c>
      <c r="Z708" s="60"/>
      <c r="AC708" s="61"/>
      <c r="AD708" s="53"/>
      <c r="AE708" s="56"/>
      <c r="AF708" s="62"/>
      <c r="AG708" s="63"/>
      <c r="AH708" s="61"/>
      <c r="AO708" s="64" t="s">
        <v>79</v>
      </c>
      <c r="AP708" s="65">
        <v>9.3000000000000007</v>
      </c>
      <c r="AQ708" s="65">
        <v>9.3000000000000007</v>
      </c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  <c r="BD708" s="65"/>
      <c r="BE708" s="65"/>
      <c r="BF708" s="65"/>
      <c r="BG708" s="65"/>
      <c r="BH708" s="65"/>
      <c r="BI708" s="65"/>
      <c r="BJ708" s="65"/>
      <c r="BK708" s="65"/>
      <c r="BL708" s="65"/>
      <c r="BM708" s="65"/>
      <c r="BN708" s="65"/>
      <c r="BO708" s="65"/>
    </row>
    <row r="709" spans="1:67" s="58" customFormat="1" x14ac:dyDescent="0.2">
      <c r="A709" s="49" t="s">
        <v>67</v>
      </c>
      <c r="B709" s="50">
        <v>43256</v>
      </c>
      <c r="C709" s="51">
        <v>0.43472222222222201</v>
      </c>
      <c r="D709" s="49" t="s">
        <v>247</v>
      </c>
      <c r="E709" s="49">
        <v>3</v>
      </c>
      <c r="F709" s="52">
        <v>62</v>
      </c>
      <c r="G709" s="53">
        <v>2</v>
      </c>
      <c r="H709" s="54">
        <v>3.2258064516129031E-2</v>
      </c>
      <c r="I709" s="55">
        <v>6.83E-2</v>
      </c>
      <c r="J709" s="53">
        <v>314.15899999999999</v>
      </c>
      <c r="K709" s="53">
        <v>0.75129999999999997</v>
      </c>
      <c r="L709" s="53">
        <v>11</v>
      </c>
      <c r="M709" s="56">
        <v>209.07693331558633</v>
      </c>
      <c r="N709" s="53">
        <v>895</v>
      </c>
      <c r="O709" s="58" t="s">
        <v>229</v>
      </c>
      <c r="P709" s="58" t="s">
        <v>70</v>
      </c>
      <c r="Q709" s="53" t="s">
        <v>138</v>
      </c>
      <c r="R709" s="53" t="s">
        <v>84</v>
      </c>
      <c r="S709" s="53"/>
      <c r="T709" s="59">
        <v>1</v>
      </c>
      <c r="U709" s="59">
        <v>1</v>
      </c>
      <c r="V709" s="53">
        <v>5.6</v>
      </c>
      <c r="W709" s="53"/>
      <c r="X709" s="53"/>
      <c r="Y709" s="9">
        <f t="shared" si="11"/>
        <v>209.07693331558633</v>
      </c>
      <c r="Z709" s="60" t="s">
        <v>73</v>
      </c>
      <c r="AA709" s="58" t="s">
        <v>300</v>
      </c>
      <c r="AB709" s="58" t="s">
        <v>75</v>
      </c>
      <c r="AC709" s="61" t="s">
        <v>221</v>
      </c>
      <c r="AD709" s="53" t="s">
        <v>140</v>
      </c>
      <c r="AE709" s="56">
        <v>34.482091839999988</v>
      </c>
      <c r="AF709" s="62"/>
      <c r="AG709" s="63"/>
      <c r="AH709" s="61"/>
      <c r="AO709" s="64" t="s">
        <v>78</v>
      </c>
      <c r="AP709" s="65">
        <v>5.6</v>
      </c>
      <c r="AQ709" s="65">
        <v>5.6</v>
      </c>
      <c r="AR709" s="65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  <c r="BD709" s="65"/>
      <c r="BE709" s="65"/>
      <c r="BF709" s="65"/>
      <c r="BG709" s="65"/>
      <c r="BH709" s="65"/>
      <c r="BI709" s="65"/>
      <c r="BJ709" s="65"/>
      <c r="BK709" s="65"/>
      <c r="BL709" s="65"/>
      <c r="BM709" s="65"/>
      <c r="BN709" s="65"/>
      <c r="BO709" s="65"/>
    </row>
    <row r="710" spans="1:67" s="58" customFormat="1" x14ac:dyDescent="0.2">
      <c r="A710" s="49"/>
      <c r="B710" s="50"/>
      <c r="C710" s="51"/>
      <c r="D710" s="49"/>
      <c r="E710" s="49"/>
      <c r="F710" s="52"/>
      <c r="G710" s="53"/>
      <c r="H710" s="54"/>
      <c r="I710" s="55"/>
      <c r="J710" s="53"/>
      <c r="K710" s="53"/>
      <c r="L710" s="53"/>
      <c r="M710" s="56"/>
      <c r="N710" s="53"/>
      <c r="Q710" s="53"/>
      <c r="R710" s="53"/>
      <c r="S710" s="53"/>
      <c r="T710" s="59"/>
      <c r="U710" s="59"/>
      <c r="V710" s="53"/>
      <c r="W710" s="53"/>
      <c r="X710" s="53"/>
      <c r="Y710" s="9" t="e">
        <f t="shared" si="11"/>
        <v>#DIV/0!</v>
      </c>
      <c r="Z710" s="60"/>
      <c r="AC710" s="61"/>
      <c r="AD710" s="53"/>
      <c r="AE710" s="56"/>
      <c r="AF710" s="62"/>
      <c r="AG710" s="63"/>
      <c r="AH710" s="61"/>
      <c r="AO710" s="64" t="s">
        <v>79</v>
      </c>
      <c r="AP710" s="65">
        <v>2.8</v>
      </c>
      <c r="AQ710" s="65">
        <v>2.8</v>
      </c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65"/>
      <c r="BH710" s="65"/>
      <c r="BI710" s="65"/>
      <c r="BJ710" s="65"/>
      <c r="BK710" s="65"/>
      <c r="BL710" s="65"/>
      <c r="BM710" s="65"/>
      <c r="BN710" s="65"/>
      <c r="BO710" s="65"/>
    </row>
    <row r="711" spans="1:67" s="58" customFormat="1" x14ac:dyDescent="0.2">
      <c r="A711" s="49" t="s">
        <v>67</v>
      </c>
      <c r="B711" s="50">
        <v>43256</v>
      </c>
      <c r="C711" s="51">
        <v>0.43472222222222201</v>
      </c>
      <c r="D711" s="49" t="s">
        <v>247</v>
      </c>
      <c r="E711" s="49">
        <v>3</v>
      </c>
      <c r="F711" s="52">
        <v>62</v>
      </c>
      <c r="G711" s="53">
        <v>2</v>
      </c>
      <c r="H711" s="54">
        <v>3.2258064516129031E-2</v>
      </c>
      <c r="I711" s="55">
        <v>6.83E-2</v>
      </c>
      <c r="J711" s="53">
        <v>314.15899999999999</v>
      </c>
      <c r="K711" s="53">
        <v>0.75129999999999997</v>
      </c>
      <c r="L711" s="53">
        <v>11</v>
      </c>
      <c r="M711" s="56">
        <v>209.07693331558633</v>
      </c>
      <c r="N711" s="53">
        <v>1031</v>
      </c>
      <c r="O711" s="57" t="s">
        <v>81</v>
      </c>
      <c r="P711" s="57" t="s">
        <v>82</v>
      </c>
      <c r="Q711" s="53" t="s">
        <v>83</v>
      </c>
      <c r="R711" s="53" t="s">
        <v>84</v>
      </c>
      <c r="S711" s="53"/>
      <c r="T711" s="59">
        <v>1</v>
      </c>
      <c r="U711" s="59">
        <v>1</v>
      </c>
      <c r="V711" s="53">
        <v>6.5</v>
      </c>
      <c r="W711" s="53"/>
      <c r="X711" s="53"/>
      <c r="Y711" s="9">
        <f t="shared" si="11"/>
        <v>209.07693331558633</v>
      </c>
      <c r="Z711" s="60" t="s">
        <v>73</v>
      </c>
      <c r="AA711" s="58" t="s">
        <v>300</v>
      </c>
      <c r="AB711" s="58" t="s">
        <v>75</v>
      </c>
      <c r="AC711" s="61" t="s">
        <v>221</v>
      </c>
      <c r="AD711" s="53" t="s">
        <v>85</v>
      </c>
      <c r="AE711" s="56">
        <v>87.671304933333303</v>
      </c>
      <c r="AF711" s="62"/>
      <c r="AG711" s="63"/>
      <c r="AH711" s="61"/>
      <c r="AO711" s="64" t="s">
        <v>78</v>
      </c>
      <c r="AP711" s="65">
        <v>6.5</v>
      </c>
      <c r="AQ711" s="65">
        <v>6.5</v>
      </c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65"/>
      <c r="BH711" s="65"/>
      <c r="BI711" s="65"/>
      <c r="BJ711" s="65"/>
      <c r="BK711" s="65"/>
      <c r="BL711" s="65"/>
      <c r="BM711" s="65"/>
      <c r="BN711" s="65"/>
      <c r="BO711" s="65"/>
    </row>
    <row r="712" spans="1:67" s="58" customFormat="1" x14ac:dyDescent="0.2">
      <c r="A712" s="49"/>
      <c r="B712" s="50"/>
      <c r="C712" s="51"/>
      <c r="D712" s="49"/>
      <c r="E712" s="49"/>
      <c r="F712" s="52"/>
      <c r="G712" s="53"/>
      <c r="H712" s="54"/>
      <c r="I712" s="55"/>
      <c r="J712" s="53"/>
      <c r="K712" s="53"/>
      <c r="L712" s="53"/>
      <c r="M712" s="56"/>
      <c r="N712" s="53"/>
      <c r="O712" s="57"/>
      <c r="P712" s="57"/>
      <c r="Q712" s="53"/>
      <c r="R712" s="53"/>
      <c r="S712" s="53"/>
      <c r="T712" s="59"/>
      <c r="U712" s="59"/>
      <c r="V712" s="53"/>
      <c r="W712" s="53"/>
      <c r="X712" s="53"/>
      <c r="Y712" s="9" t="e">
        <f t="shared" si="11"/>
        <v>#DIV/0!</v>
      </c>
      <c r="Z712" s="60"/>
      <c r="AC712" s="61"/>
      <c r="AD712" s="53"/>
      <c r="AE712" s="56"/>
      <c r="AF712" s="62"/>
      <c r="AG712" s="63"/>
      <c r="AH712" s="61"/>
      <c r="AO712" s="64" t="s">
        <v>79</v>
      </c>
      <c r="AP712" s="65">
        <v>5.6</v>
      </c>
      <c r="AQ712" s="65">
        <v>5.6</v>
      </c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  <c r="BD712" s="65"/>
      <c r="BE712" s="65"/>
      <c r="BF712" s="65"/>
      <c r="BG712" s="65"/>
      <c r="BH712" s="65"/>
      <c r="BI712" s="65"/>
      <c r="BJ712" s="65"/>
      <c r="BK712" s="65"/>
      <c r="BL712" s="65"/>
      <c r="BM712" s="65"/>
      <c r="BN712" s="65"/>
      <c r="BO712" s="65"/>
    </row>
    <row r="713" spans="1:67" s="58" customFormat="1" x14ac:dyDescent="0.2">
      <c r="A713" s="49"/>
      <c r="B713" s="50"/>
      <c r="C713" s="51"/>
      <c r="D713" s="49"/>
      <c r="E713" s="49"/>
      <c r="F713" s="52"/>
      <c r="G713" s="53"/>
      <c r="H713" s="54"/>
      <c r="I713" s="55"/>
      <c r="J713" s="53"/>
      <c r="K713" s="53"/>
      <c r="L713" s="53"/>
      <c r="M713" s="56"/>
      <c r="N713" s="53"/>
      <c r="O713" s="57"/>
      <c r="P713" s="57"/>
      <c r="Q713" s="53"/>
      <c r="R713" s="53"/>
      <c r="S713" s="53"/>
      <c r="T713" s="59"/>
      <c r="U713" s="59"/>
      <c r="V713" s="53"/>
      <c r="W713" s="53"/>
      <c r="X713" s="53"/>
      <c r="Y713" s="9" t="e">
        <f t="shared" si="11"/>
        <v>#DIV/0!</v>
      </c>
      <c r="Z713" s="60"/>
      <c r="AC713" s="61"/>
      <c r="AD713" s="53"/>
      <c r="AE713" s="56"/>
      <c r="AF713" s="62"/>
      <c r="AG713" s="63"/>
      <c r="AH713" s="61"/>
      <c r="AO713" s="64" t="s">
        <v>80</v>
      </c>
      <c r="AP713" s="65">
        <v>4.5999999999999996</v>
      </c>
      <c r="AQ713" s="65">
        <v>4.5999999999999996</v>
      </c>
      <c r="AR713" s="65"/>
      <c r="AS713" s="65"/>
      <c r="AT713" s="65"/>
      <c r="AU713" s="65"/>
      <c r="AV713" s="65"/>
      <c r="AW713" s="65"/>
      <c r="AX713" s="65"/>
      <c r="AY713" s="65"/>
      <c r="AZ713" s="65"/>
      <c r="BA713" s="65"/>
      <c r="BB713" s="65"/>
      <c r="BC713" s="65"/>
      <c r="BD713" s="65"/>
      <c r="BE713" s="65"/>
      <c r="BF713" s="65"/>
      <c r="BG713" s="65"/>
      <c r="BH713" s="65"/>
      <c r="BI713" s="65"/>
      <c r="BJ713" s="65"/>
      <c r="BK713" s="65"/>
      <c r="BL713" s="65"/>
      <c r="BM713" s="65"/>
      <c r="BN713" s="65"/>
      <c r="BO713" s="65"/>
    </row>
    <row r="714" spans="1:67" s="58" customFormat="1" x14ac:dyDescent="0.2">
      <c r="A714" s="49" t="s">
        <v>67</v>
      </c>
      <c r="B714" s="50">
        <v>43256</v>
      </c>
      <c r="C714" s="51">
        <v>0.43472222222222201</v>
      </c>
      <c r="D714" s="49" t="s">
        <v>247</v>
      </c>
      <c r="E714" s="49">
        <v>3</v>
      </c>
      <c r="F714" s="52">
        <v>62</v>
      </c>
      <c r="G714" s="53">
        <v>2</v>
      </c>
      <c r="H714" s="54">
        <v>3.2258064516129031E-2</v>
      </c>
      <c r="I714" s="55">
        <v>6.83E-2</v>
      </c>
      <c r="J714" s="53">
        <v>314.15899999999999</v>
      </c>
      <c r="K714" s="53">
        <v>0.75129999999999997</v>
      </c>
      <c r="L714" s="53">
        <v>11</v>
      </c>
      <c r="M714" s="56">
        <v>209.07693331558633</v>
      </c>
      <c r="N714" s="53">
        <v>1037</v>
      </c>
      <c r="O714" s="57" t="s">
        <v>86</v>
      </c>
      <c r="P714" s="57" t="s">
        <v>82</v>
      </c>
      <c r="Q714" s="53" t="s">
        <v>87</v>
      </c>
      <c r="R714" s="53" t="s">
        <v>84</v>
      </c>
      <c r="S714" s="53"/>
      <c r="T714" s="59">
        <v>30</v>
      </c>
      <c r="U714" s="59">
        <v>30</v>
      </c>
      <c r="V714" s="53">
        <v>3.7</v>
      </c>
      <c r="W714" s="53"/>
      <c r="X714" s="53"/>
      <c r="Y714" s="9">
        <f t="shared" si="11"/>
        <v>6272.30799946759</v>
      </c>
      <c r="Z714" s="60" t="s">
        <v>73</v>
      </c>
      <c r="AA714" s="58" t="s">
        <v>300</v>
      </c>
      <c r="AB714" s="58" t="s">
        <v>75</v>
      </c>
      <c r="AC714" s="61" t="s">
        <v>221</v>
      </c>
      <c r="AD714" s="53" t="s">
        <v>85</v>
      </c>
      <c r="AE714" s="56">
        <v>11.494030613333329</v>
      </c>
      <c r="AF714" s="62"/>
      <c r="AG714" s="63"/>
      <c r="AH714" s="61"/>
      <c r="AO714" s="64" t="s">
        <v>78</v>
      </c>
      <c r="AP714" s="65">
        <v>2.8</v>
      </c>
      <c r="AQ714" s="65">
        <v>3.7</v>
      </c>
      <c r="AR714" s="65">
        <v>2.8</v>
      </c>
      <c r="AS714" s="65">
        <v>1.9</v>
      </c>
      <c r="AT714" s="65">
        <v>2.8</v>
      </c>
      <c r="AU714" s="65">
        <v>2.8</v>
      </c>
      <c r="AV714" s="65"/>
      <c r="AW714" s="65"/>
      <c r="AX714" s="65"/>
      <c r="AY714" s="65"/>
      <c r="AZ714" s="65"/>
      <c r="BA714" s="65"/>
      <c r="BB714" s="65"/>
      <c r="BC714" s="65"/>
      <c r="BD714" s="65"/>
      <c r="BE714" s="65"/>
      <c r="BF714" s="65"/>
      <c r="BG714" s="65"/>
      <c r="BH714" s="65"/>
      <c r="BI714" s="65"/>
      <c r="BJ714" s="65"/>
      <c r="BK714" s="65"/>
      <c r="BL714" s="65"/>
      <c r="BM714" s="65"/>
      <c r="BN714" s="65"/>
      <c r="BO714" s="65"/>
    </row>
    <row r="715" spans="1:67" s="58" customFormat="1" x14ac:dyDescent="0.2">
      <c r="A715" s="49" t="s">
        <v>67</v>
      </c>
      <c r="B715" s="50">
        <v>43256</v>
      </c>
      <c r="C715" s="51">
        <v>0.43472222222222201</v>
      </c>
      <c r="D715" s="49" t="s">
        <v>247</v>
      </c>
      <c r="E715" s="49">
        <v>3</v>
      </c>
      <c r="F715" s="52">
        <v>62</v>
      </c>
      <c r="G715" s="53">
        <v>2</v>
      </c>
      <c r="H715" s="54">
        <v>3.2258064516129031E-2</v>
      </c>
      <c r="I715" s="55">
        <v>6.83E-2</v>
      </c>
      <c r="J715" s="53">
        <v>314.15899999999999</v>
      </c>
      <c r="K715" s="53">
        <v>0.75129999999999997</v>
      </c>
      <c r="L715" s="53">
        <v>11</v>
      </c>
      <c r="M715" s="56">
        <v>209.07693331558633</v>
      </c>
      <c r="N715" s="53">
        <v>1761</v>
      </c>
      <c r="O715" s="57" t="s">
        <v>287</v>
      </c>
      <c r="P715" s="57" t="s">
        <v>82</v>
      </c>
      <c r="Q715" s="53" t="s">
        <v>288</v>
      </c>
      <c r="R715" s="53" t="s">
        <v>289</v>
      </c>
      <c r="S715" s="53"/>
      <c r="T715" s="59">
        <v>1</v>
      </c>
      <c r="U715" s="59">
        <v>1</v>
      </c>
      <c r="V715" s="53">
        <v>4.5999999999999996</v>
      </c>
      <c r="W715" s="53"/>
      <c r="X715" s="53"/>
      <c r="Y715" s="9">
        <f t="shared" si="11"/>
        <v>209.07693331558633</v>
      </c>
      <c r="Z715" s="60" t="s">
        <v>73</v>
      </c>
      <c r="AA715" s="58" t="s">
        <v>300</v>
      </c>
      <c r="AB715" s="58" t="s">
        <v>75</v>
      </c>
      <c r="AC715" s="61" t="s">
        <v>221</v>
      </c>
      <c r="AD715" s="53" t="s">
        <v>215</v>
      </c>
      <c r="AE715" s="56">
        <v>3.21266847375</v>
      </c>
      <c r="AF715" s="62"/>
      <c r="AG715" s="63"/>
      <c r="AH715" s="61"/>
      <c r="AO715" s="64" t="s">
        <v>78</v>
      </c>
      <c r="AP715" s="65">
        <v>4.5999999999999996</v>
      </c>
      <c r="AQ715" s="65">
        <v>4.5999999999999996</v>
      </c>
      <c r="AR715" s="65"/>
      <c r="AS715" s="65"/>
      <c r="AT715" s="65"/>
      <c r="AU715" s="65"/>
      <c r="AV715" s="65"/>
      <c r="AW715" s="65"/>
      <c r="AX715" s="65"/>
      <c r="AY715" s="65"/>
      <c r="AZ715" s="65"/>
      <c r="BA715" s="65"/>
      <c r="BB715" s="65"/>
      <c r="BC715" s="65"/>
      <c r="BD715" s="65"/>
      <c r="BE715" s="65"/>
      <c r="BF715" s="65"/>
      <c r="BG715" s="65"/>
      <c r="BH715" s="65"/>
      <c r="BI715" s="65"/>
      <c r="BJ715" s="65"/>
      <c r="BK715" s="65"/>
      <c r="BL715" s="65"/>
      <c r="BM715" s="65"/>
      <c r="BN715" s="65"/>
      <c r="BO715" s="65"/>
    </row>
    <row r="716" spans="1:67" s="58" customFormat="1" x14ac:dyDescent="0.2">
      <c r="A716" s="49"/>
      <c r="B716" s="50"/>
      <c r="C716" s="51"/>
      <c r="D716" s="49"/>
      <c r="E716" s="49"/>
      <c r="F716" s="52"/>
      <c r="G716" s="53"/>
      <c r="H716" s="54"/>
      <c r="I716" s="55"/>
      <c r="J716" s="53"/>
      <c r="K716" s="53"/>
      <c r="L716" s="53"/>
      <c r="M716" s="56"/>
      <c r="N716" s="53"/>
      <c r="O716" s="57"/>
      <c r="P716" s="57"/>
      <c r="Q716" s="53"/>
      <c r="R716" s="53"/>
      <c r="S716" s="53"/>
      <c r="T716" s="59"/>
      <c r="U716" s="59"/>
      <c r="V716" s="53"/>
      <c r="W716" s="53"/>
      <c r="X716" s="53"/>
      <c r="Y716" s="9" t="e">
        <f t="shared" si="11"/>
        <v>#DIV/0!</v>
      </c>
      <c r="Z716" s="60"/>
      <c r="AC716" s="61"/>
      <c r="AD716" s="53"/>
      <c r="AE716" s="56"/>
      <c r="AF716" s="62"/>
      <c r="AG716" s="63"/>
      <c r="AH716" s="61"/>
      <c r="AO716" s="64" t="s">
        <v>79</v>
      </c>
      <c r="AP716" s="65">
        <v>0.9</v>
      </c>
      <c r="AQ716" s="65">
        <v>0.9</v>
      </c>
      <c r="AR716" s="65"/>
      <c r="AS716" s="65"/>
      <c r="AT716" s="65"/>
      <c r="AU716" s="65"/>
      <c r="AV716" s="65"/>
      <c r="AW716" s="65"/>
      <c r="AX716" s="65"/>
      <c r="AY716" s="65"/>
      <c r="AZ716" s="65"/>
      <c r="BA716" s="65"/>
      <c r="BB716" s="65"/>
      <c r="BC716" s="65"/>
      <c r="BD716" s="65"/>
      <c r="BE716" s="65"/>
      <c r="BF716" s="65"/>
      <c r="BG716" s="65"/>
      <c r="BH716" s="65"/>
      <c r="BI716" s="65"/>
      <c r="BJ716" s="65"/>
      <c r="BK716" s="65"/>
      <c r="BL716" s="65"/>
      <c r="BM716" s="65"/>
      <c r="BN716" s="65"/>
      <c r="BO716" s="65"/>
    </row>
    <row r="717" spans="1:67" s="58" customFormat="1" x14ac:dyDescent="0.2">
      <c r="A717" s="49"/>
      <c r="B717" s="50"/>
      <c r="C717" s="51"/>
      <c r="D717" s="49"/>
      <c r="E717" s="49"/>
      <c r="F717" s="52"/>
      <c r="G717" s="53"/>
      <c r="H717" s="54"/>
      <c r="I717" s="55"/>
      <c r="J717" s="53"/>
      <c r="K717" s="53"/>
      <c r="L717" s="53"/>
      <c r="M717" s="56"/>
      <c r="N717" s="53"/>
      <c r="O717" s="57"/>
      <c r="P717" s="57"/>
      <c r="Q717" s="53"/>
      <c r="R717" s="53"/>
      <c r="S717" s="53"/>
      <c r="T717" s="59"/>
      <c r="U717" s="59"/>
      <c r="V717" s="53"/>
      <c r="W717" s="53"/>
      <c r="X717" s="53"/>
      <c r="Y717" s="9" t="e">
        <f t="shared" si="11"/>
        <v>#DIV/0!</v>
      </c>
      <c r="Z717" s="60"/>
      <c r="AC717" s="61"/>
      <c r="AD717" s="53"/>
      <c r="AE717" s="56"/>
      <c r="AF717" s="62"/>
      <c r="AG717" s="63"/>
      <c r="AH717" s="61"/>
      <c r="AO717" s="64" t="s">
        <v>80</v>
      </c>
      <c r="AP717" s="65">
        <v>0.9</v>
      </c>
      <c r="AQ717" s="65">
        <v>0.9</v>
      </c>
      <c r="AR717" s="65"/>
      <c r="AS717" s="65"/>
      <c r="AT717" s="65"/>
      <c r="AU717" s="65"/>
      <c r="AV717" s="65"/>
      <c r="AW717" s="65"/>
      <c r="AX717" s="65"/>
      <c r="AY717" s="65"/>
      <c r="AZ717" s="65"/>
      <c r="BA717" s="65"/>
      <c r="BB717" s="65"/>
      <c r="BC717" s="65"/>
      <c r="BD717" s="65"/>
      <c r="BE717" s="65"/>
      <c r="BF717" s="65"/>
      <c r="BG717" s="65"/>
      <c r="BH717" s="65"/>
      <c r="BI717" s="65"/>
      <c r="BJ717" s="65"/>
      <c r="BK717" s="65"/>
      <c r="BL717" s="65"/>
      <c r="BM717" s="65"/>
      <c r="BN717" s="65"/>
      <c r="BO717" s="65"/>
    </row>
    <row r="718" spans="1:67" s="58" customFormat="1" ht="13.5" customHeight="1" x14ac:dyDescent="0.2">
      <c r="A718" s="49" t="s">
        <v>67</v>
      </c>
      <c r="B718" s="50">
        <v>43256</v>
      </c>
      <c r="C718" s="51">
        <v>0.43472222222222201</v>
      </c>
      <c r="D718" s="49" t="s">
        <v>247</v>
      </c>
      <c r="E718" s="49">
        <v>3</v>
      </c>
      <c r="F718" s="52">
        <v>62</v>
      </c>
      <c r="G718" s="53">
        <v>2</v>
      </c>
      <c r="H718" s="54">
        <v>3.2258064516129031E-2</v>
      </c>
      <c r="I718" s="55">
        <v>6.83E-2</v>
      </c>
      <c r="J718" s="53">
        <v>314.15899999999999</v>
      </c>
      <c r="K718" s="53">
        <v>0.75129999999999997</v>
      </c>
      <c r="L718" s="53">
        <v>11</v>
      </c>
      <c r="M718" s="56">
        <v>209.07693331558633</v>
      </c>
      <c r="N718" s="53">
        <v>1119</v>
      </c>
      <c r="O718" s="58" t="s">
        <v>197</v>
      </c>
      <c r="P718" s="57" t="s">
        <v>82</v>
      </c>
      <c r="Q718" s="53" t="s">
        <v>198</v>
      </c>
      <c r="R718" s="53" t="s">
        <v>199</v>
      </c>
      <c r="S718" s="53"/>
      <c r="T718" s="59">
        <v>1</v>
      </c>
      <c r="U718" s="59">
        <v>1</v>
      </c>
      <c r="V718" s="53">
        <v>3.7</v>
      </c>
      <c r="W718" s="53"/>
      <c r="X718" s="53"/>
      <c r="Y718" s="9">
        <f t="shared" si="11"/>
        <v>209.07693331558633</v>
      </c>
      <c r="Z718" s="60" t="s">
        <v>73</v>
      </c>
      <c r="AA718" s="58" t="s">
        <v>300</v>
      </c>
      <c r="AB718" s="58" t="s">
        <v>75</v>
      </c>
      <c r="AC718" s="61" t="s">
        <v>221</v>
      </c>
      <c r="AD718" s="53" t="s">
        <v>150</v>
      </c>
      <c r="AE718" s="56">
        <v>15.188540453333331</v>
      </c>
      <c r="AF718" s="62"/>
      <c r="AG718" s="63"/>
      <c r="AH718" s="61"/>
      <c r="AO718" s="64" t="s">
        <v>78</v>
      </c>
      <c r="AP718" s="65">
        <v>3.7</v>
      </c>
      <c r="AQ718" s="65">
        <v>3.7</v>
      </c>
      <c r="AR718" s="65"/>
      <c r="AS718" s="65"/>
      <c r="AT718" s="65"/>
      <c r="AU718" s="65"/>
      <c r="AV718" s="65"/>
      <c r="AW718" s="65"/>
      <c r="AX718" s="65"/>
      <c r="AY718" s="65"/>
      <c r="AZ718" s="65"/>
      <c r="BA718" s="65"/>
      <c r="BB718" s="65"/>
      <c r="BC718" s="65"/>
      <c r="BD718" s="65"/>
      <c r="BE718" s="65"/>
      <c r="BF718" s="65"/>
      <c r="BG718" s="65"/>
      <c r="BH718" s="65"/>
      <c r="BI718" s="65"/>
      <c r="BJ718" s="65"/>
      <c r="BK718" s="65"/>
      <c r="BL718" s="65"/>
      <c r="BM718" s="65"/>
      <c r="BN718" s="65"/>
      <c r="BO718" s="65"/>
    </row>
    <row r="719" spans="1:67" s="58" customFormat="1" ht="13.5" customHeight="1" x14ac:dyDescent="0.2">
      <c r="A719" s="49"/>
      <c r="B719" s="50"/>
      <c r="C719" s="51"/>
      <c r="D719" s="49"/>
      <c r="E719" s="49"/>
      <c r="F719" s="52"/>
      <c r="G719" s="53"/>
      <c r="H719" s="54"/>
      <c r="I719" s="55"/>
      <c r="J719" s="53"/>
      <c r="K719" s="53"/>
      <c r="L719" s="53"/>
      <c r="M719" s="56"/>
      <c r="N719" s="53"/>
      <c r="P719" s="57"/>
      <c r="Q719" s="53"/>
      <c r="R719" s="53"/>
      <c r="S719" s="53"/>
      <c r="T719" s="59"/>
      <c r="U719" s="59"/>
      <c r="V719" s="53"/>
      <c r="W719" s="53"/>
      <c r="X719" s="53"/>
      <c r="Y719" s="9" t="e">
        <f t="shared" si="11"/>
        <v>#DIV/0!</v>
      </c>
      <c r="Z719" s="60"/>
      <c r="AC719" s="61"/>
      <c r="AD719" s="53"/>
      <c r="AE719" s="56"/>
      <c r="AF719" s="62"/>
      <c r="AG719" s="63"/>
      <c r="AH719" s="61"/>
      <c r="AO719" s="64" t="s">
        <v>79</v>
      </c>
      <c r="AP719" s="65">
        <v>2.8</v>
      </c>
      <c r="AQ719" s="65">
        <v>2.8</v>
      </c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  <c r="BD719" s="65"/>
      <c r="BE719" s="65"/>
      <c r="BF719" s="65"/>
      <c r="BG719" s="65"/>
      <c r="BH719" s="65"/>
      <c r="BI719" s="65"/>
      <c r="BJ719" s="65"/>
      <c r="BK719" s="65"/>
      <c r="BL719" s="65"/>
      <c r="BM719" s="65"/>
      <c r="BN719" s="65"/>
      <c r="BO719" s="65"/>
    </row>
    <row r="720" spans="1:67" s="58" customFormat="1" ht="13.5" customHeight="1" x14ac:dyDescent="0.2">
      <c r="A720" s="49"/>
      <c r="B720" s="50"/>
      <c r="C720" s="51"/>
      <c r="D720" s="49"/>
      <c r="E720" s="49"/>
      <c r="F720" s="52"/>
      <c r="G720" s="53"/>
      <c r="H720" s="54"/>
      <c r="I720" s="55"/>
      <c r="J720" s="53"/>
      <c r="K720" s="53"/>
      <c r="L720" s="53"/>
      <c r="M720" s="56"/>
      <c r="N720" s="53"/>
      <c r="P720" s="57"/>
      <c r="Q720" s="53"/>
      <c r="R720" s="53"/>
      <c r="S720" s="53"/>
      <c r="T720" s="59"/>
      <c r="U720" s="59"/>
      <c r="V720" s="53"/>
      <c r="W720" s="53"/>
      <c r="X720" s="53"/>
      <c r="Y720" s="9" t="e">
        <f t="shared" si="11"/>
        <v>#DIV/0!</v>
      </c>
      <c r="Z720" s="60"/>
      <c r="AC720" s="61"/>
      <c r="AD720" s="53"/>
      <c r="AE720" s="56"/>
      <c r="AF720" s="62"/>
      <c r="AG720" s="63"/>
      <c r="AH720" s="61"/>
      <c r="AO720" s="64" t="s">
        <v>80</v>
      </c>
      <c r="AP720" s="65">
        <v>2.8</v>
      </c>
      <c r="AQ720" s="65">
        <v>2.8</v>
      </c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  <c r="BD720" s="65"/>
      <c r="BE720" s="65"/>
      <c r="BF720" s="65"/>
      <c r="BG720" s="65"/>
      <c r="BH720" s="65"/>
      <c r="BI720" s="65"/>
      <c r="BJ720" s="65"/>
      <c r="BK720" s="65"/>
      <c r="BL720" s="65"/>
      <c r="BM720" s="65"/>
      <c r="BN720" s="65"/>
      <c r="BO720" s="65"/>
    </row>
    <row r="721" spans="1:67" s="58" customFormat="1" x14ac:dyDescent="0.2">
      <c r="A721" s="49" t="s">
        <v>67</v>
      </c>
      <c r="B721" s="50">
        <v>43256</v>
      </c>
      <c r="C721" s="51">
        <v>0.43472222222222201</v>
      </c>
      <c r="D721" s="49" t="s">
        <v>247</v>
      </c>
      <c r="E721" s="49">
        <v>3</v>
      </c>
      <c r="F721" s="52">
        <v>62</v>
      </c>
      <c r="G721" s="53">
        <v>2</v>
      </c>
      <c r="H721" s="54">
        <v>3.2258064516129031E-2</v>
      </c>
      <c r="I721" s="55">
        <v>6.83E-2</v>
      </c>
      <c r="J721" s="53">
        <v>314.15899999999999</v>
      </c>
      <c r="K721" s="53">
        <v>0.75129999999999997</v>
      </c>
      <c r="L721" s="53">
        <v>11</v>
      </c>
      <c r="M721" s="56">
        <v>209.07693331558633</v>
      </c>
      <c r="N721" s="53">
        <v>1135</v>
      </c>
      <c r="O721" s="58" t="s">
        <v>282</v>
      </c>
      <c r="P721" s="57" t="s">
        <v>82</v>
      </c>
      <c r="Q721" s="53" t="s">
        <v>127</v>
      </c>
      <c r="R721" s="53" t="s">
        <v>283</v>
      </c>
      <c r="S721" s="53"/>
      <c r="T721" s="59">
        <v>1</v>
      </c>
      <c r="U721" s="59">
        <v>1</v>
      </c>
      <c r="V721" s="53">
        <v>9.3000000000000007</v>
      </c>
      <c r="W721" s="53"/>
      <c r="X721" s="53"/>
      <c r="Y721" s="9">
        <f t="shared" si="11"/>
        <v>209.07693331558633</v>
      </c>
      <c r="Z721" s="60" t="s">
        <v>73</v>
      </c>
      <c r="AA721" s="58" t="s">
        <v>300</v>
      </c>
      <c r="AB721" s="58" t="s">
        <v>75</v>
      </c>
      <c r="AC721" s="61" t="s">
        <v>221</v>
      </c>
      <c r="AD721" s="53" t="s">
        <v>129</v>
      </c>
      <c r="AE721" s="56">
        <v>17.578766844999997</v>
      </c>
      <c r="AF721" s="62"/>
      <c r="AG721" s="63"/>
      <c r="AH721" s="61"/>
      <c r="AO721" s="64" t="s">
        <v>78</v>
      </c>
      <c r="AP721" s="65">
        <v>9.3000000000000007</v>
      </c>
      <c r="AQ721" s="65">
        <v>9.3000000000000007</v>
      </c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  <c r="BD721" s="65"/>
      <c r="BE721" s="65"/>
      <c r="BF721" s="65"/>
      <c r="BG721" s="65"/>
      <c r="BH721" s="65"/>
      <c r="BI721" s="65"/>
      <c r="BJ721" s="65"/>
      <c r="BK721" s="65"/>
      <c r="BL721" s="65"/>
      <c r="BM721" s="65"/>
      <c r="BN721" s="65"/>
      <c r="BO721" s="65"/>
    </row>
    <row r="722" spans="1:67" s="58" customFormat="1" x14ac:dyDescent="0.2">
      <c r="A722" s="49"/>
      <c r="B722" s="50"/>
      <c r="C722" s="51"/>
      <c r="D722" s="49"/>
      <c r="E722" s="49"/>
      <c r="F722" s="52"/>
      <c r="G722" s="53"/>
      <c r="H722" s="54"/>
      <c r="I722" s="55"/>
      <c r="J722" s="53"/>
      <c r="K722" s="53"/>
      <c r="L722" s="53"/>
      <c r="M722" s="56"/>
      <c r="N722" s="53"/>
      <c r="P722" s="57"/>
      <c r="Q722" s="53"/>
      <c r="R722" s="53"/>
      <c r="S722" s="53"/>
      <c r="T722" s="59"/>
      <c r="U722" s="59"/>
      <c r="V722" s="53"/>
      <c r="W722" s="53"/>
      <c r="X722" s="53"/>
      <c r="Y722" s="9" t="e">
        <f t="shared" si="11"/>
        <v>#DIV/0!</v>
      </c>
      <c r="Z722" s="60"/>
      <c r="AC722" s="61"/>
      <c r="AD722" s="53"/>
      <c r="AE722" s="56"/>
      <c r="AF722" s="62"/>
      <c r="AG722" s="63"/>
      <c r="AH722" s="61"/>
      <c r="AO722" s="64" t="s">
        <v>79</v>
      </c>
      <c r="AP722" s="65">
        <v>1.9</v>
      </c>
      <c r="AQ722" s="65">
        <v>1.9</v>
      </c>
      <c r="AR722" s="65"/>
      <c r="AS722" s="65"/>
      <c r="AT722" s="65"/>
      <c r="AU722" s="65"/>
      <c r="AV722" s="65"/>
      <c r="AW722" s="65"/>
      <c r="AX722" s="65"/>
      <c r="AY722" s="65"/>
      <c r="AZ722" s="65"/>
      <c r="BA722" s="65"/>
      <c r="BB722" s="65"/>
      <c r="BC722" s="65"/>
      <c r="BD722" s="65"/>
      <c r="BE722" s="65"/>
      <c r="BF722" s="65"/>
      <c r="BG722" s="65"/>
      <c r="BH722" s="65"/>
      <c r="BI722" s="65"/>
      <c r="BJ722" s="65"/>
      <c r="BK722" s="65"/>
      <c r="BL722" s="65"/>
      <c r="BM722" s="65"/>
      <c r="BN722" s="65"/>
      <c r="BO722" s="65"/>
    </row>
    <row r="723" spans="1:67" s="58" customFormat="1" x14ac:dyDescent="0.2">
      <c r="A723" s="49" t="s">
        <v>67</v>
      </c>
      <c r="B723" s="50">
        <v>43256</v>
      </c>
      <c r="C723" s="51">
        <v>0.43472222222222201</v>
      </c>
      <c r="D723" s="49" t="s">
        <v>247</v>
      </c>
      <c r="E723" s="49">
        <v>3</v>
      </c>
      <c r="F723" s="52">
        <v>62</v>
      </c>
      <c r="G723" s="53">
        <v>2</v>
      </c>
      <c r="H723" s="54">
        <v>3.2258064516129031E-2</v>
      </c>
      <c r="I723" s="55">
        <v>6.83E-2</v>
      </c>
      <c r="J723" s="53">
        <v>314.15899999999999</v>
      </c>
      <c r="K723" s="53">
        <v>0.75129999999999997</v>
      </c>
      <c r="L723" s="53">
        <v>11</v>
      </c>
      <c r="M723" s="56">
        <v>209.07693331558633</v>
      </c>
      <c r="N723" s="53">
        <v>1806</v>
      </c>
      <c r="O723" s="57" t="s">
        <v>206</v>
      </c>
      <c r="P723" s="57" t="s">
        <v>82</v>
      </c>
      <c r="Q723" s="53" t="s">
        <v>207</v>
      </c>
      <c r="R723" s="53" t="s">
        <v>84</v>
      </c>
      <c r="S723" s="53"/>
      <c r="T723" s="59">
        <v>1</v>
      </c>
      <c r="U723" s="59">
        <v>1</v>
      </c>
      <c r="V723" s="53">
        <v>4.5999999999999996</v>
      </c>
      <c r="W723" s="53"/>
      <c r="X723" s="53"/>
      <c r="Y723" s="9">
        <f t="shared" si="11"/>
        <v>209.07693331558633</v>
      </c>
      <c r="Z723" s="60" t="s">
        <v>73</v>
      </c>
      <c r="AA723" s="58" t="s">
        <v>300</v>
      </c>
      <c r="AB723" s="58" t="s">
        <v>75</v>
      </c>
      <c r="AC723" s="61" t="s">
        <v>221</v>
      </c>
      <c r="AD723" s="53" t="s">
        <v>120</v>
      </c>
      <c r="AE723" s="56">
        <v>32.973081443333328</v>
      </c>
      <c r="AF723" s="62"/>
      <c r="AG723" s="63"/>
      <c r="AH723" s="61"/>
      <c r="AO723" s="64" t="s">
        <v>78</v>
      </c>
      <c r="AP723" s="65">
        <v>4.5999999999999996</v>
      </c>
      <c r="AQ723" s="65">
        <v>4.5999999999999996</v>
      </c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  <c r="BD723" s="65"/>
      <c r="BE723" s="65"/>
      <c r="BF723" s="65"/>
      <c r="BG723" s="65"/>
      <c r="BH723" s="65"/>
      <c r="BI723" s="65"/>
      <c r="BJ723" s="65"/>
      <c r="BK723" s="65"/>
      <c r="BL723" s="65"/>
      <c r="BM723" s="65"/>
      <c r="BN723" s="65"/>
      <c r="BO723" s="65"/>
    </row>
    <row r="724" spans="1:67" s="58" customFormat="1" x14ac:dyDescent="0.2">
      <c r="A724" s="49"/>
      <c r="B724" s="50"/>
      <c r="C724" s="51"/>
      <c r="D724" s="49"/>
      <c r="E724" s="49"/>
      <c r="F724" s="52"/>
      <c r="G724" s="53"/>
      <c r="H724" s="54"/>
      <c r="I724" s="55"/>
      <c r="J724" s="53"/>
      <c r="K724" s="53"/>
      <c r="L724" s="53"/>
      <c r="M724" s="56"/>
      <c r="N724" s="53"/>
      <c r="O724" s="57"/>
      <c r="P724" s="57"/>
      <c r="Q724" s="53"/>
      <c r="R724" s="53"/>
      <c r="S724" s="53"/>
      <c r="T724" s="59"/>
      <c r="U724" s="59"/>
      <c r="V724" s="53"/>
      <c r="W724" s="53"/>
      <c r="X724" s="53"/>
      <c r="Y724" s="9" t="e">
        <f t="shared" si="11"/>
        <v>#DIV/0!</v>
      </c>
      <c r="Z724" s="60"/>
      <c r="AC724" s="61"/>
      <c r="AD724" s="53"/>
      <c r="AE724" s="56"/>
      <c r="AF724" s="62"/>
      <c r="AG724" s="63"/>
      <c r="AH724" s="61"/>
      <c r="AO724" s="64" t="s">
        <v>79</v>
      </c>
      <c r="AP724" s="65">
        <v>3.7</v>
      </c>
      <c r="AQ724" s="65">
        <v>3.7</v>
      </c>
      <c r="AR724" s="65"/>
      <c r="AS724" s="65"/>
      <c r="AT724" s="65"/>
      <c r="AU724" s="65"/>
      <c r="AV724" s="65"/>
      <c r="AW724" s="65"/>
      <c r="AX724" s="65"/>
      <c r="AY724" s="65"/>
      <c r="AZ724" s="65"/>
      <c r="BA724" s="65"/>
      <c r="BB724" s="65"/>
      <c r="BC724" s="65"/>
      <c r="BD724" s="65"/>
      <c r="BE724" s="65"/>
      <c r="BF724" s="65"/>
      <c r="BG724" s="65"/>
      <c r="BH724" s="65"/>
      <c r="BI724" s="65"/>
      <c r="BJ724" s="65"/>
      <c r="BK724" s="65"/>
      <c r="BL724" s="65"/>
      <c r="BM724" s="65"/>
      <c r="BN724" s="65"/>
      <c r="BO724" s="65"/>
    </row>
    <row r="725" spans="1:67" s="58" customFormat="1" x14ac:dyDescent="0.2">
      <c r="A725" s="49" t="s">
        <v>67</v>
      </c>
      <c r="B725" s="50">
        <v>43256</v>
      </c>
      <c r="C725" s="51">
        <v>0.43472222222222201</v>
      </c>
      <c r="D725" s="49" t="s">
        <v>247</v>
      </c>
      <c r="E725" s="49">
        <v>3</v>
      </c>
      <c r="F725" s="52">
        <v>62</v>
      </c>
      <c r="G725" s="53">
        <v>2</v>
      </c>
      <c r="H725" s="54">
        <v>3.2258064516129031E-2</v>
      </c>
      <c r="I725" s="55">
        <v>6.83E-2</v>
      </c>
      <c r="J725" s="53">
        <v>314.15899999999999</v>
      </c>
      <c r="K725" s="53">
        <v>0.75129999999999997</v>
      </c>
      <c r="L725" s="53">
        <v>11</v>
      </c>
      <c r="M725" s="56">
        <v>209.07693331558633</v>
      </c>
      <c r="N725" s="53">
        <v>1419</v>
      </c>
      <c r="O725" s="57" t="s">
        <v>94</v>
      </c>
      <c r="P725" s="57" t="s">
        <v>82</v>
      </c>
      <c r="Q725" s="53" t="s">
        <v>95</v>
      </c>
      <c r="R725" s="53" t="s">
        <v>96</v>
      </c>
      <c r="S725" s="53"/>
      <c r="T725" s="59">
        <v>370</v>
      </c>
      <c r="U725" s="59">
        <v>742</v>
      </c>
      <c r="V725" s="53">
        <v>0.8</v>
      </c>
      <c r="W725" s="53">
        <v>0.8</v>
      </c>
      <c r="X725" s="53">
        <v>0.8</v>
      </c>
      <c r="Y725" s="9">
        <f t="shared" si="11"/>
        <v>77358.465326766935</v>
      </c>
      <c r="Z725" s="60" t="s">
        <v>97</v>
      </c>
      <c r="AA725" s="58" t="s">
        <v>300</v>
      </c>
      <c r="AB725" s="58" t="s">
        <v>75</v>
      </c>
      <c r="AC725" s="61" t="s">
        <v>221</v>
      </c>
      <c r="AD725" s="53" t="s">
        <v>85</v>
      </c>
      <c r="AE725" s="56">
        <v>0.18</v>
      </c>
      <c r="AF725" s="56">
        <v>0.18</v>
      </c>
      <c r="AG725" s="56">
        <v>0.18</v>
      </c>
      <c r="AH725" s="56">
        <v>0.18</v>
      </c>
      <c r="AI725" s="56">
        <v>0.18</v>
      </c>
      <c r="AJ725" s="56">
        <v>0.18</v>
      </c>
      <c r="AK725" s="56">
        <v>0.18</v>
      </c>
      <c r="AL725" s="56">
        <v>0.18</v>
      </c>
      <c r="AM725" s="56">
        <v>0.18</v>
      </c>
      <c r="AN725" s="56">
        <v>0.18</v>
      </c>
      <c r="AO725" s="66" t="s">
        <v>78</v>
      </c>
      <c r="AP725" s="65">
        <v>0.75200000000000033</v>
      </c>
      <c r="AQ725" s="65">
        <v>0.7</v>
      </c>
      <c r="AR725" s="65">
        <v>0.7</v>
      </c>
      <c r="AS725" s="65">
        <v>0.7</v>
      </c>
      <c r="AT725" s="65">
        <v>0.7</v>
      </c>
      <c r="AU725" s="65">
        <v>0.7</v>
      </c>
      <c r="AV725" s="65">
        <v>0.7</v>
      </c>
      <c r="AW725" s="65">
        <v>0.7</v>
      </c>
      <c r="AX725" s="65">
        <v>0.7</v>
      </c>
      <c r="AY725" s="65">
        <v>0.7</v>
      </c>
      <c r="AZ725" s="65">
        <v>0.7</v>
      </c>
      <c r="BA725" s="65">
        <v>0.7</v>
      </c>
      <c r="BB725" s="65">
        <v>0.7</v>
      </c>
      <c r="BC725" s="65">
        <v>0.8</v>
      </c>
      <c r="BD725" s="65">
        <v>0.8</v>
      </c>
      <c r="BE725" s="65">
        <v>0.8</v>
      </c>
      <c r="BF725" s="65">
        <v>0.8</v>
      </c>
      <c r="BG725" s="65">
        <v>0.8</v>
      </c>
      <c r="BH725" s="65">
        <v>0.8</v>
      </c>
      <c r="BI725" s="65">
        <v>0.8</v>
      </c>
      <c r="BJ725" s="65">
        <v>0.8</v>
      </c>
      <c r="BK725" s="65">
        <v>0.8</v>
      </c>
      <c r="BL725" s="65">
        <v>0.8</v>
      </c>
      <c r="BM725" s="65">
        <v>0.8</v>
      </c>
      <c r="BN725" s="65">
        <v>0.8</v>
      </c>
      <c r="BO725" s="65">
        <v>0.8</v>
      </c>
    </row>
    <row r="726" spans="1:67" s="58" customFormat="1" x14ac:dyDescent="0.2">
      <c r="A726" s="49" t="s">
        <v>67</v>
      </c>
      <c r="B726" s="50">
        <v>43256</v>
      </c>
      <c r="C726" s="51">
        <v>0.43472222222222201</v>
      </c>
      <c r="D726" s="49" t="s">
        <v>247</v>
      </c>
      <c r="E726" s="49">
        <v>3</v>
      </c>
      <c r="F726" s="52">
        <v>62</v>
      </c>
      <c r="G726" s="53">
        <v>2</v>
      </c>
      <c r="H726" s="54">
        <v>3.2258064516129031E-2</v>
      </c>
      <c r="I726" s="55">
        <v>6.83E-2</v>
      </c>
      <c r="J726" s="53">
        <v>314.15899999999999</v>
      </c>
      <c r="K726" s="53">
        <v>0.75129999999999997</v>
      </c>
      <c r="L726" s="53">
        <v>11</v>
      </c>
      <c r="M726" s="56">
        <v>209.07693331558633</v>
      </c>
      <c r="N726" s="53">
        <v>1519</v>
      </c>
      <c r="O726" s="58" t="s">
        <v>301</v>
      </c>
      <c r="P726" s="57" t="s">
        <v>82</v>
      </c>
      <c r="Q726" s="53" t="s">
        <v>302</v>
      </c>
      <c r="R726" s="53" t="s">
        <v>84</v>
      </c>
      <c r="S726" s="53"/>
      <c r="T726" s="59">
        <v>1</v>
      </c>
      <c r="U726" s="59">
        <v>8</v>
      </c>
      <c r="V726" s="53">
        <v>0.9</v>
      </c>
      <c r="W726" s="53"/>
      <c r="X726" s="53"/>
      <c r="Y726" s="9">
        <f t="shared" si="11"/>
        <v>209.07693331558633</v>
      </c>
      <c r="Z726" s="60" t="s">
        <v>97</v>
      </c>
      <c r="AA726" s="58" t="s">
        <v>300</v>
      </c>
      <c r="AB726" s="58" t="s">
        <v>75</v>
      </c>
      <c r="AC726" s="61" t="s">
        <v>221</v>
      </c>
      <c r="AD726" s="53" t="s">
        <v>85</v>
      </c>
      <c r="AE726" s="56">
        <v>0.381703185</v>
      </c>
      <c r="AF726" s="62"/>
      <c r="AG726" s="63"/>
      <c r="AH726" s="61"/>
      <c r="AO726" s="64" t="s">
        <v>78</v>
      </c>
      <c r="AP726" s="65">
        <v>0.9</v>
      </c>
      <c r="AQ726" s="65">
        <v>0.9</v>
      </c>
      <c r="AR726" s="65">
        <v>0.9</v>
      </c>
      <c r="AS726" s="65">
        <v>0.9</v>
      </c>
      <c r="AT726" s="65">
        <v>0.9</v>
      </c>
      <c r="AU726" s="65">
        <v>0.9</v>
      </c>
      <c r="AV726" s="65"/>
      <c r="AW726" s="65"/>
      <c r="AX726" s="65"/>
      <c r="AY726" s="65"/>
      <c r="AZ726" s="65"/>
      <c r="BA726" s="65"/>
      <c r="BB726" s="65"/>
      <c r="BC726" s="65"/>
      <c r="BD726" s="65"/>
      <c r="BE726" s="65"/>
      <c r="BF726" s="65"/>
      <c r="BG726" s="65"/>
      <c r="BH726" s="65"/>
      <c r="BI726" s="65"/>
      <c r="BJ726" s="65"/>
      <c r="BK726" s="65"/>
      <c r="BL726" s="65"/>
      <c r="BM726" s="65"/>
      <c r="BN726" s="65"/>
      <c r="BO726" s="65"/>
    </row>
    <row r="727" spans="1:67" s="58" customFormat="1" x14ac:dyDescent="0.2">
      <c r="A727" s="49" t="s">
        <v>67</v>
      </c>
      <c r="B727" s="50">
        <v>43256</v>
      </c>
      <c r="C727" s="51">
        <v>0.40277777777777801</v>
      </c>
      <c r="D727" s="49" t="s">
        <v>222</v>
      </c>
      <c r="E727" s="49">
        <v>3</v>
      </c>
      <c r="F727" s="52">
        <v>58.5</v>
      </c>
      <c r="G727" s="53">
        <v>2</v>
      </c>
      <c r="H727" s="54">
        <v>3.4188034188034191E-2</v>
      </c>
      <c r="I727" s="55">
        <v>6.83E-2</v>
      </c>
      <c r="J727" s="53">
        <v>314.15899999999999</v>
      </c>
      <c r="K727" s="53">
        <v>0.5464</v>
      </c>
      <c r="L727" s="53">
        <v>8</v>
      </c>
      <c r="M727" s="56">
        <v>287.48078330893117</v>
      </c>
      <c r="N727" s="53">
        <v>145</v>
      </c>
      <c r="O727" s="57" t="s">
        <v>69</v>
      </c>
      <c r="P727" s="58" t="s">
        <v>70</v>
      </c>
      <c r="Q727" s="53" t="s">
        <v>71</v>
      </c>
      <c r="R727" s="53" t="s">
        <v>72</v>
      </c>
      <c r="S727" s="53"/>
      <c r="T727" s="59">
        <v>1</v>
      </c>
      <c r="U727" s="59">
        <v>1</v>
      </c>
      <c r="V727" s="53">
        <v>14.8</v>
      </c>
      <c r="W727" s="53"/>
      <c r="X727" s="53"/>
      <c r="Y727" s="9">
        <f t="shared" si="11"/>
        <v>287.48078330893117</v>
      </c>
      <c r="Z727" s="60" t="s">
        <v>73</v>
      </c>
      <c r="AA727" s="58" t="s">
        <v>303</v>
      </c>
      <c r="AB727" s="58" t="s">
        <v>75</v>
      </c>
      <c r="AC727" s="61" t="s">
        <v>221</v>
      </c>
      <c r="AD727" s="53" t="s">
        <v>77</v>
      </c>
      <c r="AE727" s="56">
        <v>331.97809847999991</v>
      </c>
      <c r="AF727" s="62"/>
      <c r="AG727" s="63"/>
      <c r="AH727" s="61"/>
      <c r="AO727" s="64" t="s">
        <v>78</v>
      </c>
      <c r="AP727" s="65">
        <v>14.8</v>
      </c>
      <c r="AQ727" s="65">
        <v>14.8</v>
      </c>
      <c r="AR727" s="65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  <c r="BD727" s="65"/>
      <c r="BE727" s="65"/>
      <c r="BF727" s="65"/>
      <c r="BG727" s="65"/>
      <c r="BH727" s="65"/>
      <c r="BI727" s="65"/>
      <c r="BJ727" s="65"/>
      <c r="BK727" s="65"/>
      <c r="BL727" s="65"/>
      <c r="BM727" s="65"/>
      <c r="BN727" s="65"/>
      <c r="BO727" s="65"/>
    </row>
    <row r="728" spans="1:67" s="58" customFormat="1" x14ac:dyDescent="0.2">
      <c r="A728" s="49"/>
      <c r="B728" s="50"/>
      <c r="C728" s="51"/>
      <c r="D728" s="49"/>
      <c r="E728" s="49"/>
      <c r="F728" s="52"/>
      <c r="G728" s="53"/>
      <c r="H728" s="54"/>
      <c r="I728" s="55"/>
      <c r="J728" s="53"/>
      <c r="K728" s="53"/>
      <c r="L728" s="53"/>
      <c r="M728" s="56"/>
      <c r="N728" s="53"/>
      <c r="O728" s="57"/>
      <c r="Q728" s="53"/>
      <c r="R728" s="53"/>
      <c r="S728" s="53"/>
      <c r="T728" s="59"/>
      <c r="U728" s="59"/>
      <c r="V728" s="53"/>
      <c r="W728" s="53"/>
      <c r="X728" s="53"/>
      <c r="Y728" s="9" t="e">
        <f t="shared" si="11"/>
        <v>#DIV/0!</v>
      </c>
      <c r="Z728" s="60"/>
      <c r="AC728" s="61"/>
      <c r="AD728" s="53"/>
      <c r="AE728" s="56"/>
      <c r="AF728" s="62"/>
      <c r="AG728" s="63"/>
      <c r="AH728" s="61"/>
      <c r="AO728" s="64" t="s">
        <v>79</v>
      </c>
      <c r="AP728" s="65">
        <v>10.199999999999999</v>
      </c>
      <c r="AQ728" s="65">
        <v>10.199999999999999</v>
      </c>
      <c r="AR728" s="65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  <c r="BD728" s="65"/>
      <c r="BE728" s="65"/>
      <c r="BF728" s="65"/>
      <c r="BG728" s="65"/>
      <c r="BH728" s="65"/>
      <c r="BI728" s="65"/>
      <c r="BJ728" s="65"/>
      <c r="BK728" s="65"/>
      <c r="BL728" s="65"/>
      <c r="BM728" s="65"/>
      <c r="BN728" s="65"/>
      <c r="BO728" s="65"/>
    </row>
    <row r="729" spans="1:67" s="58" customFormat="1" x14ac:dyDescent="0.2">
      <c r="A729" s="49"/>
      <c r="B729" s="50"/>
      <c r="C729" s="51"/>
      <c r="D729" s="49"/>
      <c r="E729" s="49"/>
      <c r="F729" s="52"/>
      <c r="G729" s="53"/>
      <c r="H729" s="54"/>
      <c r="I729" s="55"/>
      <c r="J729" s="53"/>
      <c r="K729" s="53"/>
      <c r="L729" s="53"/>
      <c r="M729" s="56"/>
      <c r="N729" s="53"/>
      <c r="O729" s="57"/>
      <c r="Q729" s="53"/>
      <c r="R729" s="53"/>
      <c r="S729" s="53"/>
      <c r="T729" s="59"/>
      <c r="U729" s="59"/>
      <c r="V729" s="53"/>
      <c r="W729" s="53"/>
      <c r="X729" s="53"/>
      <c r="Y729" s="9" t="e">
        <f t="shared" si="11"/>
        <v>#DIV/0!</v>
      </c>
      <c r="Z729" s="60"/>
      <c r="AC729" s="61"/>
      <c r="AD729" s="53"/>
      <c r="AE729" s="56"/>
      <c r="AF729" s="62"/>
      <c r="AG729" s="63"/>
      <c r="AH729" s="61"/>
      <c r="AO729" s="64" t="s">
        <v>80</v>
      </c>
      <c r="AP729" s="65">
        <v>2.8</v>
      </c>
      <c r="AQ729" s="65">
        <v>2.8</v>
      </c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65"/>
      <c r="BH729" s="65"/>
      <c r="BI729" s="65"/>
      <c r="BJ729" s="65"/>
      <c r="BK729" s="65"/>
      <c r="BL729" s="65"/>
      <c r="BM729" s="65"/>
      <c r="BN729" s="65"/>
      <c r="BO729" s="65"/>
    </row>
    <row r="730" spans="1:67" s="58" customFormat="1" x14ac:dyDescent="0.2">
      <c r="A730" s="49" t="s">
        <v>67</v>
      </c>
      <c r="B730" s="50">
        <v>43256</v>
      </c>
      <c r="C730" s="51">
        <v>0.40277777777777801</v>
      </c>
      <c r="D730" s="49" t="s">
        <v>222</v>
      </c>
      <c r="E730" s="49">
        <v>3</v>
      </c>
      <c r="F730" s="52">
        <v>58.5</v>
      </c>
      <c r="G730" s="53">
        <v>2</v>
      </c>
      <c r="H730" s="54">
        <v>3.4188034188034191E-2</v>
      </c>
      <c r="I730" s="55">
        <v>6.83E-2</v>
      </c>
      <c r="J730" s="53">
        <v>314.15899999999999</v>
      </c>
      <c r="K730" s="53">
        <v>0.5464</v>
      </c>
      <c r="L730" s="53">
        <v>8</v>
      </c>
      <c r="M730" s="56">
        <v>287.48078330893117</v>
      </c>
      <c r="N730" s="53">
        <v>190</v>
      </c>
      <c r="O730" s="57" t="s">
        <v>296</v>
      </c>
      <c r="P730" s="58" t="s">
        <v>70</v>
      </c>
      <c r="Q730" s="53" t="s">
        <v>103</v>
      </c>
      <c r="R730" s="53" t="s">
        <v>84</v>
      </c>
      <c r="S730" s="53"/>
      <c r="T730" s="59">
        <v>1</v>
      </c>
      <c r="U730" s="59">
        <v>1</v>
      </c>
      <c r="V730" s="53">
        <v>9.3000000000000007</v>
      </c>
      <c r="W730" s="53"/>
      <c r="X730" s="53"/>
      <c r="Y730" s="9">
        <f t="shared" si="11"/>
        <v>287.48078330893117</v>
      </c>
      <c r="Z730" s="60" t="s">
        <v>73</v>
      </c>
      <c r="AA730" s="58" t="s">
        <v>303</v>
      </c>
      <c r="AB730" s="58" t="s">
        <v>75</v>
      </c>
      <c r="AC730" s="61" t="s">
        <v>221</v>
      </c>
      <c r="AD730" s="53" t="s">
        <v>104</v>
      </c>
      <c r="AE730" s="56">
        <v>380.40256674</v>
      </c>
      <c r="AF730" s="62"/>
      <c r="AG730" s="63"/>
      <c r="AH730" s="61"/>
      <c r="AO730" s="64" t="s">
        <v>78</v>
      </c>
      <c r="AP730" s="65">
        <v>5.6</v>
      </c>
      <c r="AQ730" s="65">
        <v>5.6</v>
      </c>
      <c r="AR730" s="65"/>
      <c r="AS730" s="65"/>
      <c r="AT730" s="65"/>
      <c r="AU730" s="65"/>
      <c r="AV730" s="65"/>
      <c r="AW730" s="65"/>
      <c r="AX730" s="65"/>
      <c r="AY730" s="65"/>
      <c r="AZ730" s="65"/>
      <c r="BA730" s="65"/>
      <c r="BB730" s="65"/>
      <c r="BC730" s="65"/>
      <c r="BD730" s="65"/>
      <c r="BE730" s="65"/>
      <c r="BF730" s="65"/>
      <c r="BG730" s="65"/>
      <c r="BH730" s="65"/>
      <c r="BI730" s="65"/>
      <c r="BJ730" s="65"/>
      <c r="BK730" s="65"/>
      <c r="BL730" s="65"/>
      <c r="BM730" s="65"/>
      <c r="BN730" s="65"/>
      <c r="BO730" s="65"/>
    </row>
    <row r="731" spans="1:67" s="58" customFormat="1" x14ac:dyDescent="0.2">
      <c r="A731" s="49"/>
      <c r="B731" s="50"/>
      <c r="C731" s="51"/>
      <c r="D731" s="49"/>
      <c r="E731" s="49"/>
      <c r="F731" s="52"/>
      <c r="G731" s="53"/>
      <c r="H731" s="54"/>
      <c r="I731" s="55"/>
      <c r="J731" s="53"/>
      <c r="K731" s="53"/>
      <c r="L731" s="53"/>
      <c r="M731" s="56"/>
      <c r="N731" s="53"/>
      <c r="O731" s="57"/>
      <c r="Q731" s="53"/>
      <c r="R731" s="53"/>
      <c r="S731" s="53"/>
      <c r="T731" s="59"/>
      <c r="U731" s="59"/>
      <c r="V731" s="53"/>
      <c r="W731" s="53"/>
      <c r="X731" s="53"/>
      <c r="Y731" s="9" t="e">
        <f t="shared" si="11"/>
        <v>#DIV/0!</v>
      </c>
      <c r="Z731" s="60"/>
      <c r="AC731" s="61"/>
      <c r="AD731" s="53"/>
      <c r="AE731" s="56"/>
      <c r="AF731" s="62"/>
      <c r="AG731" s="63"/>
      <c r="AH731" s="61"/>
      <c r="AO731" s="64" t="s">
        <v>79</v>
      </c>
      <c r="AP731" s="65">
        <v>9.3000000000000007</v>
      </c>
      <c r="AQ731" s="65">
        <v>9.3000000000000007</v>
      </c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  <c r="BD731" s="65"/>
      <c r="BE731" s="65"/>
      <c r="BF731" s="65"/>
      <c r="BG731" s="65"/>
      <c r="BH731" s="65"/>
      <c r="BI731" s="65"/>
      <c r="BJ731" s="65"/>
      <c r="BK731" s="65"/>
      <c r="BL731" s="65"/>
      <c r="BM731" s="65"/>
      <c r="BN731" s="65"/>
      <c r="BO731" s="65"/>
    </row>
    <row r="732" spans="1:67" s="58" customFormat="1" x14ac:dyDescent="0.2">
      <c r="A732" s="49" t="s">
        <v>67</v>
      </c>
      <c r="B732" s="50">
        <v>43256</v>
      </c>
      <c r="C732" s="51">
        <v>0.40277777777777801</v>
      </c>
      <c r="D732" s="49" t="s">
        <v>222</v>
      </c>
      <c r="E732" s="49">
        <v>3</v>
      </c>
      <c r="F732" s="52">
        <v>58.5</v>
      </c>
      <c r="G732" s="53">
        <v>2</v>
      </c>
      <c r="H732" s="54">
        <v>3.4188034188034191E-2</v>
      </c>
      <c r="I732" s="55">
        <v>6.83E-2</v>
      </c>
      <c r="J732" s="53">
        <v>314.15899999999999</v>
      </c>
      <c r="K732" s="53">
        <v>0.5464</v>
      </c>
      <c r="L732" s="53">
        <v>8</v>
      </c>
      <c r="M732" s="56">
        <v>287.48078330893117</v>
      </c>
      <c r="N732" s="53">
        <v>749</v>
      </c>
      <c r="O732" s="57" t="s">
        <v>190</v>
      </c>
      <c r="P732" s="58" t="s">
        <v>70</v>
      </c>
      <c r="Q732" s="53" t="s">
        <v>191</v>
      </c>
      <c r="R732" s="53" t="s">
        <v>84</v>
      </c>
      <c r="S732" s="53"/>
      <c r="T732" s="59">
        <v>1</v>
      </c>
      <c r="U732" s="59">
        <v>1</v>
      </c>
      <c r="V732" s="53">
        <v>18.5</v>
      </c>
      <c r="W732" s="53"/>
      <c r="X732" s="53"/>
      <c r="Y732" s="9">
        <f t="shared" si="11"/>
        <v>287.48078330893117</v>
      </c>
      <c r="Z732" s="60" t="s">
        <v>73</v>
      </c>
      <c r="AA732" s="58" t="s">
        <v>303</v>
      </c>
      <c r="AB732" s="58" t="s">
        <v>75</v>
      </c>
      <c r="AC732" s="61" t="s">
        <v>221</v>
      </c>
      <c r="AD732" s="53" t="s">
        <v>193</v>
      </c>
      <c r="AE732" s="56">
        <v>126.63250000000001</v>
      </c>
      <c r="AF732" s="62"/>
      <c r="AG732" s="63"/>
      <c r="AH732" s="61"/>
      <c r="AO732" s="64" t="s">
        <v>78</v>
      </c>
      <c r="AP732" s="65">
        <v>18.5</v>
      </c>
      <c r="AQ732" s="65">
        <v>18.5</v>
      </c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  <c r="BD732" s="65"/>
      <c r="BE732" s="65"/>
      <c r="BF732" s="65"/>
      <c r="BG732" s="65"/>
      <c r="BH732" s="65"/>
      <c r="BI732" s="65"/>
      <c r="BJ732" s="65"/>
      <c r="BK732" s="65"/>
      <c r="BL732" s="65"/>
      <c r="BM732" s="65"/>
      <c r="BN732" s="65"/>
      <c r="BO732" s="65"/>
    </row>
    <row r="733" spans="1:67" s="58" customFormat="1" x14ac:dyDescent="0.2">
      <c r="A733" s="49"/>
      <c r="B733" s="50"/>
      <c r="C733" s="51"/>
      <c r="D733" s="49"/>
      <c r="E733" s="49"/>
      <c r="F733" s="52"/>
      <c r="G733" s="53"/>
      <c r="H733" s="54"/>
      <c r="I733" s="55"/>
      <c r="J733" s="53"/>
      <c r="K733" s="53"/>
      <c r="L733" s="53"/>
      <c r="M733" s="56"/>
      <c r="N733" s="53"/>
      <c r="O733" s="57"/>
      <c r="Q733" s="53"/>
      <c r="R733" s="53"/>
      <c r="S733" s="53"/>
      <c r="T733" s="59"/>
      <c r="U733" s="59"/>
      <c r="V733" s="53"/>
      <c r="W733" s="53"/>
      <c r="X733" s="53"/>
      <c r="Y733" s="9" t="e">
        <f t="shared" si="11"/>
        <v>#DIV/0!</v>
      </c>
      <c r="Z733" s="60"/>
      <c r="AC733" s="61"/>
      <c r="AD733" s="53"/>
      <c r="AE733" s="56"/>
      <c r="AF733" s="62"/>
      <c r="AG733" s="63"/>
      <c r="AH733" s="61"/>
      <c r="AO733" s="64" t="s">
        <v>79</v>
      </c>
      <c r="AP733" s="65">
        <v>3.7</v>
      </c>
      <c r="AQ733" s="65">
        <v>3.7</v>
      </c>
      <c r="AR733" s="65"/>
      <c r="AS733" s="65"/>
      <c r="AT733" s="65"/>
      <c r="AU733" s="65"/>
      <c r="AV733" s="65"/>
      <c r="AW733" s="65"/>
      <c r="AX733" s="65"/>
      <c r="AY733" s="65"/>
      <c r="AZ733" s="65"/>
      <c r="BA733" s="65"/>
      <c r="BB733" s="65"/>
      <c r="BC733" s="65"/>
      <c r="BD733" s="65"/>
      <c r="BE733" s="65"/>
      <c r="BF733" s="65"/>
      <c r="BG733" s="65"/>
      <c r="BH733" s="65"/>
      <c r="BI733" s="65"/>
      <c r="BJ733" s="65"/>
      <c r="BK733" s="65"/>
      <c r="BL733" s="65"/>
      <c r="BM733" s="65"/>
      <c r="BN733" s="65"/>
      <c r="BO733" s="65"/>
    </row>
    <row r="734" spans="1:67" s="58" customFormat="1" x14ac:dyDescent="0.2">
      <c r="A734" s="49"/>
      <c r="B734" s="50"/>
      <c r="C734" s="51"/>
      <c r="D734" s="49"/>
      <c r="E734" s="49"/>
      <c r="F734" s="52"/>
      <c r="G734" s="53"/>
      <c r="H734" s="54"/>
      <c r="I734" s="55"/>
      <c r="J734" s="53"/>
      <c r="K734" s="53"/>
      <c r="L734" s="53"/>
      <c r="M734" s="56"/>
      <c r="N734" s="53"/>
      <c r="O734" s="57"/>
      <c r="Q734" s="53"/>
      <c r="R734" s="53"/>
      <c r="S734" s="53"/>
      <c r="T734" s="59"/>
      <c r="U734" s="59"/>
      <c r="V734" s="53"/>
      <c r="W734" s="53"/>
      <c r="X734" s="53"/>
      <c r="Y734" s="9" t="e">
        <f t="shared" si="11"/>
        <v>#DIV/0!</v>
      </c>
      <c r="Z734" s="60"/>
      <c r="AC734" s="61"/>
      <c r="AD734" s="53"/>
      <c r="AE734" s="56"/>
      <c r="AF734" s="62"/>
      <c r="AG734" s="63"/>
      <c r="AH734" s="61"/>
      <c r="AO734" s="64" t="s">
        <v>80</v>
      </c>
      <c r="AP734" s="65">
        <v>3.7</v>
      </c>
      <c r="AQ734" s="65">
        <v>3.7</v>
      </c>
      <c r="AR734" s="65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  <c r="BD734" s="65"/>
      <c r="BE734" s="65"/>
      <c r="BF734" s="65"/>
      <c r="BG734" s="65"/>
      <c r="BH734" s="65"/>
      <c r="BI734" s="65"/>
      <c r="BJ734" s="65"/>
      <c r="BK734" s="65"/>
      <c r="BL734" s="65"/>
      <c r="BM734" s="65"/>
      <c r="BN734" s="65"/>
      <c r="BO734" s="65"/>
    </row>
    <row r="735" spans="1:67" s="58" customFormat="1" x14ac:dyDescent="0.2">
      <c r="A735" s="49" t="s">
        <v>67</v>
      </c>
      <c r="B735" s="50">
        <v>43256</v>
      </c>
      <c r="C735" s="51">
        <v>0.40277777777777801</v>
      </c>
      <c r="D735" s="49" t="s">
        <v>222</v>
      </c>
      <c r="E735" s="49">
        <v>3</v>
      </c>
      <c r="F735" s="52">
        <v>58.5</v>
      </c>
      <c r="G735" s="53">
        <v>2</v>
      </c>
      <c r="H735" s="54">
        <v>3.4188034188034191E-2</v>
      </c>
      <c r="I735" s="55">
        <v>6.83E-2</v>
      </c>
      <c r="J735" s="53">
        <v>314.15899999999999</v>
      </c>
      <c r="K735" s="53">
        <v>0.5464</v>
      </c>
      <c r="L735" s="53">
        <v>8</v>
      </c>
      <c r="M735" s="56">
        <v>287.48078330893117</v>
      </c>
      <c r="N735" s="53">
        <v>1037</v>
      </c>
      <c r="O735" s="57" t="s">
        <v>86</v>
      </c>
      <c r="P735" s="57" t="s">
        <v>82</v>
      </c>
      <c r="Q735" s="53" t="s">
        <v>87</v>
      </c>
      <c r="R735" s="53" t="s">
        <v>84</v>
      </c>
      <c r="S735" s="53"/>
      <c r="T735" s="59">
        <v>13</v>
      </c>
      <c r="U735" s="59">
        <v>13</v>
      </c>
      <c r="V735" s="53">
        <v>2.8</v>
      </c>
      <c r="W735" s="53"/>
      <c r="X735" s="53"/>
      <c r="Y735" s="9">
        <f t="shared" si="11"/>
        <v>3737.2501830161054</v>
      </c>
      <c r="Z735" s="60" t="s">
        <v>73</v>
      </c>
      <c r="AA735" s="58" t="s">
        <v>303</v>
      </c>
      <c r="AB735" s="58" t="s">
        <v>75</v>
      </c>
      <c r="AC735" s="61" t="s">
        <v>221</v>
      </c>
      <c r="AD735" s="53" t="s">
        <v>85</v>
      </c>
      <c r="AE735" s="56">
        <v>7.2382233599999992</v>
      </c>
      <c r="AF735" s="62"/>
      <c r="AG735" s="63"/>
      <c r="AH735" s="61"/>
      <c r="AO735" s="64" t="s">
        <v>78</v>
      </c>
      <c r="AP735" s="65">
        <v>2.44</v>
      </c>
      <c r="AQ735" s="65">
        <v>2.8</v>
      </c>
      <c r="AR735" s="65">
        <v>1.9</v>
      </c>
      <c r="AS735" s="65">
        <v>2.8</v>
      </c>
      <c r="AT735" s="65">
        <v>2.8</v>
      </c>
      <c r="AU735" s="65">
        <v>1.9</v>
      </c>
      <c r="AV735" s="65"/>
      <c r="AW735" s="65"/>
      <c r="AX735" s="65"/>
      <c r="AY735" s="65"/>
      <c r="AZ735" s="65"/>
      <c r="BA735" s="65"/>
      <c r="BB735" s="65"/>
      <c r="BC735" s="65"/>
      <c r="BD735" s="65"/>
      <c r="BE735" s="65"/>
      <c r="BF735" s="65"/>
      <c r="BG735" s="65"/>
      <c r="BH735" s="65"/>
      <c r="BI735" s="65"/>
      <c r="BJ735" s="65"/>
      <c r="BK735" s="65"/>
      <c r="BL735" s="65"/>
      <c r="BM735" s="65"/>
      <c r="BN735" s="65"/>
      <c r="BO735" s="65"/>
    </row>
    <row r="736" spans="1:67" s="58" customFormat="1" x14ac:dyDescent="0.2">
      <c r="A736" s="49" t="s">
        <v>67</v>
      </c>
      <c r="B736" s="50">
        <v>43256</v>
      </c>
      <c r="C736" s="51">
        <v>0.40277777777777801</v>
      </c>
      <c r="D736" s="49" t="s">
        <v>222</v>
      </c>
      <c r="E736" s="49">
        <v>3</v>
      </c>
      <c r="F736" s="52">
        <v>58.5</v>
      </c>
      <c r="G736" s="53">
        <v>2</v>
      </c>
      <c r="H736" s="54">
        <v>3.4188034188034191E-2</v>
      </c>
      <c r="I736" s="55">
        <v>6.83E-2</v>
      </c>
      <c r="J736" s="53">
        <v>314.15899999999999</v>
      </c>
      <c r="K736" s="53">
        <v>0.5464</v>
      </c>
      <c r="L736" s="53">
        <v>8</v>
      </c>
      <c r="M736" s="56">
        <v>287.48078330893117</v>
      </c>
      <c r="N736" s="53">
        <v>1135</v>
      </c>
      <c r="O736" s="58" t="s">
        <v>282</v>
      </c>
      <c r="P736" s="57" t="s">
        <v>82</v>
      </c>
      <c r="Q736" s="53" t="s">
        <v>127</v>
      </c>
      <c r="R736" s="53" t="s">
        <v>283</v>
      </c>
      <c r="S736" s="53"/>
      <c r="T736" s="59">
        <v>1</v>
      </c>
      <c r="U736" s="59">
        <v>1</v>
      </c>
      <c r="V736" s="53">
        <v>9.3000000000000007</v>
      </c>
      <c r="W736" s="53"/>
      <c r="X736" s="53"/>
      <c r="Y736" s="9">
        <f t="shared" si="11"/>
        <v>287.48078330893117</v>
      </c>
      <c r="Z736" s="60" t="s">
        <v>73</v>
      </c>
      <c r="AA736" s="58" t="s">
        <v>303</v>
      </c>
      <c r="AB736" s="58" t="s">
        <v>75</v>
      </c>
      <c r="AC736" s="61" t="s">
        <v>221</v>
      </c>
      <c r="AD736" s="53" t="s">
        <v>129</v>
      </c>
      <c r="AE736" s="56">
        <v>17.578766844999997</v>
      </c>
      <c r="AF736" s="62"/>
      <c r="AG736" s="63"/>
      <c r="AH736" s="61"/>
      <c r="AO736" s="64" t="s">
        <v>78</v>
      </c>
      <c r="AP736" s="65">
        <v>9.3000000000000007</v>
      </c>
      <c r="AQ736" s="65">
        <v>9.3000000000000007</v>
      </c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  <c r="BD736" s="65"/>
      <c r="BE736" s="65"/>
      <c r="BF736" s="65"/>
      <c r="BG736" s="65"/>
      <c r="BH736" s="65"/>
      <c r="BI736" s="65"/>
      <c r="BJ736" s="65"/>
      <c r="BK736" s="65"/>
      <c r="BL736" s="65"/>
      <c r="BM736" s="65"/>
      <c r="BN736" s="65"/>
      <c r="BO736" s="65"/>
    </row>
    <row r="737" spans="1:67" s="58" customFormat="1" x14ac:dyDescent="0.2">
      <c r="A737" s="49"/>
      <c r="B737" s="50"/>
      <c r="C737" s="51"/>
      <c r="D737" s="49"/>
      <c r="E737" s="49"/>
      <c r="F737" s="52"/>
      <c r="G737" s="53"/>
      <c r="H737" s="54"/>
      <c r="I737" s="55"/>
      <c r="J737" s="53"/>
      <c r="K737" s="53"/>
      <c r="L737" s="53"/>
      <c r="M737" s="56"/>
      <c r="N737" s="53"/>
      <c r="P737" s="57"/>
      <c r="Q737" s="53"/>
      <c r="R737" s="53"/>
      <c r="S737" s="53"/>
      <c r="T737" s="59"/>
      <c r="U737" s="59"/>
      <c r="V737" s="53"/>
      <c r="W737" s="53"/>
      <c r="X737" s="53"/>
      <c r="Y737" s="9" t="e">
        <f t="shared" si="11"/>
        <v>#DIV/0!</v>
      </c>
      <c r="Z737" s="60"/>
      <c r="AC737" s="61"/>
      <c r="AD737" s="53"/>
      <c r="AE737" s="56"/>
      <c r="AF737" s="62"/>
      <c r="AG737" s="63"/>
      <c r="AH737" s="61"/>
      <c r="AO737" s="64" t="s">
        <v>79</v>
      </c>
      <c r="AP737" s="65">
        <v>1.9</v>
      </c>
      <c r="AQ737" s="65">
        <v>1.9</v>
      </c>
      <c r="AR737" s="65"/>
      <c r="AS737" s="65"/>
      <c r="AT737" s="65"/>
      <c r="AU737" s="65"/>
      <c r="AV737" s="65"/>
      <c r="AW737" s="65"/>
      <c r="AX737" s="65"/>
      <c r="AY737" s="65"/>
      <c r="AZ737" s="65"/>
      <c r="BA737" s="65"/>
      <c r="BB737" s="65"/>
      <c r="BC737" s="65"/>
      <c r="BD737" s="65"/>
      <c r="BE737" s="65"/>
      <c r="BF737" s="65"/>
      <c r="BG737" s="65"/>
      <c r="BH737" s="65"/>
      <c r="BI737" s="65"/>
      <c r="BJ737" s="65"/>
      <c r="BK737" s="65"/>
      <c r="BL737" s="65"/>
      <c r="BM737" s="65"/>
      <c r="BN737" s="65"/>
      <c r="BO737" s="65"/>
    </row>
    <row r="738" spans="1:67" s="58" customFormat="1" x14ac:dyDescent="0.2">
      <c r="A738" s="49" t="s">
        <v>67</v>
      </c>
      <c r="B738" s="50">
        <v>43256</v>
      </c>
      <c r="C738" s="51">
        <v>0.40277777777777801</v>
      </c>
      <c r="D738" s="49" t="s">
        <v>222</v>
      </c>
      <c r="E738" s="49">
        <v>3</v>
      </c>
      <c r="F738" s="52">
        <v>58.5</v>
      </c>
      <c r="G738" s="53">
        <v>2</v>
      </c>
      <c r="H738" s="54">
        <v>3.4188034188034191E-2</v>
      </c>
      <c r="I738" s="55">
        <v>6.83E-2</v>
      </c>
      <c r="J738" s="53">
        <v>314.15899999999999</v>
      </c>
      <c r="K738" s="53">
        <v>0.5464</v>
      </c>
      <c r="L738" s="53">
        <v>8</v>
      </c>
      <c r="M738" s="56">
        <v>287.48078330893117</v>
      </c>
      <c r="N738" s="53">
        <v>1733</v>
      </c>
      <c r="O738" s="57" t="s">
        <v>304</v>
      </c>
      <c r="P738" s="57" t="s">
        <v>82</v>
      </c>
      <c r="Q738" s="53" t="s">
        <v>89</v>
      </c>
      <c r="R738" s="53" t="s">
        <v>93</v>
      </c>
      <c r="S738" s="53"/>
      <c r="T738" s="59">
        <v>2</v>
      </c>
      <c r="U738" s="59">
        <v>2</v>
      </c>
      <c r="V738" s="53">
        <v>5.6</v>
      </c>
      <c r="W738" s="53"/>
      <c r="X738" s="53"/>
      <c r="Y738" s="9">
        <f t="shared" si="11"/>
        <v>574.96156661786233</v>
      </c>
      <c r="Z738" s="60" t="s">
        <v>73</v>
      </c>
      <c r="AA738" s="58" t="s">
        <v>303</v>
      </c>
      <c r="AB738" s="58" t="s">
        <v>75</v>
      </c>
      <c r="AC738" s="61" t="s">
        <v>221</v>
      </c>
      <c r="AD738" s="53" t="s">
        <v>91</v>
      </c>
      <c r="AE738" s="56">
        <v>76.353203359999995</v>
      </c>
      <c r="AF738" s="62"/>
      <c r="AG738" s="63"/>
      <c r="AH738" s="61"/>
      <c r="AO738" s="64" t="s">
        <v>78</v>
      </c>
      <c r="AP738" s="65">
        <v>5.6</v>
      </c>
      <c r="AQ738" s="65">
        <v>5.6</v>
      </c>
      <c r="AR738" s="65">
        <v>5.6</v>
      </c>
      <c r="AS738" s="65"/>
      <c r="AT738" s="65"/>
      <c r="AU738" s="65"/>
      <c r="AV738" s="65"/>
      <c r="AW738" s="65"/>
      <c r="AX738" s="65"/>
      <c r="AY738" s="65"/>
      <c r="AZ738" s="65"/>
      <c r="BA738" s="65"/>
      <c r="BB738" s="65"/>
      <c r="BC738" s="65"/>
      <c r="BD738" s="65"/>
      <c r="BE738" s="65"/>
      <c r="BF738" s="65"/>
      <c r="BG738" s="65"/>
      <c r="BH738" s="65"/>
      <c r="BI738" s="65"/>
      <c r="BJ738" s="65"/>
      <c r="BK738" s="65"/>
      <c r="BL738" s="65"/>
      <c r="BM738" s="65"/>
      <c r="BN738" s="65"/>
      <c r="BO738" s="65"/>
    </row>
    <row r="739" spans="1:67" s="58" customFormat="1" x14ac:dyDescent="0.2">
      <c r="A739" s="49"/>
      <c r="B739" s="50"/>
      <c r="C739" s="51"/>
      <c r="D739" s="49"/>
      <c r="E739" s="49"/>
      <c r="F739" s="52"/>
      <c r="G739" s="53"/>
      <c r="H739" s="54"/>
      <c r="I739" s="55"/>
      <c r="J739" s="53"/>
      <c r="K739" s="53"/>
      <c r="L739" s="53"/>
      <c r="M739" s="56"/>
      <c r="N739" s="53"/>
      <c r="O739" s="57"/>
      <c r="P739" s="57"/>
      <c r="Q739" s="53"/>
      <c r="R739" s="53"/>
      <c r="S739" s="53"/>
      <c r="T739" s="59"/>
      <c r="U739" s="59"/>
      <c r="V739" s="53"/>
      <c r="W739" s="53"/>
      <c r="X739" s="53"/>
      <c r="Y739" s="9" t="e">
        <f t="shared" si="11"/>
        <v>#DIV/0!</v>
      </c>
      <c r="Z739" s="60"/>
      <c r="AC739" s="61"/>
      <c r="AD739" s="53"/>
      <c r="AE739" s="56"/>
      <c r="AF739" s="62"/>
      <c r="AG739" s="63"/>
      <c r="AH739" s="61"/>
      <c r="AO739" s="64" t="s">
        <v>79</v>
      </c>
      <c r="AP739" s="65">
        <v>3.7</v>
      </c>
      <c r="AQ739" s="65">
        <v>3.7</v>
      </c>
      <c r="AR739" s="65">
        <v>3.7</v>
      </c>
      <c r="AS739" s="65"/>
      <c r="AT739" s="65"/>
      <c r="AU739" s="65"/>
      <c r="AV739" s="65"/>
      <c r="AW739" s="65"/>
      <c r="AX739" s="65"/>
      <c r="AY739" s="65"/>
      <c r="AZ739" s="65"/>
      <c r="BA739" s="65"/>
      <c r="BB739" s="65"/>
      <c r="BC739" s="65"/>
      <c r="BD739" s="65"/>
      <c r="BE739" s="65"/>
      <c r="BF739" s="65"/>
      <c r="BG739" s="65"/>
      <c r="BH739" s="65"/>
      <c r="BI739" s="65"/>
      <c r="BJ739" s="65"/>
      <c r="BK739" s="65"/>
      <c r="BL739" s="65"/>
      <c r="BM739" s="65"/>
      <c r="BN739" s="65"/>
      <c r="BO739" s="65"/>
    </row>
    <row r="740" spans="1:67" s="58" customFormat="1" x14ac:dyDescent="0.2">
      <c r="A740" s="49" t="s">
        <v>67</v>
      </c>
      <c r="B740" s="50">
        <v>43256</v>
      </c>
      <c r="C740" s="51">
        <v>0.40277777777777801</v>
      </c>
      <c r="D740" s="49" t="s">
        <v>222</v>
      </c>
      <c r="E740" s="49">
        <v>3</v>
      </c>
      <c r="F740" s="52">
        <v>58.5</v>
      </c>
      <c r="G740" s="53">
        <v>2</v>
      </c>
      <c r="H740" s="54">
        <v>3.4188034188034191E-2</v>
      </c>
      <c r="I740" s="55">
        <v>6.83E-2</v>
      </c>
      <c r="J740" s="53">
        <v>314.15899999999999</v>
      </c>
      <c r="K740" s="53">
        <v>0.5464</v>
      </c>
      <c r="L740" s="53">
        <v>8</v>
      </c>
      <c r="M740" s="56">
        <v>287.48078330893117</v>
      </c>
      <c r="N740" s="53">
        <v>1419</v>
      </c>
      <c r="O740" s="57" t="s">
        <v>94</v>
      </c>
      <c r="P740" s="57" t="s">
        <v>82</v>
      </c>
      <c r="Q740" s="53" t="s">
        <v>95</v>
      </c>
      <c r="R740" s="53" t="s">
        <v>96</v>
      </c>
      <c r="S740" s="53"/>
      <c r="T740" s="59">
        <v>437</v>
      </c>
      <c r="U740" s="59">
        <v>879</v>
      </c>
      <c r="V740" s="53">
        <v>0.8</v>
      </c>
      <c r="W740" s="53">
        <v>0.8</v>
      </c>
      <c r="X740" s="53">
        <v>0.8</v>
      </c>
      <c r="Y740" s="9">
        <f t="shared" si="11"/>
        <v>125629.10230600294</v>
      </c>
      <c r="Z740" s="60" t="s">
        <v>97</v>
      </c>
      <c r="AA740" s="58" t="s">
        <v>303</v>
      </c>
      <c r="AB740" s="58" t="s">
        <v>75</v>
      </c>
      <c r="AC740" s="61" t="s">
        <v>221</v>
      </c>
      <c r="AD740" s="53" t="s">
        <v>85</v>
      </c>
      <c r="AE740" s="56">
        <v>0.18</v>
      </c>
      <c r="AF740" s="56">
        <v>0.18</v>
      </c>
      <c r="AG740" s="56">
        <v>0.18</v>
      </c>
      <c r="AH740" s="56">
        <v>0.18</v>
      </c>
      <c r="AI740" s="56">
        <v>0.18</v>
      </c>
      <c r="AJ740" s="56">
        <v>0.18</v>
      </c>
      <c r="AK740" s="56">
        <v>0.18</v>
      </c>
      <c r="AL740" s="56">
        <v>0.18</v>
      </c>
      <c r="AM740" s="56">
        <v>0.18</v>
      </c>
      <c r="AN740" s="56">
        <v>0.18</v>
      </c>
      <c r="AO740" s="66" t="s">
        <v>78</v>
      </c>
      <c r="AP740" s="65">
        <v>0.75200000000000033</v>
      </c>
      <c r="AQ740" s="65">
        <v>0.7</v>
      </c>
      <c r="AR740" s="65">
        <v>0.7</v>
      </c>
      <c r="AS740" s="65">
        <v>0.7</v>
      </c>
      <c r="AT740" s="65">
        <v>0.7</v>
      </c>
      <c r="AU740" s="65">
        <v>0.7</v>
      </c>
      <c r="AV740" s="65">
        <v>0.7</v>
      </c>
      <c r="AW740" s="65">
        <v>0.7</v>
      </c>
      <c r="AX740" s="65">
        <v>0.7</v>
      </c>
      <c r="AY740" s="65">
        <v>0.7</v>
      </c>
      <c r="AZ740" s="65">
        <v>0.7</v>
      </c>
      <c r="BA740" s="65">
        <v>0.7</v>
      </c>
      <c r="BB740" s="65">
        <v>0.7</v>
      </c>
      <c r="BC740" s="65">
        <v>0.8</v>
      </c>
      <c r="BD740" s="65">
        <v>0.8</v>
      </c>
      <c r="BE740" s="65">
        <v>0.8</v>
      </c>
      <c r="BF740" s="65">
        <v>0.8</v>
      </c>
      <c r="BG740" s="65">
        <v>0.8</v>
      </c>
      <c r="BH740" s="65">
        <v>0.8</v>
      </c>
      <c r="BI740" s="65">
        <v>0.8</v>
      </c>
      <c r="BJ740" s="65">
        <v>0.8</v>
      </c>
      <c r="BK740" s="65">
        <v>0.8</v>
      </c>
      <c r="BL740" s="65">
        <v>0.8</v>
      </c>
      <c r="BM740" s="65">
        <v>0.8</v>
      </c>
      <c r="BN740" s="65">
        <v>0.8</v>
      </c>
      <c r="BO740" s="65">
        <v>0.8</v>
      </c>
    </row>
    <row r="741" spans="1:67" s="58" customFormat="1" x14ac:dyDescent="0.2">
      <c r="A741" s="49" t="s">
        <v>67</v>
      </c>
      <c r="B741" s="50">
        <v>43256</v>
      </c>
      <c r="C741" s="51">
        <v>0.40277777777777801</v>
      </c>
      <c r="D741" s="49" t="s">
        <v>222</v>
      </c>
      <c r="E741" s="49">
        <v>3</v>
      </c>
      <c r="F741" s="52">
        <v>58.5</v>
      </c>
      <c r="G741" s="53">
        <v>2</v>
      </c>
      <c r="H741" s="54">
        <v>3.4188034188034191E-2</v>
      </c>
      <c r="I741" s="55">
        <v>6.83E-2</v>
      </c>
      <c r="J741" s="53">
        <v>314.15899999999999</v>
      </c>
      <c r="K741" s="53">
        <v>0.5464</v>
      </c>
      <c r="L741" s="53">
        <v>8</v>
      </c>
      <c r="M741" s="56">
        <v>287.48078330893117</v>
      </c>
      <c r="N741" s="53">
        <v>1519</v>
      </c>
      <c r="O741" s="58" t="s">
        <v>301</v>
      </c>
      <c r="P741" s="57" t="s">
        <v>82</v>
      </c>
      <c r="Q741" s="53" t="s">
        <v>302</v>
      </c>
      <c r="R741" s="53" t="s">
        <v>84</v>
      </c>
      <c r="S741" s="53"/>
      <c r="T741" s="59">
        <v>1</v>
      </c>
      <c r="U741" s="59">
        <v>8</v>
      </c>
      <c r="V741" s="53">
        <v>0.9</v>
      </c>
      <c r="W741" s="53"/>
      <c r="X741" s="53"/>
      <c r="Y741" s="9">
        <f t="shared" si="11"/>
        <v>287.48078330893117</v>
      </c>
      <c r="Z741" s="60" t="s">
        <v>97</v>
      </c>
      <c r="AA741" s="58" t="s">
        <v>303</v>
      </c>
      <c r="AB741" s="58" t="s">
        <v>75</v>
      </c>
      <c r="AC741" s="61" t="s">
        <v>221</v>
      </c>
      <c r="AD741" s="53" t="s">
        <v>85</v>
      </c>
      <c r="AE741" s="56">
        <v>0.381703185</v>
      </c>
      <c r="AF741" s="62"/>
      <c r="AG741" s="63"/>
      <c r="AH741" s="61"/>
      <c r="AO741" s="64" t="s">
        <v>78</v>
      </c>
      <c r="AP741" s="65">
        <v>0.9</v>
      </c>
      <c r="AQ741" s="65">
        <v>0.9</v>
      </c>
      <c r="AR741" s="65">
        <v>0.9</v>
      </c>
      <c r="AS741" s="65">
        <v>0.9</v>
      </c>
      <c r="AT741" s="65">
        <v>0.9</v>
      </c>
      <c r="AU741" s="65">
        <v>0.9</v>
      </c>
      <c r="AV741" s="65"/>
      <c r="AW741" s="65"/>
      <c r="AX741" s="65"/>
      <c r="AY741" s="65"/>
      <c r="AZ741" s="65"/>
      <c r="BA741" s="65"/>
      <c r="BB741" s="65"/>
      <c r="BC741" s="65"/>
      <c r="BD741" s="65"/>
      <c r="BE741" s="65"/>
      <c r="BF741" s="65"/>
      <c r="BG741" s="65"/>
      <c r="BH741" s="65"/>
      <c r="BI741" s="65"/>
      <c r="BJ741" s="65"/>
      <c r="BK741" s="65"/>
      <c r="BL741" s="65"/>
      <c r="BM741" s="65"/>
      <c r="BN741" s="65"/>
      <c r="BO741" s="65"/>
    </row>
    <row r="742" spans="1:67" s="58" customFormat="1" x14ac:dyDescent="0.2">
      <c r="A742" s="49" t="s">
        <v>67</v>
      </c>
      <c r="B742" s="50">
        <v>43286</v>
      </c>
      <c r="C742" s="51">
        <v>0.44583333333333303</v>
      </c>
      <c r="D742" s="49" t="s">
        <v>68</v>
      </c>
      <c r="E742" s="49">
        <v>3</v>
      </c>
      <c r="F742" s="52">
        <v>63</v>
      </c>
      <c r="G742" s="53">
        <v>1</v>
      </c>
      <c r="H742" s="54">
        <v>1.5873015873015872E-2</v>
      </c>
      <c r="I742" s="55">
        <v>6.83E-2</v>
      </c>
      <c r="J742" s="53">
        <v>314.15899999999999</v>
      </c>
      <c r="K742" s="53">
        <v>0.61470000000000002</v>
      </c>
      <c r="L742" s="53">
        <v>9</v>
      </c>
      <c r="M742" s="56">
        <v>511.07694810476653</v>
      </c>
      <c r="N742" s="53">
        <v>190</v>
      </c>
      <c r="O742" s="57" t="s">
        <v>102</v>
      </c>
      <c r="P742" s="58" t="s">
        <v>70</v>
      </c>
      <c r="Q742" s="53" t="s">
        <v>103</v>
      </c>
      <c r="R742" s="53" t="s">
        <v>84</v>
      </c>
      <c r="S742" s="53"/>
      <c r="T742" s="59">
        <v>1</v>
      </c>
      <c r="U742" s="59">
        <v>1</v>
      </c>
      <c r="V742" s="53">
        <v>6.5</v>
      </c>
      <c r="W742" s="53"/>
      <c r="X742" s="53"/>
      <c r="Y742" s="9">
        <f t="shared" si="11"/>
        <v>511.07694810476653</v>
      </c>
      <c r="Z742" s="60" t="s">
        <v>73</v>
      </c>
      <c r="AA742" s="58" t="s">
        <v>305</v>
      </c>
      <c r="AB742" s="58" t="s">
        <v>75</v>
      </c>
      <c r="AC742" s="61" t="s">
        <v>286</v>
      </c>
      <c r="AD742" s="53" t="s">
        <v>104</v>
      </c>
      <c r="AE742" s="56">
        <v>152.64200412499997</v>
      </c>
      <c r="AF742" s="62"/>
      <c r="AG742" s="63"/>
      <c r="AH742" s="61"/>
      <c r="AO742" s="66" t="s">
        <v>78</v>
      </c>
      <c r="AP742" s="65">
        <v>4.5999999999999996</v>
      </c>
      <c r="AQ742" s="65">
        <v>4.5999999999999996</v>
      </c>
      <c r="AR742" s="65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  <c r="BD742" s="65"/>
      <c r="BE742" s="65"/>
      <c r="BF742" s="65"/>
      <c r="BG742" s="65"/>
      <c r="BH742" s="65"/>
      <c r="BI742" s="65"/>
      <c r="BJ742" s="65"/>
      <c r="BK742" s="65"/>
      <c r="BL742" s="65"/>
      <c r="BM742" s="65"/>
      <c r="BN742" s="65"/>
      <c r="BO742" s="65"/>
    </row>
    <row r="743" spans="1:67" s="58" customFormat="1" x14ac:dyDescent="0.2">
      <c r="A743" s="49"/>
      <c r="B743" s="50"/>
      <c r="C743" s="51"/>
      <c r="D743" s="49"/>
      <c r="E743" s="49"/>
      <c r="F743" s="52"/>
      <c r="G743" s="53"/>
      <c r="H743" s="54"/>
      <c r="I743" s="55"/>
      <c r="J743" s="53"/>
      <c r="K743" s="53"/>
      <c r="L743" s="53"/>
      <c r="M743" s="56"/>
      <c r="N743" s="53"/>
      <c r="O743" s="57"/>
      <c r="Q743" s="53"/>
      <c r="R743" s="53"/>
      <c r="S743" s="53"/>
      <c r="T743" s="59"/>
      <c r="U743" s="59"/>
      <c r="V743" s="53"/>
      <c r="W743" s="53"/>
      <c r="X743" s="53"/>
      <c r="Y743" s="9" t="e">
        <f t="shared" si="11"/>
        <v>#DIV/0!</v>
      </c>
      <c r="Z743" s="60"/>
      <c r="AC743" s="61"/>
      <c r="AD743" s="53"/>
      <c r="AE743" s="56"/>
      <c r="AF743" s="62"/>
      <c r="AG743" s="63"/>
      <c r="AH743" s="61"/>
      <c r="AO743" s="64" t="s">
        <v>79</v>
      </c>
      <c r="AP743" s="65">
        <v>6.5</v>
      </c>
      <c r="AQ743" s="65">
        <v>6.5</v>
      </c>
      <c r="AR743" s="65"/>
      <c r="AS743" s="65"/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65"/>
      <c r="BG743" s="65"/>
      <c r="BH743" s="65"/>
      <c r="BI743" s="65"/>
      <c r="BJ743" s="65"/>
      <c r="BK743" s="65"/>
      <c r="BL743" s="65"/>
      <c r="BM743" s="65"/>
      <c r="BN743" s="65"/>
      <c r="BO743" s="65"/>
    </row>
    <row r="744" spans="1:67" s="58" customFormat="1" x14ac:dyDescent="0.2">
      <c r="A744" s="49" t="s">
        <v>67</v>
      </c>
      <c r="B744" s="50">
        <v>43286</v>
      </c>
      <c r="C744" s="51">
        <v>0.44583333333333303</v>
      </c>
      <c r="D744" s="49" t="s">
        <v>68</v>
      </c>
      <c r="E744" s="49">
        <v>3</v>
      </c>
      <c r="F744" s="52">
        <v>63</v>
      </c>
      <c r="G744" s="53">
        <v>1</v>
      </c>
      <c r="H744" s="54">
        <v>1.5873015873015872E-2</v>
      </c>
      <c r="I744" s="55">
        <v>6.83E-2</v>
      </c>
      <c r="J744" s="53">
        <v>314.15899999999999</v>
      </c>
      <c r="K744" s="53">
        <v>0.61470000000000002</v>
      </c>
      <c r="L744" s="53">
        <v>9</v>
      </c>
      <c r="M744" s="56">
        <v>511.07694810476653</v>
      </c>
      <c r="N744" s="53">
        <v>1037</v>
      </c>
      <c r="O744" s="57" t="s">
        <v>86</v>
      </c>
      <c r="P744" s="57" t="s">
        <v>82</v>
      </c>
      <c r="Q744" s="53" t="s">
        <v>87</v>
      </c>
      <c r="R744" s="53" t="s">
        <v>84</v>
      </c>
      <c r="S744" s="53"/>
      <c r="T744" s="59">
        <v>18</v>
      </c>
      <c r="U744" s="59">
        <v>18</v>
      </c>
      <c r="V744" s="53">
        <v>3.7</v>
      </c>
      <c r="W744" s="53"/>
      <c r="X744" s="53"/>
      <c r="Y744" s="9">
        <f t="shared" si="11"/>
        <v>9199.3850658857973</v>
      </c>
      <c r="Z744" s="60" t="s">
        <v>73</v>
      </c>
      <c r="AA744" s="58" t="s">
        <v>305</v>
      </c>
      <c r="AB744" s="58" t="s">
        <v>75</v>
      </c>
      <c r="AC744" s="61" t="s">
        <v>286</v>
      </c>
      <c r="AD744" s="53" t="s">
        <v>85</v>
      </c>
      <c r="AE744" s="56">
        <v>11.494030613333329</v>
      </c>
      <c r="AF744" s="62"/>
      <c r="AG744" s="63"/>
      <c r="AH744" s="61"/>
      <c r="AO744" s="66" t="s">
        <v>78</v>
      </c>
      <c r="AP744" s="65">
        <v>2.8</v>
      </c>
      <c r="AQ744" s="65">
        <v>2.8</v>
      </c>
      <c r="AR744" s="65">
        <v>3.7</v>
      </c>
      <c r="AS744" s="65">
        <v>1.9</v>
      </c>
      <c r="AT744" s="65">
        <v>2.8</v>
      </c>
      <c r="AU744" s="65">
        <v>2.8</v>
      </c>
      <c r="AV744" s="65"/>
      <c r="AW744" s="65"/>
      <c r="AX744" s="65"/>
      <c r="AY744" s="65"/>
      <c r="AZ744" s="65"/>
      <c r="BA744" s="65"/>
      <c r="BB744" s="65"/>
      <c r="BC744" s="65"/>
      <c r="BD744" s="65"/>
      <c r="BE744" s="65"/>
      <c r="BF744" s="65"/>
      <c r="BG744" s="65"/>
      <c r="BH744" s="65"/>
      <c r="BI744" s="65"/>
      <c r="BJ744" s="65"/>
      <c r="BK744" s="65"/>
      <c r="BL744" s="65"/>
      <c r="BM744" s="65"/>
      <c r="BN744" s="65"/>
      <c r="BO744" s="65"/>
    </row>
    <row r="745" spans="1:67" s="58" customFormat="1" x14ac:dyDescent="0.2">
      <c r="A745" s="49" t="s">
        <v>67</v>
      </c>
      <c r="B745" s="50">
        <v>43286</v>
      </c>
      <c r="C745" s="51">
        <v>0.44583333333333303</v>
      </c>
      <c r="D745" s="49" t="s">
        <v>68</v>
      </c>
      <c r="E745" s="49">
        <v>3</v>
      </c>
      <c r="F745" s="52">
        <v>63</v>
      </c>
      <c r="G745" s="53">
        <v>1</v>
      </c>
      <c r="H745" s="54">
        <v>1.5873015873015872E-2</v>
      </c>
      <c r="I745" s="55">
        <v>6.83E-2</v>
      </c>
      <c r="J745" s="53">
        <v>314.15899999999999</v>
      </c>
      <c r="K745" s="53">
        <v>0.61470000000000002</v>
      </c>
      <c r="L745" s="53">
        <v>9</v>
      </c>
      <c r="M745" s="56">
        <v>511.07694810476653</v>
      </c>
      <c r="N745" s="53">
        <v>1364</v>
      </c>
      <c r="O745" s="57" t="s">
        <v>88</v>
      </c>
      <c r="P745" s="57" t="s">
        <v>82</v>
      </c>
      <c r="Q745" s="53" t="s">
        <v>89</v>
      </c>
      <c r="R745" s="53" t="s">
        <v>90</v>
      </c>
      <c r="S745" s="53"/>
      <c r="T745" s="59">
        <v>1</v>
      </c>
      <c r="U745" s="59">
        <v>1</v>
      </c>
      <c r="V745" s="53">
        <v>9.3000000000000007</v>
      </c>
      <c r="W745" s="53"/>
      <c r="X745" s="53"/>
      <c r="Y745" s="9">
        <f t="shared" si="11"/>
        <v>511.07694810476653</v>
      </c>
      <c r="Z745" s="60" t="s">
        <v>73</v>
      </c>
      <c r="AA745" s="58" t="s">
        <v>305</v>
      </c>
      <c r="AB745" s="58" t="s">
        <v>75</v>
      </c>
      <c r="AC745" s="61" t="s">
        <v>286</v>
      </c>
      <c r="AD745" s="53" t="s">
        <v>91</v>
      </c>
      <c r="AE745" s="56">
        <v>337.38084788249995</v>
      </c>
      <c r="AF745" s="62"/>
      <c r="AG745" s="63"/>
      <c r="AH745" s="61"/>
      <c r="AO745" s="66" t="s">
        <v>78</v>
      </c>
      <c r="AP745" s="65">
        <v>9.3000000000000007</v>
      </c>
      <c r="AQ745" s="65">
        <v>9.3000000000000007</v>
      </c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  <c r="BD745" s="65"/>
      <c r="BE745" s="65"/>
      <c r="BF745" s="65"/>
      <c r="BG745" s="65"/>
      <c r="BH745" s="65"/>
      <c r="BI745" s="65"/>
      <c r="BJ745" s="65"/>
      <c r="BK745" s="65"/>
      <c r="BL745" s="65"/>
      <c r="BM745" s="65"/>
      <c r="BN745" s="65"/>
      <c r="BO745" s="65"/>
    </row>
    <row r="746" spans="1:67" s="58" customFormat="1" x14ac:dyDescent="0.2">
      <c r="A746" s="49"/>
      <c r="B746" s="50"/>
      <c r="C746" s="51"/>
      <c r="D746" s="49"/>
      <c r="E746" s="49"/>
      <c r="F746" s="52"/>
      <c r="G746" s="53"/>
      <c r="H746" s="54"/>
      <c r="I746" s="55"/>
      <c r="J746" s="53"/>
      <c r="K746" s="53"/>
      <c r="L746" s="53"/>
      <c r="M746" s="56"/>
      <c r="N746" s="53"/>
      <c r="O746" s="57"/>
      <c r="P746" s="57"/>
      <c r="Q746" s="53"/>
      <c r="R746" s="53"/>
      <c r="S746" s="53"/>
      <c r="T746" s="59"/>
      <c r="U746" s="59"/>
      <c r="V746" s="53"/>
      <c r="W746" s="53"/>
      <c r="X746" s="53"/>
      <c r="Y746" s="9" t="e">
        <f t="shared" si="11"/>
        <v>#DIV/0!</v>
      </c>
      <c r="Z746" s="60"/>
      <c r="AC746" s="61"/>
      <c r="AD746" s="53"/>
      <c r="AE746" s="56"/>
      <c r="AF746" s="62"/>
      <c r="AG746" s="63"/>
      <c r="AH746" s="61"/>
      <c r="AO746" s="64" t="s">
        <v>79</v>
      </c>
      <c r="AP746" s="65">
        <v>5.6</v>
      </c>
      <c r="AQ746" s="65">
        <v>5.6</v>
      </c>
      <c r="AR746" s="65"/>
      <c r="AS746" s="65"/>
      <c r="AT746" s="65"/>
      <c r="AU746" s="65"/>
      <c r="AV746" s="65"/>
      <c r="AW746" s="65"/>
      <c r="AX746" s="65"/>
      <c r="AY746" s="65"/>
      <c r="AZ746" s="65"/>
      <c r="BA746" s="65"/>
      <c r="BB746" s="65"/>
      <c r="BC746" s="65"/>
      <c r="BD746" s="65"/>
      <c r="BE746" s="65"/>
      <c r="BF746" s="65"/>
      <c r="BG746" s="65"/>
      <c r="BH746" s="65"/>
      <c r="BI746" s="65"/>
      <c r="BJ746" s="65"/>
      <c r="BK746" s="65"/>
      <c r="BL746" s="65"/>
      <c r="BM746" s="65"/>
      <c r="BN746" s="65"/>
      <c r="BO746" s="65"/>
    </row>
    <row r="747" spans="1:67" s="58" customFormat="1" x14ac:dyDescent="0.2">
      <c r="A747" s="49" t="s">
        <v>67</v>
      </c>
      <c r="B747" s="50">
        <v>43286</v>
      </c>
      <c r="C747" s="51">
        <v>0.44583333333333303</v>
      </c>
      <c r="D747" s="49" t="s">
        <v>68</v>
      </c>
      <c r="E747" s="49">
        <v>3</v>
      </c>
      <c r="F747" s="52">
        <v>63</v>
      </c>
      <c r="G747" s="53">
        <v>1</v>
      </c>
      <c r="H747" s="54">
        <v>1.5873015873015872E-2</v>
      </c>
      <c r="I747" s="55">
        <v>6.83E-2</v>
      </c>
      <c r="J747" s="53">
        <v>314.15899999999999</v>
      </c>
      <c r="K747" s="53">
        <v>0.61470000000000002</v>
      </c>
      <c r="L747" s="53">
        <v>9</v>
      </c>
      <c r="M747" s="56">
        <v>511.07694810476653</v>
      </c>
      <c r="N747" s="53">
        <v>1419</v>
      </c>
      <c r="O747" s="57" t="s">
        <v>94</v>
      </c>
      <c r="P747" s="57" t="s">
        <v>82</v>
      </c>
      <c r="Q747" s="53" t="s">
        <v>95</v>
      </c>
      <c r="R747" s="53" t="s">
        <v>96</v>
      </c>
      <c r="S747" s="53"/>
      <c r="T747" s="59">
        <v>408</v>
      </c>
      <c r="U747" s="59">
        <v>820</v>
      </c>
      <c r="V747" s="53">
        <v>0.8</v>
      </c>
      <c r="W747" s="53">
        <v>0.8</v>
      </c>
      <c r="X747" s="53">
        <v>0.8</v>
      </c>
      <c r="Y747" s="9">
        <f t="shared" si="11"/>
        <v>208519.39482674474</v>
      </c>
      <c r="Z747" s="60" t="s">
        <v>97</v>
      </c>
      <c r="AA747" s="58" t="s">
        <v>305</v>
      </c>
      <c r="AB747" s="58" t="s">
        <v>75</v>
      </c>
      <c r="AC747" s="61" t="s">
        <v>286</v>
      </c>
      <c r="AD747" s="53" t="s">
        <v>85</v>
      </c>
      <c r="AE747" s="56">
        <v>0.18</v>
      </c>
      <c r="AF747" s="56">
        <v>0.18</v>
      </c>
      <c r="AG747" s="56">
        <v>0.18</v>
      </c>
      <c r="AH747" s="56">
        <v>0.18</v>
      </c>
      <c r="AI747" s="56">
        <v>0.18</v>
      </c>
      <c r="AJ747" s="56">
        <v>0.18</v>
      </c>
      <c r="AK747" s="56">
        <v>0.18</v>
      </c>
      <c r="AL747" s="56">
        <v>0.18</v>
      </c>
      <c r="AM747" s="56">
        <v>0.18</v>
      </c>
      <c r="AN747" s="56">
        <v>0.18</v>
      </c>
      <c r="AO747" s="66" t="s">
        <v>78</v>
      </c>
      <c r="AP747" s="65">
        <v>0.75200000000000033</v>
      </c>
      <c r="AQ747" s="65">
        <v>0.7</v>
      </c>
      <c r="AR747" s="65">
        <v>0.7</v>
      </c>
      <c r="AS747" s="65">
        <v>0.7</v>
      </c>
      <c r="AT747" s="65">
        <v>0.7</v>
      </c>
      <c r="AU747" s="65">
        <v>0.7</v>
      </c>
      <c r="AV747" s="65">
        <v>0.7</v>
      </c>
      <c r="AW747" s="65">
        <v>0.7</v>
      </c>
      <c r="AX747" s="65">
        <v>0.7</v>
      </c>
      <c r="AY747" s="65">
        <v>0.7</v>
      </c>
      <c r="AZ747" s="65">
        <v>0.7</v>
      </c>
      <c r="BA747" s="65">
        <v>0.7</v>
      </c>
      <c r="BB747" s="65">
        <v>0.7</v>
      </c>
      <c r="BC747" s="65">
        <v>0.8</v>
      </c>
      <c r="BD747" s="65">
        <v>0.8</v>
      </c>
      <c r="BE747" s="65">
        <v>0.8</v>
      </c>
      <c r="BF747" s="65">
        <v>0.8</v>
      </c>
      <c r="BG747" s="65">
        <v>0.8</v>
      </c>
      <c r="BH747" s="65">
        <v>0.8</v>
      </c>
      <c r="BI747" s="65">
        <v>0.8</v>
      </c>
      <c r="BJ747" s="65">
        <v>0.8</v>
      </c>
      <c r="BK747" s="65">
        <v>0.8</v>
      </c>
      <c r="BL747" s="65">
        <v>0.8</v>
      </c>
      <c r="BM747" s="65">
        <v>0.8</v>
      </c>
      <c r="BN747" s="65">
        <v>0.8</v>
      </c>
      <c r="BO747" s="65">
        <v>0.8</v>
      </c>
    </row>
    <row r="748" spans="1:67" s="58" customFormat="1" x14ac:dyDescent="0.2">
      <c r="A748" s="49" t="s">
        <v>67</v>
      </c>
      <c r="B748" s="50">
        <v>43286</v>
      </c>
      <c r="C748" s="51">
        <v>0.44583333333333303</v>
      </c>
      <c r="D748" s="49" t="s">
        <v>68</v>
      </c>
      <c r="E748" s="49">
        <v>3</v>
      </c>
      <c r="F748" s="52">
        <v>63</v>
      </c>
      <c r="G748" s="53">
        <v>1</v>
      </c>
      <c r="H748" s="54">
        <v>1.5873015873015872E-2</v>
      </c>
      <c r="I748" s="55">
        <v>6.83E-2</v>
      </c>
      <c r="J748" s="53">
        <v>314.15899999999999</v>
      </c>
      <c r="K748" s="53">
        <v>0.61470000000000002</v>
      </c>
      <c r="L748" s="53">
        <v>9</v>
      </c>
      <c r="M748" s="56">
        <v>511.07694810476653</v>
      </c>
      <c r="N748" s="53">
        <v>1423</v>
      </c>
      <c r="O748" s="57" t="s">
        <v>163</v>
      </c>
      <c r="P748" s="57" t="s">
        <v>82</v>
      </c>
      <c r="Q748" s="53" t="s">
        <v>95</v>
      </c>
      <c r="R748" s="53" t="s">
        <v>84</v>
      </c>
      <c r="S748" s="53"/>
      <c r="T748" s="59">
        <v>1</v>
      </c>
      <c r="U748" s="59">
        <v>8</v>
      </c>
      <c r="V748" s="53">
        <v>1.5</v>
      </c>
      <c r="W748" s="53"/>
      <c r="X748" s="53"/>
      <c r="Y748" s="9">
        <f t="shared" si="11"/>
        <v>511.07694810476653</v>
      </c>
      <c r="Z748" s="60" t="s">
        <v>97</v>
      </c>
      <c r="AA748" s="58" t="s">
        <v>305</v>
      </c>
      <c r="AB748" s="58" t="s">
        <v>75</v>
      </c>
      <c r="AC748" s="61" t="s">
        <v>286</v>
      </c>
      <c r="AD748" s="53" t="s">
        <v>85</v>
      </c>
      <c r="AE748" s="56">
        <v>1.7671443749999998</v>
      </c>
      <c r="AF748" s="62"/>
      <c r="AG748" s="63"/>
      <c r="AH748" s="61"/>
      <c r="AO748" s="66" t="s">
        <v>78</v>
      </c>
      <c r="AP748" s="65">
        <v>1.5</v>
      </c>
      <c r="AQ748" s="65">
        <v>1.5</v>
      </c>
      <c r="AR748" s="65">
        <v>1.5</v>
      </c>
      <c r="AS748" s="65">
        <v>1.5</v>
      </c>
      <c r="AT748" s="65">
        <v>1.5</v>
      </c>
      <c r="AU748" s="65">
        <v>1.5</v>
      </c>
      <c r="AV748" s="65"/>
      <c r="AW748" s="65"/>
      <c r="AX748" s="65"/>
      <c r="AY748" s="65"/>
      <c r="AZ748" s="65"/>
      <c r="BA748" s="65"/>
      <c r="BB748" s="65"/>
      <c r="BC748" s="65"/>
      <c r="BD748" s="65"/>
      <c r="BE748" s="65"/>
      <c r="BF748" s="65"/>
      <c r="BG748" s="65"/>
      <c r="BH748" s="65"/>
      <c r="BI748" s="65"/>
      <c r="BJ748" s="65"/>
      <c r="BK748" s="65"/>
      <c r="BL748" s="65"/>
      <c r="BM748" s="65"/>
      <c r="BN748" s="65"/>
      <c r="BO748" s="65"/>
    </row>
    <row r="749" spans="1:67" s="58" customFormat="1" x14ac:dyDescent="0.2">
      <c r="A749" s="49" t="s">
        <v>67</v>
      </c>
      <c r="B749" s="50">
        <v>43256</v>
      </c>
      <c r="C749" s="51">
        <v>0.52847222222222201</v>
      </c>
      <c r="D749" s="49" t="s">
        <v>306</v>
      </c>
      <c r="E749" s="49"/>
      <c r="F749" s="52">
        <v>63</v>
      </c>
      <c r="G749" s="53">
        <v>1</v>
      </c>
      <c r="H749" s="54">
        <v>1.5873015873015872E-2</v>
      </c>
      <c r="I749" s="55">
        <v>6.83E-2</v>
      </c>
      <c r="J749" s="53">
        <v>314.15899999999999</v>
      </c>
      <c r="K749" s="53">
        <v>1.2977000000000001</v>
      </c>
      <c r="L749" s="53">
        <v>19</v>
      </c>
      <c r="M749" s="56">
        <v>242.08908068120519</v>
      </c>
      <c r="N749" s="53">
        <v>145</v>
      </c>
      <c r="O749" s="57" t="s">
        <v>69</v>
      </c>
      <c r="P749" s="58" t="s">
        <v>70</v>
      </c>
      <c r="Q749" s="53" t="s">
        <v>71</v>
      </c>
      <c r="R749" s="53" t="s">
        <v>72</v>
      </c>
      <c r="S749" s="53"/>
      <c r="T749" s="59">
        <v>1</v>
      </c>
      <c r="U749" s="59">
        <v>1</v>
      </c>
      <c r="V749" s="53">
        <v>20.399999999999999</v>
      </c>
      <c r="W749" s="53"/>
      <c r="X749" s="53"/>
      <c r="Y749" s="9">
        <f t="shared" si="11"/>
        <v>242.08908068120519</v>
      </c>
      <c r="Z749" s="60" t="s">
        <v>73</v>
      </c>
      <c r="AA749" s="58" t="s">
        <v>307</v>
      </c>
      <c r="AB749" s="58" t="s">
        <v>75</v>
      </c>
      <c r="AC749" s="61" t="s">
        <v>112</v>
      </c>
      <c r="AD749" s="53" t="s">
        <v>77</v>
      </c>
      <c r="AE749" s="56">
        <v>770.66344289999984</v>
      </c>
      <c r="AF749" s="62"/>
      <c r="AG749" s="63"/>
      <c r="AH749" s="61"/>
      <c r="AO749" s="64" t="s">
        <v>78</v>
      </c>
      <c r="AP749" s="65">
        <v>20.399999999999999</v>
      </c>
      <c r="AQ749" s="65">
        <v>20.399999999999999</v>
      </c>
      <c r="AR749" s="65"/>
      <c r="AS749" s="65"/>
      <c r="AT749" s="65"/>
      <c r="AU749" s="65"/>
      <c r="AV749" s="65"/>
      <c r="AW749" s="65"/>
      <c r="AX749" s="65"/>
      <c r="AY749" s="65"/>
      <c r="AZ749" s="65"/>
      <c r="BA749" s="65"/>
      <c r="BB749" s="65"/>
      <c r="BC749" s="65"/>
      <c r="BD749" s="65"/>
      <c r="BE749" s="65"/>
      <c r="BF749" s="65"/>
      <c r="BG749" s="65"/>
      <c r="BH749" s="65"/>
      <c r="BI749" s="65"/>
      <c r="BJ749" s="65"/>
      <c r="BK749" s="65"/>
      <c r="BL749" s="65"/>
      <c r="BM749" s="65"/>
      <c r="BN749" s="65"/>
      <c r="BO749" s="65"/>
    </row>
    <row r="750" spans="1:67" s="58" customFormat="1" x14ac:dyDescent="0.2">
      <c r="A750" s="49"/>
      <c r="B750" s="50"/>
      <c r="C750" s="51"/>
      <c r="D750" s="49"/>
      <c r="E750" s="49"/>
      <c r="F750" s="52"/>
      <c r="G750" s="53"/>
      <c r="H750" s="54"/>
      <c r="I750" s="55"/>
      <c r="J750" s="53"/>
      <c r="K750" s="53"/>
      <c r="L750" s="53"/>
      <c r="M750" s="56"/>
      <c r="N750" s="53"/>
      <c r="O750" s="57"/>
      <c r="Q750" s="53"/>
      <c r="R750" s="53"/>
      <c r="S750" s="53"/>
      <c r="T750" s="59"/>
      <c r="U750" s="59"/>
      <c r="V750" s="53"/>
      <c r="W750" s="53"/>
      <c r="X750" s="53"/>
      <c r="Y750" s="9" t="e">
        <f t="shared" si="11"/>
        <v>#DIV/0!</v>
      </c>
      <c r="Z750" s="60"/>
      <c r="AC750" s="61"/>
      <c r="AD750" s="53"/>
      <c r="AE750" s="56"/>
      <c r="AF750" s="62"/>
      <c r="AG750" s="63"/>
      <c r="AH750" s="61"/>
      <c r="AO750" s="64" t="s">
        <v>79</v>
      </c>
      <c r="AP750" s="65">
        <v>13</v>
      </c>
      <c r="AQ750" s="65">
        <v>13</v>
      </c>
      <c r="AR750" s="65"/>
      <c r="AS750" s="65"/>
      <c r="AT750" s="65"/>
      <c r="AU750" s="65"/>
      <c r="AV750" s="65"/>
      <c r="AW750" s="65"/>
      <c r="AX750" s="65"/>
      <c r="AY750" s="65"/>
      <c r="AZ750" s="65"/>
      <c r="BA750" s="65"/>
      <c r="BB750" s="65"/>
      <c r="BC750" s="65"/>
      <c r="BD750" s="65"/>
      <c r="BE750" s="65"/>
      <c r="BF750" s="65"/>
      <c r="BG750" s="65"/>
      <c r="BH750" s="65"/>
      <c r="BI750" s="65"/>
      <c r="BJ750" s="65"/>
      <c r="BK750" s="65"/>
      <c r="BL750" s="65"/>
      <c r="BM750" s="65"/>
      <c r="BN750" s="65"/>
      <c r="BO750" s="65"/>
    </row>
    <row r="751" spans="1:67" s="58" customFormat="1" x14ac:dyDescent="0.2">
      <c r="A751" s="49"/>
      <c r="B751" s="50"/>
      <c r="C751" s="51"/>
      <c r="D751" s="49"/>
      <c r="E751" s="49"/>
      <c r="F751" s="52"/>
      <c r="G751" s="53"/>
      <c r="H751" s="54"/>
      <c r="I751" s="55"/>
      <c r="J751" s="53"/>
      <c r="K751" s="53"/>
      <c r="L751" s="53"/>
      <c r="M751" s="56"/>
      <c r="N751" s="53"/>
      <c r="O751" s="57"/>
      <c r="Q751" s="53"/>
      <c r="R751" s="53"/>
      <c r="S751" s="53"/>
      <c r="T751" s="59"/>
      <c r="U751" s="59"/>
      <c r="V751" s="53"/>
      <c r="W751" s="53"/>
      <c r="X751" s="53"/>
      <c r="Y751" s="9" t="e">
        <f t="shared" si="11"/>
        <v>#DIV/0!</v>
      </c>
      <c r="Z751" s="60"/>
      <c r="AC751" s="61"/>
      <c r="AD751" s="53"/>
      <c r="AE751" s="56"/>
      <c r="AF751" s="62"/>
      <c r="AG751" s="63"/>
      <c r="AH751" s="61"/>
      <c r="AO751" s="64" t="s">
        <v>80</v>
      </c>
      <c r="AP751" s="65">
        <v>3.7</v>
      </c>
      <c r="AQ751" s="65">
        <v>3.7</v>
      </c>
      <c r="AR751" s="65"/>
      <c r="AS751" s="65"/>
      <c r="AT751" s="65"/>
      <c r="AU751" s="65"/>
      <c r="AV751" s="65"/>
      <c r="AW751" s="65"/>
      <c r="AX751" s="65"/>
      <c r="AY751" s="65"/>
      <c r="AZ751" s="65"/>
      <c r="BA751" s="65"/>
      <c r="BB751" s="65"/>
      <c r="BC751" s="65"/>
      <c r="BD751" s="65"/>
      <c r="BE751" s="65"/>
      <c r="BF751" s="65"/>
      <c r="BG751" s="65"/>
      <c r="BH751" s="65"/>
      <c r="BI751" s="65"/>
      <c r="BJ751" s="65"/>
      <c r="BK751" s="65"/>
      <c r="BL751" s="65"/>
      <c r="BM751" s="65"/>
      <c r="BN751" s="65"/>
      <c r="BO751" s="65"/>
    </row>
    <row r="752" spans="1:67" s="58" customFormat="1" x14ac:dyDescent="0.2">
      <c r="A752" s="49" t="s">
        <v>67</v>
      </c>
      <c r="B752" s="50">
        <v>43256</v>
      </c>
      <c r="C752" s="51">
        <v>0.52847222222222201</v>
      </c>
      <c r="D752" s="49" t="s">
        <v>306</v>
      </c>
      <c r="E752" s="49"/>
      <c r="F752" s="52">
        <v>63</v>
      </c>
      <c r="G752" s="53">
        <v>1</v>
      </c>
      <c r="H752" s="54">
        <v>1.5873015873015872E-2</v>
      </c>
      <c r="I752" s="55">
        <v>6.83E-2</v>
      </c>
      <c r="J752" s="53">
        <v>314.15899999999999</v>
      </c>
      <c r="K752" s="53">
        <v>1.2977000000000001</v>
      </c>
      <c r="L752" s="53">
        <v>19</v>
      </c>
      <c r="M752" s="56">
        <v>242.08908068120519</v>
      </c>
      <c r="N752" s="53">
        <v>1037</v>
      </c>
      <c r="O752" s="57" t="s">
        <v>86</v>
      </c>
      <c r="P752" s="57" t="s">
        <v>82</v>
      </c>
      <c r="Q752" s="53" t="s">
        <v>87</v>
      </c>
      <c r="R752" s="53" t="s">
        <v>84</v>
      </c>
      <c r="S752" s="53"/>
      <c r="T752" s="59">
        <v>16</v>
      </c>
      <c r="U752" s="59">
        <v>16</v>
      </c>
      <c r="V752" s="53">
        <v>3.7</v>
      </c>
      <c r="W752" s="53"/>
      <c r="X752" s="53"/>
      <c r="Y752" s="9">
        <f t="shared" si="11"/>
        <v>3873.425290899283</v>
      </c>
      <c r="Z752" s="60" t="s">
        <v>73</v>
      </c>
      <c r="AA752" s="58" t="s">
        <v>307</v>
      </c>
      <c r="AB752" s="58" t="s">
        <v>75</v>
      </c>
      <c r="AC752" s="61" t="s">
        <v>112</v>
      </c>
      <c r="AD752" s="53" t="s">
        <v>85</v>
      </c>
      <c r="AE752" s="56">
        <v>14.137154999999998</v>
      </c>
      <c r="AF752" s="62"/>
      <c r="AG752" s="63"/>
      <c r="AH752" s="61"/>
      <c r="AO752" s="64" t="s">
        <v>78</v>
      </c>
      <c r="AP752" s="65">
        <v>2.9799999999999995</v>
      </c>
      <c r="AQ752" s="65">
        <v>2.8</v>
      </c>
      <c r="AR752" s="65">
        <v>2.8</v>
      </c>
      <c r="AS752" s="65">
        <v>2.8</v>
      </c>
      <c r="AT752" s="65">
        <v>3.7</v>
      </c>
      <c r="AU752" s="65">
        <v>2.8</v>
      </c>
      <c r="AV752" s="65"/>
      <c r="AW752" s="65"/>
      <c r="AX752" s="65"/>
      <c r="AY752" s="65"/>
      <c r="AZ752" s="65"/>
      <c r="BA752" s="65"/>
      <c r="BB752" s="65"/>
      <c r="BC752" s="65"/>
      <c r="BD752" s="65"/>
      <c r="BE752" s="65"/>
      <c r="BF752" s="65"/>
      <c r="BG752" s="65"/>
      <c r="BH752" s="65"/>
      <c r="BI752" s="65"/>
      <c r="BJ752" s="65"/>
      <c r="BK752" s="65"/>
      <c r="BL752" s="65"/>
      <c r="BM752" s="65"/>
      <c r="BN752" s="65"/>
      <c r="BO752" s="65"/>
    </row>
    <row r="753" spans="1:67" s="58" customFormat="1" x14ac:dyDescent="0.2">
      <c r="A753" s="49" t="s">
        <v>67</v>
      </c>
      <c r="B753" s="50">
        <v>43256</v>
      </c>
      <c r="C753" s="51">
        <v>0.52847222222222201</v>
      </c>
      <c r="D753" s="49" t="s">
        <v>306</v>
      </c>
      <c r="E753" s="49"/>
      <c r="F753" s="52">
        <v>63</v>
      </c>
      <c r="G753" s="53">
        <v>1</v>
      </c>
      <c r="H753" s="54">
        <v>1.5873015873015872E-2</v>
      </c>
      <c r="I753" s="55">
        <v>6.83E-2</v>
      </c>
      <c r="J753" s="53">
        <v>314.15899999999999</v>
      </c>
      <c r="K753" s="53">
        <v>1.2977000000000001</v>
      </c>
      <c r="L753" s="53">
        <v>19</v>
      </c>
      <c r="M753" s="56">
        <v>242.08908068120519</v>
      </c>
      <c r="N753" s="53">
        <v>1761</v>
      </c>
      <c r="O753" s="57" t="s">
        <v>287</v>
      </c>
      <c r="P753" s="57" t="s">
        <v>82</v>
      </c>
      <c r="Q753" s="53" t="s">
        <v>288</v>
      </c>
      <c r="R753" s="53" t="s">
        <v>289</v>
      </c>
      <c r="S753" s="53"/>
      <c r="T753" s="59">
        <v>1</v>
      </c>
      <c r="U753" s="59">
        <v>1</v>
      </c>
      <c r="V753" s="53">
        <v>5.6</v>
      </c>
      <c r="W753" s="53"/>
      <c r="X753" s="53"/>
      <c r="Y753" s="9">
        <f t="shared" si="11"/>
        <v>242.08908068120519</v>
      </c>
      <c r="Z753" s="60" t="s">
        <v>73</v>
      </c>
      <c r="AA753" s="58" t="s">
        <v>307</v>
      </c>
      <c r="AB753" s="58" t="s">
        <v>75</v>
      </c>
      <c r="AC753" s="61" t="s">
        <v>112</v>
      </c>
      <c r="AD753" s="53" t="s">
        <v>215</v>
      </c>
      <c r="AE753" s="56">
        <v>3.5625630599999996</v>
      </c>
      <c r="AF753" s="62"/>
      <c r="AG753" s="63"/>
      <c r="AH753" s="61"/>
      <c r="AO753" s="64" t="s">
        <v>78</v>
      </c>
      <c r="AP753" s="65">
        <v>5.6</v>
      </c>
      <c r="AQ753" s="65">
        <v>5.6</v>
      </c>
      <c r="AR753" s="65"/>
      <c r="AS753" s="65"/>
      <c r="AT753" s="65"/>
      <c r="AU753" s="65"/>
      <c r="AV753" s="65"/>
      <c r="AW753" s="65"/>
      <c r="AX753" s="65"/>
      <c r="AY753" s="65"/>
      <c r="AZ753" s="65"/>
      <c r="BA753" s="65"/>
      <c r="BB753" s="65"/>
      <c r="BC753" s="65"/>
      <c r="BD753" s="65"/>
      <c r="BE753" s="65"/>
      <c r="BF753" s="65"/>
      <c r="BG753" s="65"/>
      <c r="BH753" s="65"/>
      <c r="BI753" s="65"/>
      <c r="BJ753" s="65"/>
      <c r="BK753" s="65"/>
      <c r="BL753" s="65"/>
      <c r="BM753" s="65"/>
      <c r="BN753" s="65"/>
      <c r="BO753" s="65"/>
    </row>
    <row r="754" spans="1:67" s="58" customFormat="1" x14ac:dyDescent="0.2">
      <c r="A754" s="49"/>
      <c r="B754" s="50"/>
      <c r="C754" s="51"/>
      <c r="D754" s="49"/>
      <c r="E754" s="49"/>
      <c r="F754" s="52"/>
      <c r="G754" s="53"/>
      <c r="H754" s="54"/>
      <c r="I754" s="55"/>
      <c r="J754" s="53"/>
      <c r="K754" s="53"/>
      <c r="L754" s="53"/>
      <c r="M754" s="56"/>
      <c r="N754" s="53"/>
      <c r="O754" s="57"/>
      <c r="P754" s="57"/>
      <c r="Q754" s="53"/>
      <c r="R754" s="53"/>
      <c r="S754" s="53"/>
      <c r="T754" s="59"/>
      <c r="U754" s="59"/>
      <c r="V754" s="53"/>
      <c r="W754" s="53"/>
      <c r="X754" s="53"/>
      <c r="Y754" s="9" t="e">
        <f t="shared" si="11"/>
        <v>#DIV/0!</v>
      </c>
      <c r="Z754" s="60"/>
      <c r="AC754" s="61"/>
      <c r="AD754" s="53"/>
      <c r="AE754" s="56"/>
      <c r="AF754" s="62"/>
      <c r="AG754" s="63"/>
      <c r="AH754" s="61"/>
      <c r="AO754" s="64" t="s">
        <v>79</v>
      </c>
      <c r="AP754" s="65">
        <v>0.9</v>
      </c>
      <c r="AQ754" s="65">
        <v>0.9</v>
      </c>
      <c r="AR754" s="65"/>
      <c r="AS754" s="65"/>
      <c r="AT754" s="65"/>
      <c r="AU754" s="65"/>
      <c r="AV754" s="65"/>
      <c r="AW754" s="65"/>
      <c r="AX754" s="65"/>
      <c r="AY754" s="65"/>
      <c r="AZ754" s="65"/>
      <c r="BA754" s="65"/>
      <c r="BB754" s="65"/>
      <c r="BC754" s="65"/>
      <c r="BD754" s="65"/>
      <c r="BE754" s="65"/>
      <c r="BF754" s="65"/>
      <c r="BG754" s="65"/>
      <c r="BH754" s="65"/>
      <c r="BI754" s="65"/>
      <c r="BJ754" s="65"/>
      <c r="BK754" s="65"/>
      <c r="BL754" s="65"/>
      <c r="BM754" s="65"/>
      <c r="BN754" s="65"/>
      <c r="BO754" s="65"/>
    </row>
    <row r="755" spans="1:67" s="58" customFormat="1" x14ac:dyDescent="0.2">
      <c r="A755" s="49" t="s">
        <v>67</v>
      </c>
      <c r="B755" s="50">
        <v>43256</v>
      </c>
      <c r="C755" s="51">
        <v>0.52847222222222201</v>
      </c>
      <c r="D755" s="49" t="s">
        <v>306</v>
      </c>
      <c r="E755" s="49"/>
      <c r="F755" s="52">
        <v>63</v>
      </c>
      <c r="G755" s="53">
        <v>1</v>
      </c>
      <c r="H755" s="54">
        <v>1.5873015873015872E-2</v>
      </c>
      <c r="I755" s="55">
        <v>6.83E-2</v>
      </c>
      <c r="J755" s="53">
        <v>314.15899999999999</v>
      </c>
      <c r="K755" s="53">
        <v>1.2977000000000001</v>
      </c>
      <c r="L755" s="53">
        <v>19</v>
      </c>
      <c r="M755" s="56">
        <v>242.08908068120519</v>
      </c>
      <c r="N755" s="53">
        <v>1140</v>
      </c>
      <c r="O755" s="57" t="s">
        <v>126</v>
      </c>
      <c r="P755" s="57" t="s">
        <v>82</v>
      </c>
      <c r="Q755" s="53" t="s">
        <v>127</v>
      </c>
      <c r="R755" s="53" t="s">
        <v>128</v>
      </c>
      <c r="S755" s="53"/>
      <c r="T755" s="59">
        <v>3</v>
      </c>
      <c r="U755" s="59">
        <v>3</v>
      </c>
      <c r="V755" s="53">
        <v>13</v>
      </c>
      <c r="W755" s="53"/>
      <c r="X755" s="53"/>
      <c r="Y755" s="9">
        <f t="shared" si="11"/>
        <v>726.26724204361551</v>
      </c>
      <c r="Z755" s="60" t="s">
        <v>73</v>
      </c>
      <c r="AA755" s="58" t="s">
        <v>307</v>
      </c>
      <c r="AB755" s="58" t="s">
        <v>75</v>
      </c>
      <c r="AC755" s="61" t="s">
        <v>112</v>
      </c>
      <c r="AD755" s="53" t="s">
        <v>129</v>
      </c>
      <c r="AE755" s="56">
        <v>31.424277573333335</v>
      </c>
      <c r="AF755" s="62"/>
      <c r="AG755" s="63"/>
      <c r="AH755" s="61"/>
      <c r="AO755" s="64" t="s">
        <v>78</v>
      </c>
      <c r="AP755" s="65">
        <v>12.366666666666667</v>
      </c>
      <c r="AQ755" s="65">
        <v>13</v>
      </c>
      <c r="AR755" s="65">
        <v>11.1</v>
      </c>
      <c r="AS755" s="65">
        <v>13</v>
      </c>
      <c r="AT755" s="65"/>
      <c r="AU755" s="65"/>
      <c r="AV755" s="65"/>
      <c r="AW755" s="65"/>
      <c r="AX755" s="65"/>
      <c r="AY755" s="65"/>
      <c r="AZ755" s="65"/>
      <c r="BA755" s="65"/>
      <c r="BB755" s="65"/>
      <c r="BC755" s="65"/>
      <c r="BD755" s="65"/>
      <c r="BE755" s="65"/>
      <c r="BF755" s="65"/>
      <c r="BG755" s="65"/>
      <c r="BH755" s="65"/>
      <c r="BI755" s="65"/>
      <c r="BJ755" s="65"/>
      <c r="BK755" s="65"/>
      <c r="BL755" s="65"/>
      <c r="BM755" s="65"/>
      <c r="BN755" s="65"/>
      <c r="BO755" s="65"/>
    </row>
    <row r="756" spans="1:67" s="58" customFormat="1" x14ac:dyDescent="0.2">
      <c r="A756" s="49"/>
      <c r="B756" s="50"/>
      <c r="C756" s="51"/>
      <c r="D756" s="49"/>
      <c r="E756" s="49"/>
      <c r="F756" s="52"/>
      <c r="G756" s="53"/>
      <c r="H756" s="54"/>
      <c r="I756" s="55"/>
      <c r="J756" s="53"/>
      <c r="K756" s="53"/>
      <c r="L756" s="53"/>
      <c r="M756" s="56"/>
      <c r="N756" s="53"/>
      <c r="O756" s="57"/>
      <c r="P756" s="57"/>
      <c r="Q756" s="53"/>
      <c r="R756" s="53"/>
      <c r="S756" s="53"/>
      <c r="T756" s="59"/>
      <c r="U756" s="59"/>
      <c r="V756" s="53"/>
      <c r="W756" s="53"/>
      <c r="X756" s="53"/>
      <c r="Y756" s="9" t="e">
        <f t="shared" si="11"/>
        <v>#DIV/0!</v>
      </c>
      <c r="Z756" s="60"/>
      <c r="AC756" s="61"/>
      <c r="AD756" s="53"/>
      <c r="AE756" s="56"/>
      <c r="AF756" s="62"/>
      <c r="AG756" s="63"/>
      <c r="AH756" s="61"/>
      <c r="AO756" s="64" t="s">
        <v>79</v>
      </c>
      <c r="AP756" s="65">
        <v>2.1999999999999997</v>
      </c>
      <c r="AQ756" s="65">
        <v>2.8</v>
      </c>
      <c r="AR756" s="65">
        <v>1.9</v>
      </c>
      <c r="AS756" s="65">
        <v>1.9</v>
      </c>
      <c r="AT756" s="65"/>
      <c r="AU756" s="65"/>
      <c r="AV756" s="65"/>
      <c r="AW756" s="65"/>
      <c r="AX756" s="65"/>
      <c r="AY756" s="65"/>
      <c r="AZ756" s="65"/>
      <c r="BA756" s="65"/>
      <c r="BB756" s="65"/>
      <c r="BC756" s="65"/>
      <c r="BD756" s="65"/>
      <c r="BE756" s="65"/>
      <c r="BF756" s="65"/>
      <c r="BG756" s="65"/>
      <c r="BH756" s="65"/>
      <c r="BI756" s="65"/>
      <c r="BJ756" s="65"/>
      <c r="BK756" s="65"/>
      <c r="BL756" s="65"/>
      <c r="BM756" s="65"/>
      <c r="BN756" s="65"/>
      <c r="BO756" s="65"/>
    </row>
    <row r="757" spans="1:67" s="58" customFormat="1" x14ac:dyDescent="0.2">
      <c r="A757" s="49" t="s">
        <v>67</v>
      </c>
      <c r="B757" s="50">
        <v>43256</v>
      </c>
      <c r="C757" s="51">
        <v>0.52847222222222201</v>
      </c>
      <c r="D757" s="49" t="s">
        <v>306</v>
      </c>
      <c r="E757" s="49"/>
      <c r="F757" s="52">
        <v>63</v>
      </c>
      <c r="G757" s="53">
        <v>1</v>
      </c>
      <c r="H757" s="54">
        <v>1.5873015873015872E-2</v>
      </c>
      <c r="I757" s="55">
        <v>6.83E-2</v>
      </c>
      <c r="J757" s="53">
        <v>314.15899999999999</v>
      </c>
      <c r="K757" s="53">
        <v>1.2977000000000001</v>
      </c>
      <c r="L757" s="53">
        <v>19</v>
      </c>
      <c r="M757" s="56">
        <v>242.08908068120519</v>
      </c>
      <c r="N757" s="53">
        <v>1419</v>
      </c>
      <c r="O757" s="57" t="s">
        <v>94</v>
      </c>
      <c r="P757" s="57" t="s">
        <v>82</v>
      </c>
      <c r="Q757" s="53" t="s">
        <v>95</v>
      </c>
      <c r="R757" s="53" t="s">
        <v>96</v>
      </c>
      <c r="S757" s="53"/>
      <c r="T757" s="59">
        <v>379</v>
      </c>
      <c r="U757" s="59">
        <v>762</v>
      </c>
      <c r="V757" s="53">
        <v>0.8</v>
      </c>
      <c r="W757" s="53">
        <v>0.8</v>
      </c>
      <c r="X757" s="53">
        <v>0.8</v>
      </c>
      <c r="Y757" s="9">
        <f t="shared" si="11"/>
        <v>91751.761578176767</v>
      </c>
      <c r="Z757" s="60" t="s">
        <v>97</v>
      </c>
      <c r="AA757" s="58" t="s">
        <v>307</v>
      </c>
      <c r="AB757" s="58" t="s">
        <v>75</v>
      </c>
      <c r="AC757" s="61" t="s">
        <v>112</v>
      </c>
      <c r="AD757" s="53" t="s">
        <v>85</v>
      </c>
      <c r="AE757" s="56">
        <v>0.18</v>
      </c>
      <c r="AF757" s="56">
        <v>0.18</v>
      </c>
      <c r="AG757" s="56">
        <v>0.18</v>
      </c>
      <c r="AH757" s="56">
        <v>0.18</v>
      </c>
      <c r="AI757" s="56">
        <v>0.18</v>
      </c>
      <c r="AJ757" s="56">
        <v>0.18</v>
      </c>
      <c r="AK757" s="56">
        <v>0.18</v>
      </c>
      <c r="AL757" s="56">
        <v>0.18</v>
      </c>
      <c r="AM757" s="56">
        <v>0.18</v>
      </c>
      <c r="AN757" s="56">
        <v>0.18</v>
      </c>
      <c r="AO757" s="66" t="s">
        <v>78</v>
      </c>
      <c r="AP757" s="65">
        <v>0.75200000000000033</v>
      </c>
      <c r="AQ757" s="65">
        <v>0.7</v>
      </c>
      <c r="AR757" s="65">
        <v>0.7</v>
      </c>
      <c r="AS757" s="65">
        <v>0.7</v>
      </c>
      <c r="AT757" s="65">
        <v>0.7</v>
      </c>
      <c r="AU757" s="65">
        <v>0.7</v>
      </c>
      <c r="AV757" s="65">
        <v>0.7</v>
      </c>
      <c r="AW757" s="65">
        <v>0.7</v>
      </c>
      <c r="AX757" s="65">
        <v>0.7</v>
      </c>
      <c r="AY757" s="65">
        <v>0.7</v>
      </c>
      <c r="AZ757" s="65">
        <v>0.7</v>
      </c>
      <c r="BA757" s="65">
        <v>0.7</v>
      </c>
      <c r="BB757" s="65">
        <v>0.7</v>
      </c>
      <c r="BC757" s="65">
        <v>0.8</v>
      </c>
      <c r="BD757" s="65">
        <v>0.8</v>
      </c>
      <c r="BE757" s="65">
        <v>0.8</v>
      </c>
      <c r="BF757" s="65">
        <v>0.8</v>
      </c>
      <c r="BG757" s="65">
        <v>0.8</v>
      </c>
      <c r="BH757" s="65">
        <v>0.8</v>
      </c>
      <c r="BI757" s="65">
        <v>0.8</v>
      </c>
      <c r="BJ757" s="65">
        <v>0.8</v>
      </c>
      <c r="BK757" s="65">
        <v>0.8</v>
      </c>
      <c r="BL757" s="65">
        <v>0.8</v>
      </c>
      <c r="BM757" s="65">
        <v>0.8</v>
      </c>
      <c r="BN757" s="65">
        <v>0.8</v>
      </c>
      <c r="BO757" s="65">
        <v>0.8</v>
      </c>
    </row>
    <row r="758" spans="1:67" s="58" customFormat="1" x14ac:dyDescent="0.2">
      <c r="A758" s="49" t="s">
        <v>67</v>
      </c>
      <c r="B758" s="50">
        <v>43256</v>
      </c>
      <c r="C758" s="51">
        <v>0.52847222222222201</v>
      </c>
      <c r="D758" s="49" t="s">
        <v>306</v>
      </c>
      <c r="E758" s="49"/>
      <c r="F758" s="52">
        <v>63</v>
      </c>
      <c r="G758" s="53">
        <v>1</v>
      </c>
      <c r="H758" s="54">
        <v>1.5873015873015872E-2</v>
      </c>
      <c r="I758" s="55">
        <v>6.83E-2</v>
      </c>
      <c r="J758" s="53">
        <v>314.15899999999999</v>
      </c>
      <c r="K758" s="53">
        <v>1.2977000000000001</v>
      </c>
      <c r="L758" s="53">
        <v>19</v>
      </c>
      <c r="M758" s="56">
        <v>242.08908068120519</v>
      </c>
      <c r="N758" s="53">
        <v>1423</v>
      </c>
      <c r="O758" s="57" t="s">
        <v>163</v>
      </c>
      <c r="P758" s="57" t="s">
        <v>82</v>
      </c>
      <c r="Q758" s="53" t="s">
        <v>95</v>
      </c>
      <c r="R758" s="53" t="s">
        <v>84</v>
      </c>
      <c r="S758" s="53"/>
      <c r="T758" s="59">
        <v>5</v>
      </c>
      <c r="U758" s="59">
        <v>7</v>
      </c>
      <c r="V758" s="53">
        <v>5.6</v>
      </c>
      <c r="W758" s="53"/>
      <c r="X758" s="53"/>
      <c r="Y758" s="9">
        <f t="shared" si="11"/>
        <v>1210.4454034060261</v>
      </c>
      <c r="Z758" s="60" t="s">
        <v>97</v>
      </c>
      <c r="AA758" s="58" t="s">
        <v>307</v>
      </c>
      <c r="AB758" s="58" t="s">
        <v>75</v>
      </c>
      <c r="AC758" s="61" t="s">
        <v>112</v>
      </c>
      <c r="AD758" s="53" t="s">
        <v>85</v>
      </c>
      <c r="AE758" s="56">
        <v>57.905786879999994</v>
      </c>
      <c r="AF758" s="62"/>
      <c r="AG758" s="63"/>
      <c r="AH758" s="61"/>
      <c r="AO758" s="64" t="s">
        <v>78</v>
      </c>
      <c r="AP758" s="65">
        <v>4.8</v>
      </c>
      <c r="AQ758" s="65">
        <v>4.5999999999999996</v>
      </c>
      <c r="AR758" s="65">
        <v>5.6</v>
      </c>
      <c r="AS758" s="65">
        <v>4.5999999999999996</v>
      </c>
      <c r="AT758" s="65">
        <v>4.5999999999999996</v>
      </c>
      <c r="AU758" s="65">
        <v>4.5999999999999996</v>
      </c>
      <c r="AV758" s="65"/>
      <c r="AW758" s="65"/>
      <c r="AX758" s="65"/>
      <c r="AY758" s="65"/>
      <c r="AZ758" s="65"/>
      <c r="BA758" s="65"/>
      <c r="BB758" s="65"/>
      <c r="BC758" s="65"/>
      <c r="BD758" s="65"/>
      <c r="BE758" s="65"/>
      <c r="BF758" s="65"/>
      <c r="BG758" s="65"/>
      <c r="BH758" s="65"/>
      <c r="BI758" s="65"/>
      <c r="BJ758" s="65"/>
      <c r="BK758" s="65"/>
      <c r="BL758" s="65"/>
      <c r="BM758" s="65"/>
      <c r="BN758" s="65"/>
      <c r="BO758" s="65"/>
    </row>
    <row r="759" spans="1:67" s="58" customFormat="1" x14ac:dyDescent="0.2">
      <c r="A759" s="49" t="s">
        <v>67</v>
      </c>
      <c r="B759" s="50">
        <v>43286</v>
      </c>
      <c r="C759" s="51">
        <v>0.56666666666666698</v>
      </c>
      <c r="D759" s="49" t="s">
        <v>158</v>
      </c>
      <c r="E759" s="49"/>
      <c r="F759" s="52">
        <v>63</v>
      </c>
      <c r="G759" s="53">
        <v>2</v>
      </c>
      <c r="H759" s="54">
        <v>3.1746031746031744E-2</v>
      </c>
      <c r="I759" s="55">
        <v>6.83E-2</v>
      </c>
      <c r="J759" s="53">
        <v>314.15899999999999</v>
      </c>
      <c r="K759" s="53">
        <v>0.75129999999999997</v>
      </c>
      <c r="L759" s="53">
        <v>11</v>
      </c>
      <c r="M759" s="56">
        <v>209.07693331558633</v>
      </c>
      <c r="N759" s="53">
        <v>145</v>
      </c>
      <c r="O759" s="57" t="s">
        <v>69</v>
      </c>
      <c r="P759" s="58" t="s">
        <v>70</v>
      </c>
      <c r="Q759" s="53" t="s">
        <v>71</v>
      </c>
      <c r="R759" s="53" t="s">
        <v>72</v>
      </c>
      <c r="S759" s="53"/>
      <c r="T759" s="59">
        <v>1</v>
      </c>
      <c r="U759" s="59">
        <v>1</v>
      </c>
      <c r="V759" s="53">
        <v>14.8</v>
      </c>
      <c r="W759" s="53"/>
      <c r="X759" s="53"/>
      <c r="Y759" s="9">
        <f t="shared" si="11"/>
        <v>209.07693331558633</v>
      </c>
      <c r="Z759" s="60" t="s">
        <v>73</v>
      </c>
      <c r="AA759" s="58" t="s">
        <v>308</v>
      </c>
      <c r="AB759" s="58" t="s">
        <v>75</v>
      </c>
      <c r="AC759" s="61" t="s">
        <v>76</v>
      </c>
      <c r="AD759" s="53" t="s">
        <v>77</v>
      </c>
      <c r="AE759" s="56">
        <v>302.68591332</v>
      </c>
      <c r="AF759" s="62"/>
      <c r="AG759" s="63"/>
      <c r="AH759" s="61"/>
      <c r="AO759" s="66" t="s">
        <v>78</v>
      </c>
      <c r="AP759" s="65">
        <v>14.8</v>
      </c>
      <c r="AQ759" s="65">
        <v>14.8</v>
      </c>
      <c r="AR759" s="65"/>
      <c r="AS759" s="65"/>
      <c r="AT759" s="65"/>
      <c r="AU759" s="65"/>
      <c r="AV759" s="65"/>
      <c r="AW759" s="65"/>
      <c r="AX759" s="65"/>
      <c r="AY759" s="65"/>
      <c r="AZ759" s="65"/>
      <c r="BA759" s="65"/>
      <c r="BB759" s="65"/>
      <c r="BC759" s="65"/>
      <c r="BD759" s="65"/>
      <c r="BE759" s="65"/>
      <c r="BF759" s="65"/>
      <c r="BG759" s="65"/>
      <c r="BH759" s="65"/>
      <c r="BI759" s="65"/>
      <c r="BJ759" s="65"/>
      <c r="BK759" s="65"/>
      <c r="BL759" s="65"/>
      <c r="BM759" s="65"/>
      <c r="BN759" s="65"/>
      <c r="BO759" s="65"/>
    </row>
    <row r="760" spans="1:67" s="58" customFormat="1" x14ac:dyDescent="0.2">
      <c r="A760" s="49"/>
      <c r="B760" s="50"/>
      <c r="C760" s="51"/>
      <c r="D760" s="49"/>
      <c r="E760" s="49"/>
      <c r="F760" s="52"/>
      <c r="G760" s="53"/>
      <c r="H760" s="54"/>
      <c r="I760" s="55"/>
      <c r="J760" s="53"/>
      <c r="K760" s="53"/>
      <c r="L760" s="53"/>
      <c r="M760" s="56"/>
      <c r="N760" s="53"/>
      <c r="O760" s="57"/>
      <c r="Q760" s="53"/>
      <c r="R760" s="53"/>
      <c r="S760" s="53"/>
      <c r="T760" s="59"/>
      <c r="U760" s="59"/>
      <c r="V760" s="53"/>
      <c r="W760" s="53"/>
      <c r="X760" s="53"/>
      <c r="Y760" s="9" t="e">
        <f t="shared" si="11"/>
        <v>#DIV/0!</v>
      </c>
      <c r="Z760" s="60"/>
      <c r="AC760" s="61"/>
      <c r="AD760" s="53"/>
      <c r="AE760" s="56"/>
      <c r="AF760" s="62"/>
      <c r="AG760" s="63"/>
      <c r="AH760" s="61"/>
      <c r="AO760" s="64" t="s">
        <v>79</v>
      </c>
      <c r="AP760" s="65">
        <v>9.3000000000000007</v>
      </c>
      <c r="AQ760" s="65">
        <v>9.3000000000000007</v>
      </c>
      <c r="AR760" s="65"/>
      <c r="AS760" s="65"/>
      <c r="AT760" s="65"/>
      <c r="AU760" s="65"/>
      <c r="AV760" s="65"/>
      <c r="AW760" s="65"/>
      <c r="AX760" s="65"/>
      <c r="AY760" s="65"/>
      <c r="AZ760" s="65"/>
      <c r="BA760" s="65"/>
      <c r="BB760" s="65"/>
      <c r="BC760" s="65"/>
      <c r="BD760" s="65"/>
      <c r="BE760" s="65"/>
      <c r="BF760" s="65"/>
      <c r="BG760" s="65"/>
      <c r="BH760" s="65"/>
      <c r="BI760" s="65"/>
      <c r="BJ760" s="65"/>
      <c r="BK760" s="65"/>
      <c r="BL760" s="65"/>
      <c r="BM760" s="65"/>
      <c r="BN760" s="65"/>
      <c r="BO760" s="65"/>
    </row>
    <row r="761" spans="1:67" s="58" customFormat="1" x14ac:dyDescent="0.2">
      <c r="A761" s="49"/>
      <c r="B761" s="50"/>
      <c r="C761" s="51"/>
      <c r="D761" s="49"/>
      <c r="E761" s="49"/>
      <c r="F761" s="52"/>
      <c r="G761" s="53"/>
      <c r="H761" s="54"/>
      <c r="I761" s="55"/>
      <c r="J761" s="53"/>
      <c r="K761" s="53"/>
      <c r="L761" s="53"/>
      <c r="M761" s="56"/>
      <c r="N761" s="53"/>
      <c r="O761" s="57"/>
      <c r="Q761" s="53"/>
      <c r="R761" s="53"/>
      <c r="S761" s="53"/>
      <c r="T761" s="59"/>
      <c r="U761" s="59"/>
      <c r="V761" s="53"/>
      <c r="W761" s="53"/>
      <c r="X761" s="53"/>
      <c r="Y761" s="9" t="e">
        <f t="shared" si="11"/>
        <v>#DIV/0!</v>
      </c>
      <c r="Z761" s="60"/>
      <c r="AC761" s="61"/>
      <c r="AD761" s="53"/>
      <c r="AE761" s="56"/>
      <c r="AF761" s="62"/>
      <c r="AG761" s="63"/>
      <c r="AH761" s="61"/>
      <c r="AO761" s="64" t="s">
        <v>80</v>
      </c>
      <c r="AP761" s="65">
        <v>2.8</v>
      </c>
      <c r="AQ761" s="65">
        <v>2.8</v>
      </c>
      <c r="AR761" s="65"/>
      <c r="AS761" s="65"/>
      <c r="AT761" s="65"/>
      <c r="AU761" s="65"/>
      <c r="AV761" s="65"/>
      <c r="AW761" s="65"/>
      <c r="AX761" s="65"/>
      <c r="AY761" s="65"/>
      <c r="AZ761" s="65"/>
      <c r="BA761" s="65"/>
      <c r="BB761" s="65"/>
      <c r="BC761" s="65"/>
      <c r="BD761" s="65"/>
      <c r="BE761" s="65"/>
      <c r="BF761" s="65"/>
      <c r="BG761" s="65"/>
      <c r="BH761" s="65"/>
      <c r="BI761" s="65"/>
      <c r="BJ761" s="65"/>
      <c r="BK761" s="65"/>
      <c r="BL761" s="65"/>
      <c r="BM761" s="65"/>
      <c r="BN761" s="65"/>
      <c r="BO761" s="65"/>
    </row>
    <row r="762" spans="1:67" s="58" customFormat="1" x14ac:dyDescent="0.2">
      <c r="A762" s="49" t="s">
        <v>67</v>
      </c>
      <c r="B762" s="50">
        <v>43286</v>
      </c>
      <c r="C762" s="51">
        <v>0.56666666666666698</v>
      </c>
      <c r="D762" s="49" t="s">
        <v>158</v>
      </c>
      <c r="E762" s="49"/>
      <c r="F762" s="52">
        <v>63</v>
      </c>
      <c r="G762" s="53">
        <v>2</v>
      </c>
      <c r="H762" s="54">
        <v>3.1746031746031744E-2</v>
      </c>
      <c r="I762" s="55">
        <v>6.83E-2</v>
      </c>
      <c r="J762" s="53">
        <v>314.15899999999999</v>
      </c>
      <c r="K762" s="53">
        <v>0.75129999999999997</v>
      </c>
      <c r="L762" s="53">
        <v>11</v>
      </c>
      <c r="M762" s="56">
        <v>209.07693331558633</v>
      </c>
      <c r="N762" s="53">
        <v>730</v>
      </c>
      <c r="O762" s="57" t="s">
        <v>270</v>
      </c>
      <c r="P762" s="58" t="s">
        <v>70</v>
      </c>
      <c r="Q762" s="53" t="s">
        <v>191</v>
      </c>
      <c r="R762" s="53" t="s">
        <v>271</v>
      </c>
      <c r="S762" s="53"/>
      <c r="T762" s="59">
        <v>2</v>
      </c>
      <c r="U762" s="59">
        <v>2</v>
      </c>
      <c r="V762" s="53">
        <v>25</v>
      </c>
      <c r="W762" s="53"/>
      <c r="X762" s="53"/>
      <c r="Y762" s="9">
        <f t="shared" si="11"/>
        <v>418.15386663117266</v>
      </c>
      <c r="Z762" s="60" t="s">
        <v>73</v>
      </c>
      <c r="AA762" s="58" t="s">
        <v>308</v>
      </c>
      <c r="AB762" s="58" t="s">
        <v>75</v>
      </c>
      <c r="AC762" s="61" t="s">
        <v>76</v>
      </c>
      <c r="AD762" s="53" t="s">
        <v>193</v>
      </c>
      <c r="AE762" s="56">
        <v>171.125</v>
      </c>
      <c r="AF762" s="62"/>
      <c r="AG762" s="63"/>
      <c r="AH762" s="61"/>
      <c r="AO762" s="66" t="s">
        <v>78</v>
      </c>
      <c r="AP762" s="65">
        <v>25</v>
      </c>
      <c r="AQ762" s="65">
        <v>25.9</v>
      </c>
      <c r="AR762" s="65">
        <v>24.1</v>
      </c>
      <c r="AS762" s="65"/>
      <c r="AT762" s="65"/>
      <c r="AU762" s="65"/>
      <c r="AV762" s="65"/>
      <c r="AW762" s="65"/>
      <c r="AX762" s="65"/>
      <c r="AY762" s="65"/>
      <c r="AZ762" s="65"/>
      <c r="BA762" s="65"/>
      <c r="BB762" s="65"/>
      <c r="BC762" s="65"/>
      <c r="BD762" s="65"/>
      <c r="BE762" s="65"/>
      <c r="BF762" s="65"/>
      <c r="BG762" s="65"/>
      <c r="BH762" s="65"/>
      <c r="BI762" s="65"/>
      <c r="BJ762" s="65"/>
      <c r="BK762" s="65"/>
      <c r="BL762" s="65"/>
      <c r="BM762" s="65"/>
      <c r="BN762" s="65"/>
      <c r="BO762" s="65"/>
    </row>
    <row r="763" spans="1:67" s="58" customFormat="1" x14ac:dyDescent="0.2">
      <c r="A763" s="49"/>
      <c r="B763" s="50"/>
      <c r="C763" s="51"/>
      <c r="D763" s="49"/>
      <c r="E763" s="49"/>
      <c r="F763" s="52"/>
      <c r="G763" s="53"/>
      <c r="H763" s="54"/>
      <c r="I763" s="55"/>
      <c r="J763" s="53"/>
      <c r="K763" s="53"/>
      <c r="L763" s="53"/>
      <c r="M763" s="56"/>
      <c r="N763" s="53"/>
      <c r="O763" s="57"/>
      <c r="Q763" s="53"/>
      <c r="R763" s="53"/>
      <c r="S763" s="53"/>
      <c r="T763" s="59"/>
      <c r="U763" s="59"/>
      <c r="V763" s="53"/>
      <c r="W763" s="53"/>
      <c r="X763" s="53"/>
      <c r="Y763" s="9" t="e">
        <f t="shared" si="11"/>
        <v>#DIV/0!</v>
      </c>
      <c r="Z763" s="60"/>
      <c r="AC763" s="61"/>
      <c r="AD763" s="53"/>
      <c r="AE763" s="56"/>
      <c r="AF763" s="62"/>
      <c r="AG763" s="63"/>
      <c r="AH763" s="61"/>
      <c r="AO763" s="64" t="s">
        <v>79</v>
      </c>
      <c r="AP763" s="65">
        <v>3.7</v>
      </c>
      <c r="AQ763" s="65">
        <v>3.7</v>
      </c>
      <c r="AR763" s="65">
        <v>3.7</v>
      </c>
      <c r="AS763" s="65"/>
      <c r="AT763" s="65"/>
      <c r="AU763" s="65"/>
      <c r="AV763" s="65"/>
      <c r="AW763" s="65"/>
      <c r="AX763" s="65"/>
      <c r="AY763" s="65"/>
      <c r="AZ763" s="65"/>
      <c r="BA763" s="65"/>
      <c r="BB763" s="65"/>
      <c r="BC763" s="65"/>
      <c r="BD763" s="65"/>
      <c r="BE763" s="65"/>
      <c r="BF763" s="65"/>
      <c r="BG763" s="65"/>
      <c r="BH763" s="65"/>
      <c r="BI763" s="65"/>
      <c r="BJ763" s="65"/>
      <c r="BK763" s="65"/>
      <c r="BL763" s="65"/>
      <c r="BM763" s="65"/>
      <c r="BN763" s="65"/>
      <c r="BO763" s="65"/>
    </row>
    <row r="764" spans="1:67" s="58" customFormat="1" x14ac:dyDescent="0.2">
      <c r="A764" s="49"/>
      <c r="B764" s="50"/>
      <c r="C764" s="51"/>
      <c r="D764" s="49"/>
      <c r="E764" s="49"/>
      <c r="F764" s="52"/>
      <c r="G764" s="53"/>
      <c r="H764" s="54"/>
      <c r="I764" s="55"/>
      <c r="J764" s="53"/>
      <c r="K764" s="53"/>
      <c r="L764" s="53"/>
      <c r="M764" s="56"/>
      <c r="N764" s="53"/>
      <c r="O764" s="57"/>
      <c r="Q764" s="53"/>
      <c r="R764" s="53"/>
      <c r="S764" s="53"/>
      <c r="T764" s="59"/>
      <c r="U764" s="59"/>
      <c r="V764" s="53"/>
      <c r="W764" s="53"/>
      <c r="X764" s="53"/>
      <c r="Y764" s="9" t="e">
        <f t="shared" si="11"/>
        <v>#DIV/0!</v>
      </c>
      <c r="Z764" s="60"/>
      <c r="AC764" s="61"/>
      <c r="AD764" s="53"/>
      <c r="AE764" s="56"/>
      <c r="AF764" s="62"/>
      <c r="AG764" s="63"/>
      <c r="AH764" s="61"/>
      <c r="AO764" s="64" t="s">
        <v>80</v>
      </c>
      <c r="AP764" s="65">
        <v>3.7</v>
      </c>
      <c r="AQ764" s="65">
        <v>3.7</v>
      </c>
      <c r="AR764" s="65">
        <v>3.7</v>
      </c>
      <c r="AS764" s="65"/>
      <c r="AT764" s="65"/>
      <c r="AU764" s="65"/>
      <c r="AV764" s="65"/>
      <c r="AW764" s="65"/>
      <c r="AX764" s="65"/>
      <c r="AY764" s="65"/>
      <c r="AZ764" s="65"/>
      <c r="BA764" s="65"/>
      <c r="BB764" s="65"/>
      <c r="BC764" s="65"/>
      <c r="BD764" s="65"/>
      <c r="BE764" s="65"/>
      <c r="BF764" s="65"/>
      <c r="BG764" s="65"/>
      <c r="BH764" s="65"/>
      <c r="BI764" s="65"/>
      <c r="BJ764" s="65"/>
      <c r="BK764" s="65"/>
      <c r="BL764" s="65"/>
      <c r="BM764" s="65"/>
      <c r="BN764" s="65"/>
      <c r="BO764" s="65"/>
    </row>
    <row r="765" spans="1:67" s="58" customFormat="1" x14ac:dyDescent="0.2">
      <c r="A765" s="49" t="s">
        <v>67</v>
      </c>
      <c r="B765" s="50">
        <v>43286</v>
      </c>
      <c r="C765" s="51">
        <v>0.56666666666666698</v>
      </c>
      <c r="D765" s="49" t="s">
        <v>158</v>
      </c>
      <c r="E765" s="49"/>
      <c r="F765" s="52">
        <v>63</v>
      </c>
      <c r="G765" s="53">
        <v>2</v>
      </c>
      <c r="H765" s="54">
        <v>3.1746031746031744E-2</v>
      </c>
      <c r="I765" s="55">
        <v>6.83E-2</v>
      </c>
      <c r="J765" s="53">
        <v>314.15899999999999</v>
      </c>
      <c r="K765" s="53">
        <v>0.75129999999999997</v>
      </c>
      <c r="L765" s="53">
        <v>11</v>
      </c>
      <c r="M765" s="56">
        <v>209.07693331558633</v>
      </c>
      <c r="N765" s="53">
        <v>749</v>
      </c>
      <c r="O765" s="57" t="s">
        <v>190</v>
      </c>
      <c r="P765" s="58" t="s">
        <v>70</v>
      </c>
      <c r="Q765" s="53" t="s">
        <v>191</v>
      </c>
      <c r="R765" s="53" t="s">
        <v>84</v>
      </c>
      <c r="S765" s="53"/>
      <c r="T765" s="59">
        <v>3</v>
      </c>
      <c r="U765" s="59">
        <v>3</v>
      </c>
      <c r="V765" s="53">
        <v>18.5</v>
      </c>
      <c r="W765" s="53"/>
      <c r="X765" s="53"/>
      <c r="Y765" s="9">
        <f t="shared" si="11"/>
        <v>627.23079994675891</v>
      </c>
      <c r="Z765" s="60" t="s">
        <v>73</v>
      </c>
      <c r="AA765" s="58" t="s">
        <v>308</v>
      </c>
      <c r="AB765" s="58" t="s">
        <v>75</v>
      </c>
      <c r="AC765" s="61" t="s">
        <v>76</v>
      </c>
      <c r="AD765" s="53" t="s">
        <v>193</v>
      </c>
      <c r="AE765" s="56">
        <v>135.23499999999999</v>
      </c>
      <c r="AF765" s="62"/>
      <c r="AG765" s="63"/>
      <c r="AH765" s="61"/>
      <c r="AO765" s="66" t="s">
        <v>78</v>
      </c>
      <c r="AP765" s="65">
        <v>18.533333333333331</v>
      </c>
      <c r="AQ765" s="65">
        <v>20.399999999999999</v>
      </c>
      <c r="AR765" s="65">
        <v>18.5</v>
      </c>
      <c r="AS765" s="65">
        <v>16.7</v>
      </c>
      <c r="AT765" s="65"/>
      <c r="AU765" s="65"/>
      <c r="AV765" s="65"/>
      <c r="AW765" s="65"/>
      <c r="AX765" s="65"/>
      <c r="AY765" s="65"/>
      <c r="AZ765" s="65"/>
      <c r="BA765" s="65"/>
      <c r="BB765" s="65"/>
      <c r="BC765" s="65"/>
      <c r="BD765" s="65"/>
      <c r="BE765" s="65"/>
      <c r="BF765" s="65"/>
      <c r="BG765" s="65"/>
      <c r="BH765" s="65"/>
      <c r="BI765" s="65"/>
      <c r="BJ765" s="65"/>
      <c r="BK765" s="65"/>
      <c r="BL765" s="65"/>
      <c r="BM765" s="65"/>
      <c r="BN765" s="65"/>
      <c r="BO765" s="65"/>
    </row>
    <row r="766" spans="1:67" s="58" customFormat="1" x14ac:dyDescent="0.2">
      <c r="A766" s="49"/>
      <c r="B766" s="50"/>
      <c r="C766" s="51"/>
      <c r="D766" s="49"/>
      <c r="E766" s="49"/>
      <c r="F766" s="52"/>
      <c r="G766" s="53"/>
      <c r="H766" s="54"/>
      <c r="I766" s="55"/>
      <c r="J766" s="53"/>
      <c r="K766" s="53"/>
      <c r="L766" s="53"/>
      <c r="M766" s="56"/>
      <c r="N766" s="53"/>
      <c r="O766" s="57"/>
      <c r="Q766" s="53"/>
      <c r="R766" s="53"/>
      <c r="S766" s="53"/>
      <c r="T766" s="59"/>
      <c r="U766" s="59"/>
      <c r="V766" s="53"/>
      <c r="W766" s="53"/>
      <c r="X766" s="53"/>
      <c r="Y766" s="9" t="e">
        <f t="shared" si="11"/>
        <v>#DIV/0!</v>
      </c>
      <c r="Z766" s="60"/>
      <c r="AC766" s="61"/>
      <c r="AD766" s="53"/>
      <c r="AE766" s="56"/>
      <c r="AF766" s="62"/>
      <c r="AG766" s="63"/>
      <c r="AH766" s="61"/>
      <c r="AO766" s="64" t="s">
        <v>79</v>
      </c>
      <c r="AP766" s="65">
        <v>4.333333333333333</v>
      </c>
      <c r="AQ766" s="65">
        <v>5.6</v>
      </c>
      <c r="AR766" s="65">
        <v>3.7</v>
      </c>
      <c r="AS766" s="65">
        <v>3.7</v>
      </c>
      <c r="AT766" s="65"/>
      <c r="AU766" s="65"/>
      <c r="AV766" s="65"/>
      <c r="AW766" s="65"/>
      <c r="AX766" s="65"/>
      <c r="AY766" s="65"/>
      <c r="AZ766" s="65"/>
      <c r="BA766" s="65"/>
      <c r="BB766" s="65"/>
      <c r="BC766" s="65"/>
      <c r="BD766" s="65"/>
      <c r="BE766" s="65"/>
      <c r="BF766" s="65"/>
      <c r="BG766" s="65"/>
      <c r="BH766" s="65"/>
      <c r="BI766" s="65"/>
      <c r="BJ766" s="65"/>
      <c r="BK766" s="65"/>
      <c r="BL766" s="65"/>
      <c r="BM766" s="65"/>
      <c r="BN766" s="65"/>
      <c r="BO766" s="65"/>
    </row>
    <row r="767" spans="1:67" s="58" customFormat="1" x14ac:dyDescent="0.2">
      <c r="A767" s="49"/>
      <c r="B767" s="50"/>
      <c r="C767" s="51"/>
      <c r="D767" s="49"/>
      <c r="E767" s="49"/>
      <c r="F767" s="52"/>
      <c r="G767" s="53"/>
      <c r="H767" s="54"/>
      <c r="I767" s="55"/>
      <c r="J767" s="53"/>
      <c r="K767" s="53"/>
      <c r="L767" s="53"/>
      <c r="M767" s="56"/>
      <c r="N767" s="53"/>
      <c r="O767" s="57"/>
      <c r="Q767" s="53"/>
      <c r="R767" s="53"/>
      <c r="S767" s="53"/>
      <c r="T767" s="59"/>
      <c r="U767" s="59"/>
      <c r="V767" s="53"/>
      <c r="W767" s="53"/>
      <c r="X767" s="53"/>
      <c r="Y767" s="9" t="e">
        <f t="shared" si="11"/>
        <v>#DIV/0!</v>
      </c>
      <c r="Z767" s="60"/>
      <c r="AC767" s="61"/>
      <c r="AD767" s="53"/>
      <c r="AE767" s="56"/>
      <c r="AF767" s="62"/>
      <c r="AG767" s="63"/>
      <c r="AH767" s="61"/>
      <c r="AO767" s="64" t="s">
        <v>80</v>
      </c>
      <c r="AP767" s="65">
        <v>3.4</v>
      </c>
      <c r="AQ767" s="65">
        <v>4.5999999999999996</v>
      </c>
      <c r="AR767" s="65">
        <v>2.8</v>
      </c>
      <c r="AS767" s="65">
        <v>2.8</v>
      </c>
      <c r="AT767" s="65"/>
      <c r="AU767" s="65"/>
      <c r="AV767" s="65"/>
      <c r="AW767" s="65"/>
      <c r="AX767" s="65"/>
      <c r="AY767" s="65"/>
      <c r="AZ767" s="65"/>
      <c r="BA767" s="65"/>
      <c r="BB767" s="65"/>
      <c r="BC767" s="65"/>
      <c r="BD767" s="65"/>
      <c r="BE767" s="65"/>
      <c r="BF767" s="65"/>
      <c r="BG767" s="65"/>
      <c r="BH767" s="65"/>
      <c r="BI767" s="65"/>
      <c r="BJ767" s="65"/>
      <c r="BK767" s="65"/>
      <c r="BL767" s="65"/>
      <c r="BM767" s="65"/>
      <c r="BN767" s="65"/>
      <c r="BO767" s="65"/>
    </row>
    <row r="768" spans="1:67" s="58" customFormat="1" x14ac:dyDescent="0.2">
      <c r="A768" s="49" t="s">
        <v>67</v>
      </c>
      <c r="B768" s="50">
        <v>43286</v>
      </c>
      <c r="C768" s="51">
        <v>0.56666666666666698</v>
      </c>
      <c r="D768" s="49" t="s">
        <v>158</v>
      </c>
      <c r="E768" s="49"/>
      <c r="F768" s="52">
        <v>63</v>
      </c>
      <c r="G768" s="53">
        <v>2</v>
      </c>
      <c r="H768" s="54">
        <v>3.1746031746031744E-2</v>
      </c>
      <c r="I768" s="55">
        <v>6.83E-2</v>
      </c>
      <c r="J768" s="53">
        <v>314.15899999999999</v>
      </c>
      <c r="K768" s="53">
        <v>0.75129999999999997</v>
      </c>
      <c r="L768" s="53">
        <v>11</v>
      </c>
      <c r="M768" s="56">
        <v>209.07693331558633</v>
      </c>
      <c r="N768" s="53">
        <v>1037</v>
      </c>
      <c r="O768" s="57" t="s">
        <v>86</v>
      </c>
      <c r="P768" s="57" t="s">
        <v>82</v>
      </c>
      <c r="Q768" s="53" t="s">
        <v>87</v>
      </c>
      <c r="R768" s="53" t="s">
        <v>84</v>
      </c>
      <c r="S768" s="53"/>
      <c r="T768" s="59">
        <v>37</v>
      </c>
      <c r="U768" s="59">
        <v>37</v>
      </c>
      <c r="V768" s="53">
        <v>2.8</v>
      </c>
      <c r="W768" s="53"/>
      <c r="X768" s="53"/>
      <c r="Y768" s="9">
        <f t="shared" si="11"/>
        <v>7735.8465326766936</v>
      </c>
      <c r="Z768" s="60" t="s">
        <v>73</v>
      </c>
      <c r="AA768" s="58" t="s">
        <v>308</v>
      </c>
      <c r="AB768" s="58" t="s">
        <v>75</v>
      </c>
      <c r="AC768" s="61" t="s">
        <v>76</v>
      </c>
      <c r="AD768" s="53" t="s">
        <v>85</v>
      </c>
      <c r="AE768" s="56">
        <v>9.2027643066666673</v>
      </c>
      <c r="AF768" s="62"/>
      <c r="AG768" s="63"/>
      <c r="AH768" s="61"/>
      <c r="AO768" s="66" t="s">
        <v>78</v>
      </c>
      <c r="AP768" s="65">
        <v>2.6199999999999997</v>
      </c>
      <c r="AQ768" s="65">
        <v>1.9</v>
      </c>
      <c r="AR768" s="65">
        <v>2.8</v>
      </c>
      <c r="AS768" s="65">
        <v>2.8</v>
      </c>
      <c r="AT768" s="65">
        <v>2.8</v>
      </c>
      <c r="AU768" s="65">
        <v>2.8</v>
      </c>
      <c r="AV768" s="65"/>
      <c r="AW768" s="65"/>
      <c r="AX768" s="65"/>
      <c r="AY768" s="65"/>
      <c r="AZ768" s="65"/>
      <c r="BA768" s="65"/>
      <c r="BB768" s="65"/>
      <c r="BC768" s="65"/>
      <c r="BD768" s="65"/>
      <c r="BE768" s="65"/>
      <c r="BF768" s="65"/>
      <c r="BG768" s="65"/>
      <c r="BH768" s="65"/>
      <c r="BI768" s="65"/>
      <c r="BJ768" s="65"/>
      <c r="BK768" s="65"/>
      <c r="BL768" s="65"/>
      <c r="BM768" s="65"/>
      <c r="BN768" s="65"/>
      <c r="BO768" s="65"/>
    </row>
    <row r="769" spans="1:67" s="58" customFormat="1" x14ac:dyDescent="0.2">
      <c r="A769" s="49" t="s">
        <v>67</v>
      </c>
      <c r="B769" s="50">
        <v>43286</v>
      </c>
      <c r="C769" s="51">
        <v>0.56666666666666698</v>
      </c>
      <c r="D769" s="49" t="s">
        <v>158</v>
      </c>
      <c r="E769" s="49"/>
      <c r="F769" s="52">
        <v>63</v>
      </c>
      <c r="G769" s="53">
        <v>2</v>
      </c>
      <c r="H769" s="54">
        <v>3.1746031746031744E-2</v>
      </c>
      <c r="I769" s="55">
        <v>6.83E-2</v>
      </c>
      <c r="J769" s="53">
        <v>314.15899999999999</v>
      </c>
      <c r="K769" s="53">
        <v>0.75129999999999997</v>
      </c>
      <c r="L769" s="53">
        <v>11</v>
      </c>
      <c r="M769" s="56">
        <v>209.07693331558633</v>
      </c>
      <c r="N769" s="53">
        <v>1059</v>
      </c>
      <c r="O769" s="57" t="s">
        <v>309</v>
      </c>
      <c r="P769" s="57" t="s">
        <v>82</v>
      </c>
      <c r="Q769" s="53" t="s">
        <v>310</v>
      </c>
      <c r="R769" s="53" t="s">
        <v>311</v>
      </c>
      <c r="S769" s="53"/>
      <c r="T769" s="59">
        <v>1</v>
      </c>
      <c r="U769" s="59">
        <v>5</v>
      </c>
      <c r="V769" s="53">
        <v>2.8</v>
      </c>
      <c r="W769" s="53"/>
      <c r="X769" s="53"/>
      <c r="Y769" s="9">
        <f t="shared" si="11"/>
        <v>209.07693331558633</v>
      </c>
      <c r="Z769" s="60" t="s">
        <v>97</v>
      </c>
      <c r="AA769" s="58" t="s">
        <v>308</v>
      </c>
      <c r="AB769" s="58" t="s">
        <v>75</v>
      </c>
      <c r="AC769" s="61" t="s">
        <v>76</v>
      </c>
      <c r="AD769" s="53" t="s">
        <v>85</v>
      </c>
      <c r="AE769" s="56">
        <v>11.494030613333329</v>
      </c>
      <c r="AF769" s="62"/>
      <c r="AG769" s="63"/>
      <c r="AH769" s="61"/>
      <c r="AO769" s="66" t="s">
        <v>78</v>
      </c>
      <c r="AP769" s="65">
        <v>2.8</v>
      </c>
      <c r="AQ769" s="65">
        <v>2.8</v>
      </c>
      <c r="AR769" s="65">
        <v>2.8</v>
      </c>
      <c r="AS769" s="65">
        <v>2.8</v>
      </c>
      <c r="AT769" s="65">
        <v>2.8</v>
      </c>
      <c r="AU769" s="65">
        <v>2.8</v>
      </c>
      <c r="AV769" s="65"/>
      <c r="AW769" s="65"/>
      <c r="AX769" s="65"/>
      <c r="AY769" s="65"/>
      <c r="AZ769" s="65"/>
      <c r="BA769" s="65"/>
      <c r="BB769" s="65"/>
      <c r="BC769" s="65"/>
      <c r="BD769" s="65"/>
      <c r="BE769" s="65"/>
      <c r="BF769" s="65"/>
      <c r="BG769" s="65"/>
      <c r="BH769" s="65"/>
      <c r="BI769" s="65"/>
      <c r="BJ769" s="65"/>
      <c r="BK769" s="65"/>
      <c r="BL769" s="65"/>
      <c r="BM769" s="65"/>
      <c r="BN769" s="65"/>
      <c r="BO769" s="65"/>
    </row>
    <row r="770" spans="1:67" s="58" customFormat="1" x14ac:dyDescent="0.2">
      <c r="A770" s="49" t="s">
        <v>67</v>
      </c>
      <c r="B770" s="50">
        <v>43286</v>
      </c>
      <c r="C770" s="51">
        <v>0.56666666666666698</v>
      </c>
      <c r="D770" s="49" t="s">
        <v>158</v>
      </c>
      <c r="E770" s="49"/>
      <c r="F770" s="52">
        <v>63</v>
      </c>
      <c r="G770" s="53">
        <v>2</v>
      </c>
      <c r="H770" s="54">
        <v>3.1746031746031744E-2</v>
      </c>
      <c r="I770" s="55">
        <v>6.83E-2</v>
      </c>
      <c r="J770" s="53">
        <v>314.15899999999999</v>
      </c>
      <c r="K770" s="53">
        <v>0.75129999999999997</v>
      </c>
      <c r="L770" s="53">
        <v>11</v>
      </c>
      <c r="M770" s="56">
        <v>209.07693331558633</v>
      </c>
      <c r="N770" s="53">
        <v>1733</v>
      </c>
      <c r="O770" s="57" t="s">
        <v>92</v>
      </c>
      <c r="P770" s="57" t="s">
        <v>82</v>
      </c>
      <c r="Q770" s="53" t="s">
        <v>89</v>
      </c>
      <c r="R770" s="53" t="s">
        <v>93</v>
      </c>
      <c r="S770" s="53"/>
      <c r="T770" s="59">
        <v>2</v>
      </c>
      <c r="U770" s="59">
        <v>2</v>
      </c>
      <c r="V770" s="53">
        <v>7.4</v>
      </c>
      <c r="W770" s="53"/>
      <c r="X770" s="53"/>
      <c r="Y770" s="9">
        <f t="shared" si="11"/>
        <v>418.15386663117266</v>
      </c>
      <c r="Z770" s="60" t="s">
        <v>73</v>
      </c>
      <c r="AA770" s="58" t="s">
        <v>308</v>
      </c>
      <c r="AB770" s="58" t="s">
        <v>75</v>
      </c>
      <c r="AC770" s="61" t="s">
        <v>76</v>
      </c>
      <c r="AD770" s="53" t="s">
        <v>91</v>
      </c>
      <c r="AE770" s="56">
        <v>112.822350875</v>
      </c>
      <c r="AF770" s="62"/>
      <c r="AG770" s="63"/>
      <c r="AH770" s="61"/>
      <c r="AO770" s="66" t="s">
        <v>78</v>
      </c>
      <c r="AP770" s="65">
        <v>6.5</v>
      </c>
      <c r="AQ770" s="65">
        <v>7.4</v>
      </c>
      <c r="AR770" s="65">
        <v>5.6</v>
      </c>
      <c r="AS770" s="65"/>
      <c r="AT770" s="65"/>
      <c r="AU770" s="65"/>
      <c r="AV770" s="65"/>
      <c r="AW770" s="65"/>
      <c r="AX770" s="65"/>
      <c r="AY770" s="65"/>
      <c r="AZ770" s="65"/>
      <c r="BA770" s="65"/>
      <c r="BB770" s="65"/>
      <c r="BC770" s="65"/>
      <c r="BD770" s="65"/>
      <c r="BE770" s="65"/>
      <c r="BF770" s="65"/>
      <c r="BG770" s="65"/>
      <c r="BH770" s="65"/>
      <c r="BI770" s="65"/>
      <c r="BJ770" s="65"/>
      <c r="BK770" s="65"/>
      <c r="BL770" s="65"/>
      <c r="BM770" s="65"/>
      <c r="BN770" s="65"/>
      <c r="BO770" s="65"/>
    </row>
    <row r="771" spans="1:67" s="58" customFormat="1" x14ac:dyDescent="0.2">
      <c r="A771" s="49"/>
      <c r="B771" s="50"/>
      <c r="C771" s="51"/>
      <c r="D771" s="49"/>
      <c r="E771" s="49"/>
      <c r="F771" s="52"/>
      <c r="G771" s="53"/>
      <c r="H771" s="54"/>
      <c r="I771" s="55"/>
      <c r="J771" s="53"/>
      <c r="K771" s="53"/>
      <c r="L771" s="53"/>
      <c r="M771" s="56"/>
      <c r="N771" s="53"/>
      <c r="O771" s="57"/>
      <c r="P771" s="57"/>
      <c r="Q771" s="53"/>
      <c r="R771" s="53"/>
      <c r="S771" s="53"/>
      <c r="T771" s="59"/>
      <c r="U771" s="59"/>
      <c r="V771" s="53"/>
      <c r="W771" s="53"/>
      <c r="X771" s="53"/>
      <c r="Y771" s="9" t="e">
        <f t="shared" ref="Y771:Y834" si="12">(T771*J771)/(G771*I771*L771)</f>
        <v>#DIV/0!</v>
      </c>
      <c r="Z771" s="60"/>
      <c r="AC771" s="61"/>
      <c r="AD771" s="53"/>
      <c r="AE771" s="56"/>
      <c r="AF771" s="62"/>
      <c r="AG771" s="63"/>
      <c r="AH771" s="61"/>
      <c r="AO771" s="64" t="s">
        <v>79</v>
      </c>
      <c r="AP771" s="65">
        <v>3.7</v>
      </c>
      <c r="AQ771" s="65">
        <v>3.7</v>
      </c>
      <c r="AR771" s="65">
        <v>3.7</v>
      </c>
      <c r="AS771" s="65"/>
      <c r="AT771" s="65"/>
      <c r="AU771" s="65"/>
      <c r="AV771" s="65"/>
      <c r="AW771" s="65"/>
      <c r="AX771" s="65"/>
      <c r="AY771" s="65"/>
      <c r="AZ771" s="65"/>
      <c r="BA771" s="65"/>
      <c r="BB771" s="65"/>
      <c r="BC771" s="65"/>
      <c r="BD771" s="65"/>
      <c r="BE771" s="65"/>
      <c r="BF771" s="65"/>
      <c r="BG771" s="65"/>
      <c r="BH771" s="65"/>
      <c r="BI771" s="65"/>
      <c r="BJ771" s="65"/>
      <c r="BK771" s="65"/>
      <c r="BL771" s="65"/>
      <c r="BM771" s="65"/>
      <c r="BN771" s="65"/>
      <c r="BO771" s="65"/>
    </row>
    <row r="772" spans="1:67" s="58" customFormat="1" x14ac:dyDescent="0.2">
      <c r="A772" s="49" t="s">
        <v>67</v>
      </c>
      <c r="B772" s="50">
        <v>43286</v>
      </c>
      <c r="C772" s="51">
        <v>0.56666666666666698</v>
      </c>
      <c r="D772" s="49" t="s">
        <v>158</v>
      </c>
      <c r="E772" s="49"/>
      <c r="F772" s="52">
        <v>63</v>
      </c>
      <c r="G772" s="53">
        <v>2</v>
      </c>
      <c r="H772" s="54">
        <v>3.1746031746031744E-2</v>
      </c>
      <c r="I772" s="55">
        <v>6.83E-2</v>
      </c>
      <c r="J772" s="53">
        <v>314.15899999999999</v>
      </c>
      <c r="K772" s="53">
        <v>0.75129999999999997</v>
      </c>
      <c r="L772" s="53">
        <v>11</v>
      </c>
      <c r="M772" s="56">
        <v>209.07693331558633</v>
      </c>
      <c r="N772" s="53">
        <v>1419</v>
      </c>
      <c r="O772" s="57" t="s">
        <v>94</v>
      </c>
      <c r="P772" s="57" t="s">
        <v>82</v>
      </c>
      <c r="Q772" s="53" t="s">
        <v>95</v>
      </c>
      <c r="R772" s="53" t="s">
        <v>96</v>
      </c>
      <c r="S772" s="53"/>
      <c r="T772" s="59">
        <v>378</v>
      </c>
      <c r="U772" s="59">
        <v>758</v>
      </c>
      <c r="V772" s="53">
        <v>0.8</v>
      </c>
      <c r="W772" s="53">
        <v>0.8</v>
      </c>
      <c r="X772" s="53">
        <v>0.8</v>
      </c>
      <c r="Y772" s="9">
        <f t="shared" si="12"/>
        <v>79031.080793291636</v>
      </c>
      <c r="Z772" s="60" t="s">
        <v>97</v>
      </c>
      <c r="AA772" s="58" t="s">
        <v>308</v>
      </c>
      <c r="AB772" s="58" t="s">
        <v>75</v>
      </c>
      <c r="AC772" s="61" t="s">
        <v>76</v>
      </c>
      <c r="AD772" s="53" t="s">
        <v>85</v>
      </c>
      <c r="AE772" s="56">
        <v>0.18</v>
      </c>
      <c r="AF772" s="56">
        <v>0.18</v>
      </c>
      <c r="AG772" s="56">
        <v>0.18</v>
      </c>
      <c r="AH772" s="56">
        <v>0.18</v>
      </c>
      <c r="AI772" s="56">
        <v>0.18</v>
      </c>
      <c r="AJ772" s="56">
        <v>0.18</v>
      </c>
      <c r="AK772" s="56">
        <v>0.18</v>
      </c>
      <c r="AL772" s="56">
        <v>0.18</v>
      </c>
      <c r="AM772" s="56">
        <v>0.18</v>
      </c>
      <c r="AN772" s="56">
        <v>0.18</v>
      </c>
      <c r="AO772" s="66" t="s">
        <v>78</v>
      </c>
      <c r="AP772" s="65">
        <v>0.75200000000000033</v>
      </c>
      <c r="AQ772" s="65">
        <v>0.7</v>
      </c>
      <c r="AR772" s="65">
        <v>0.7</v>
      </c>
      <c r="AS772" s="65">
        <v>0.7</v>
      </c>
      <c r="AT772" s="65">
        <v>0.7</v>
      </c>
      <c r="AU772" s="65">
        <v>0.7</v>
      </c>
      <c r="AV772" s="65">
        <v>0.7</v>
      </c>
      <c r="AW772" s="65">
        <v>0.7</v>
      </c>
      <c r="AX772" s="65">
        <v>0.7</v>
      </c>
      <c r="AY772" s="65">
        <v>0.7</v>
      </c>
      <c r="AZ772" s="65">
        <v>0.7</v>
      </c>
      <c r="BA772" s="65">
        <v>0.7</v>
      </c>
      <c r="BB772" s="65">
        <v>0.7</v>
      </c>
      <c r="BC772" s="65">
        <v>0.8</v>
      </c>
      <c r="BD772" s="65">
        <v>0.8</v>
      </c>
      <c r="BE772" s="65">
        <v>0.8</v>
      </c>
      <c r="BF772" s="65">
        <v>0.8</v>
      </c>
      <c r="BG772" s="65">
        <v>0.8</v>
      </c>
      <c r="BH772" s="65">
        <v>0.8</v>
      </c>
      <c r="BI772" s="65">
        <v>0.8</v>
      </c>
      <c r="BJ772" s="65">
        <v>0.8</v>
      </c>
      <c r="BK772" s="65">
        <v>0.8</v>
      </c>
      <c r="BL772" s="65">
        <v>0.8</v>
      </c>
      <c r="BM772" s="65">
        <v>0.8</v>
      </c>
      <c r="BN772" s="65">
        <v>0.8</v>
      </c>
      <c r="BO772" s="65">
        <v>0.8</v>
      </c>
    </row>
    <row r="773" spans="1:67" s="58" customFormat="1" x14ac:dyDescent="0.2">
      <c r="A773" s="49" t="s">
        <v>67</v>
      </c>
      <c r="B773" s="50">
        <v>43286</v>
      </c>
      <c r="C773" s="51">
        <v>0.56666666666666698</v>
      </c>
      <c r="D773" s="49" t="s">
        <v>158</v>
      </c>
      <c r="E773" s="49"/>
      <c r="F773" s="52">
        <v>63</v>
      </c>
      <c r="G773" s="53">
        <v>2</v>
      </c>
      <c r="H773" s="54">
        <v>3.1746031746031744E-2</v>
      </c>
      <c r="I773" s="55">
        <v>6.83E-2</v>
      </c>
      <c r="J773" s="53">
        <v>314.15899999999999</v>
      </c>
      <c r="K773" s="53">
        <v>0.75129999999999997</v>
      </c>
      <c r="L773" s="53">
        <v>11</v>
      </c>
      <c r="M773" s="56">
        <v>209.07693331558633</v>
      </c>
      <c r="N773" s="53">
        <v>1503</v>
      </c>
      <c r="O773" s="57" t="s">
        <v>312</v>
      </c>
      <c r="P773" s="57" t="s">
        <v>82</v>
      </c>
      <c r="Q773" s="53" t="s">
        <v>313</v>
      </c>
      <c r="R773" s="53" t="s">
        <v>84</v>
      </c>
      <c r="S773" s="53"/>
      <c r="T773" s="59">
        <v>1</v>
      </c>
      <c r="U773" s="59">
        <v>10</v>
      </c>
      <c r="V773" s="53">
        <v>2.8</v>
      </c>
      <c r="W773" s="53"/>
      <c r="X773" s="53"/>
      <c r="Y773" s="9">
        <f t="shared" si="12"/>
        <v>209.07693331558633</v>
      </c>
      <c r="Z773" s="60" t="s">
        <v>134</v>
      </c>
      <c r="AA773" s="58" t="s">
        <v>308</v>
      </c>
      <c r="AB773" s="58" t="s">
        <v>75</v>
      </c>
      <c r="AC773" s="61" t="s">
        <v>76</v>
      </c>
      <c r="AD773" s="53" t="s">
        <v>104</v>
      </c>
      <c r="AE773" s="56">
        <v>7.938797929999998</v>
      </c>
      <c r="AF773" s="62"/>
      <c r="AG773" s="63"/>
      <c r="AH773" s="61"/>
      <c r="AO773" s="66" t="s">
        <v>78</v>
      </c>
      <c r="AP773" s="65">
        <v>2.8</v>
      </c>
      <c r="AQ773" s="65">
        <v>2.8</v>
      </c>
      <c r="AR773" s="65"/>
      <c r="AS773" s="65"/>
      <c r="AT773" s="65"/>
      <c r="AU773" s="65"/>
      <c r="AV773" s="65"/>
      <c r="AW773" s="65"/>
      <c r="AX773" s="65"/>
      <c r="AY773" s="65"/>
      <c r="AZ773" s="65"/>
      <c r="BA773" s="65"/>
      <c r="BB773" s="65"/>
      <c r="BC773" s="65"/>
      <c r="BD773" s="65"/>
      <c r="BE773" s="65"/>
      <c r="BF773" s="65"/>
      <c r="BG773" s="65"/>
      <c r="BH773" s="65"/>
      <c r="BI773" s="65"/>
      <c r="BJ773" s="65"/>
      <c r="BK773" s="65"/>
      <c r="BL773" s="65"/>
      <c r="BM773" s="65"/>
      <c r="BN773" s="65"/>
      <c r="BO773" s="65"/>
    </row>
    <row r="774" spans="1:67" s="58" customFormat="1" x14ac:dyDescent="0.2">
      <c r="A774" s="49"/>
      <c r="B774" s="50"/>
      <c r="C774" s="51"/>
      <c r="D774" s="49"/>
      <c r="E774" s="49"/>
      <c r="F774" s="52"/>
      <c r="G774" s="53"/>
      <c r="H774" s="54"/>
      <c r="I774" s="55"/>
      <c r="J774" s="53"/>
      <c r="K774" s="53"/>
      <c r="L774" s="53"/>
      <c r="M774" s="56"/>
      <c r="N774" s="53"/>
      <c r="O774" s="57"/>
      <c r="P774" s="57"/>
      <c r="Q774" s="53"/>
      <c r="R774" s="53"/>
      <c r="S774" s="53"/>
      <c r="T774" s="59"/>
      <c r="U774" s="59"/>
      <c r="V774" s="53"/>
      <c r="W774" s="53"/>
      <c r="X774" s="53"/>
      <c r="Y774" s="9" t="e">
        <f t="shared" si="12"/>
        <v>#DIV/0!</v>
      </c>
      <c r="Z774" s="60"/>
      <c r="AC774" s="61"/>
      <c r="AD774" s="53"/>
      <c r="AE774" s="56"/>
      <c r="AF774" s="62"/>
      <c r="AG774" s="63"/>
      <c r="AH774" s="61"/>
      <c r="AO774" s="64" t="s">
        <v>79</v>
      </c>
      <c r="AP774" s="65">
        <v>1.9</v>
      </c>
      <c r="AQ774" s="65">
        <v>1.9</v>
      </c>
      <c r="AR774" s="65"/>
      <c r="AS774" s="65"/>
      <c r="AT774" s="65"/>
      <c r="AU774" s="65"/>
      <c r="AV774" s="65"/>
      <c r="AW774" s="65"/>
      <c r="AX774" s="65"/>
      <c r="AY774" s="65"/>
      <c r="AZ774" s="65"/>
      <c r="BA774" s="65"/>
      <c r="BB774" s="65"/>
      <c r="BC774" s="65"/>
      <c r="BD774" s="65"/>
      <c r="BE774" s="65"/>
      <c r="BF774" s="65"/>
      <c r="BG774" s="65"/>
      <c r="BH774" s="65"/>
      <c r="BI774" s="65"/>
      <c r="BJ774" s="65"/>
      <c r="BK774" s="65"/>
      <c r="BL774" s="65"/>
      <c r="BM774" s="65"/>
      <c r="BN774" s="65"/>
      <c r="BO774" s="65"/>
    </row>
    <row r="775" spans="1:67" s="58" customFormat="1" x14ac:dyDescent="0.2">
      <c r="A775" s="49" t="s">
        <v>67</v>
      </c>
      <c r="B775" s="50">
        <v>43256</v>
      </c>
      <c r="C775" s="51">
        <v>0.43541666666666701</v>
      </c>
      <c r="D775" s="49" t="s">
        <v>224</v>
      </c>
      <c r="E775" s="49"/>
      <c r="F775" s="52">
        <v>62</v>
      </c>
      <c r="G775" s="53">
        <v>1</v>
      </c>
      <c r="H775" s="54">
        <v>1.6129032258064516E-2</v>
      </c>
      <c r="I775" s="55">
        <v>6.83E-2</v>
      </c>
      <c r="J775" s="53">
        <v>314.15899999999999</v>
      </c>
      <c r="K775" s="53">
        <v>1.0928</v>
      </c>
      <c r="L775" s="53">
        <v>16</v>
      </c>
      <c r="M775" s="56">
        <v>287.48078330893117</v>
      </c>
      <c r="N775" s="53">
        <v>145</v>
      </c>
      <c r="O775" s="57" t="s">
        <v>69</v>
      </c>
      <c r="P775" s="58" t="s">
        <v>70</v>
      </c>
      <c r="Q775" s="53" t="s">
        <v>71</v>
      </c>
      <c r="R775" s="53" t="s">
        <v>72</v>
      </c>
      <c r="S775" s="53"/>
      <c r="T775" s="59">
        <v>2</v>
      </c>
      <c r="U775" s="59">
        <v>2</v>
      </c>
      <c r="V775" s="53">
        <v>18.5</v>
      </c>
      <c r="W775" s="53"/>
      <c r="X775" s="53"/>
      <c r="Y775" s="9">
        <f t="shared" si="12"/>
        <v>574.96156661786233</v>
      </c>
      <c r="Z775" s="60" t="s">
        <v>73</v>
      </c>
      <c r="AA775" s="58" t="s">
        <v>314</v>
      </c>
      <c r="AB775" s="58" t="s">
        <v>75</v>
      </c>
      <c r="AC775" s="61" t="s">
        <v>221</v>
      </c>
      <c r="AD775" s="53" t="s">
        <v>77</v>
      </c>
      <c r="AE775" s="56">
        <v>438.17169445499997</v>
      </c>
      <c r="AF775" s="62"/>
      <c r="AG775" s="63"/>
      <c r="AH775" s="61"/>
      <c r="AO775" s="64" t="s">
        <v>78</v>
      </c>
      <c r="AP775" s="65">
        <v>15.75</v>
      </c>
      <c r="AQ775" s="65">
        <v>18.5</v>
      </c>
      <c r="AR775" s="65">
        <v>13</v>
      </c>
      <c r="AS775" s="65"/>
      <c r="AT775" s="65"/>
      <c r="AU775" s="65"/>
      <c r="AV775" s="65"/>
      <c r="AW775" s="65"/>
      <c r="AX775" s="65"/>
      <c r="AY775" s="65"/>
      <c r="AZ775" s="65"/>
      <c r="BA775" s="65"/>
      <c r="BB775" s="65"/>
      <c r="BC775" s="65"/>
      <c r="BD775" s="65"/>
      <c r="BE775" s="65"/>
      <c r="BF775" s="65"/>
      <c r="BG775" s="65"/>
      <c r="BH775" s="65"/>
      <c r="BI775" s="65"/>
      <c r="BJ775" s="65"/>
      <c r="BK775" s="65"/>
      <c r="BL775" s="65"/>
      <c r="BM775" s="65"/>
      <c r="BN775" s="65"/>
      <c r="BO775" s="65"/>
    </row>
    <row r="776" spans="1:67" s="58" customFormat="1" x14ac:dyDescent="0.2">
      <c r="A776" s="49"/>
      <c r="B776" s="50"/>
      <c r="C776" s="51"/>
      <c r="D776" s="49"/>
      <c r="E776" s="49"/>
      <c r="F776" s="52"/>
      <c r="G776" s="53"/>
      <c r="H776" s="54"/>
      <c r="I776" s="55"/>
      <c r="J776" s="53"/>
      <c r="K776" s="53"/>
      <c r="L776" s="53"/>
      <c r="M776" s="56"/>
      <c r="N776" s="53"/>
      <c r="O776" s="57"/>
      <c r="Q776" s="53"/>
      <c r="R776" s="53"/>
      <c r="S776" s="53"/>
      <c r="T776" s="59"/>
      <c r="U776" s="59"/>
      <c r="V776" s="53"/>
      <c r="W776" s="53"/>
      <c r="X776" s="53"/>
      <c r="Y776" s="9" t="e">
        <f t="shared" si="12"/>
        <v>#DIV/0!</v>
      </c>
      <c r="Z776" s="60"/>
      <c r="AC776" s="61"/>
      <c r="AD776" s="53"/>
      <c r="AE776" s="56"/>
      <c r="AF776" s="62"/>
      <c r="AG776" s="63"/>
      <c r="AH776" s="61"/>
      <c r="AO776" s="64" t="s">
        <v>79</v>
      </c>
      <c r="AP776" s="65">
        <v>10.65</v>
      </c>
      <c r="AQ776" s="65">
        <v>12</v>
      </c>
      <c r="AR776" s="65">
        <v>9.3000000000000007</v>
      </c>
      <c r="AS776" s="65"/>
      <c r="AT776" s="65"/>
      <c r="AU776" s="65"/>
      <c r="AV776" s="65"/>
      <c r="AW776" s="65"/>
      <c r="AX776" s="65"/>
      <c r="AY776" s="65"/>
      <c r="AZ776" s="65"/>
      <c r="BA776" s="65"/>
      <c r="BB776" s="65"/>
      <c r="BC776" s="65"/>
      <c r="BD776" s="65"/>
      <c r="BE776" s="65"/>
      <c r="BF776" s="65"/>
      <c r="BG776" s="65"/>
      <c r="BH776" s="65"/>
      <c r="BI776" s="65"/>
      <c r="BJ776" s="65"/>
      <c r="BK776" s="65"/>
      <c r="BL776" s="65"/>
      <c r="BM776" s="65"/>
      <c r="BN776" s="65"/>
      <c r="BO776" s="65"/>
    </row>
    <row r="777" spans="1:67" s="58" customFormat="1" x14ac:dyDescent="0.2">
      <c r="A777" s="49"/>
      <c r="B777" s="50"/>
      <c r="C777" s="51"/>
      <c r="D777" s="49"/>
      <c r="E777" s="49"/>
      <c r="F777" s="52"/>
      <c r="G777" s="53"/>
      <c r="H777" s="54"/>
      <c r="I777" s="55"/>
      <c r="J777" s="53"/>
      <c r="K777" s="53"/>
      <c r="L777" s="53"/>
      <c r="M777" s="56"/>
      <c r="N777" s="53"/>
      <c r="O777" s="57"/>
      <c r="Q777" s="53"/>
      <c r="R777" s="53"/>
      <c r="S777" s="53"/>
      <c r="T777" s="59"/>
      <c r="U777" s="59"/>
      <c r="V777" s="53"/>
      <c r="W777" s="53"/>
      <c r="X777" s="53"/>
      <c r="Y777" s="9" t="e">
        <f t="shared" si="12"/>
        <v>#DIV/0!</v>
      </c>
      <c r="Z777" s="60"/>
      <c r="AC777" s="61"/>
      <c r="AD777" s="53"/>
      <c r="AE777" s="56"/>
      <c r="AF777" s="62"/>
      <c r="AG777" s="63"/>
      <c r="AH777" s="61"/>
      <c r="AO777" s="64" t="s">
        <v>80</v>
      </c>
      <c r="AP777" s="65">
        <v>3.25</v>
      </c>
      <c r="AQ777" s="65">
        <v>3.7</v>
      </c>
      <c r="AR777" s="65">
        <v>2.8</v>
      </c>
      <c r="AS777" s="65"/>
      <c r="AT777" s="65"/>
      <c r="AU777" s="65"/>
      <c r="AV777" s="65"/>
      <c r="AW777" s="65"/>
      <c r="AX777" s="65"/>
      <c r="AY777" s="65"/>
      <c r="AZ777" s="65"/>
      <c r="BA777" s="65"/>
      <c r="BB777" s="65"/>
      <c r="BC777" s="65"/>
      <c r="BD777" s="65"/>
      <c r="BE777" s="65"/>
      <c r="BF777" s="65"/>
      <c r="BG777" s="65"/>
      <c r="BH777" s="65"/>
      <c r="BI777" s="65"/>
      <c r="BJ777" s="65"/>
      <c r="BK777" s="65"/>
      <c r="BL777" s="65"/>
      <c r="BM777" s="65"/>
      <c r="BN777" s="65"/>
      <c r="BO777" s="65"/>
    </row>
    <row r="778" spans="1:67" s="58" customFormat="1" x14ac:dyDescent="0.2">
      <c r="A778" s="49" t="s">
        <v>67</v>
      </c>
      <c r="B778" s="50">
        <v>43256</v>
      </c>
      <c r="C778" s="51">
        <v>0.43541666666666701</v>
      </c>
      <c r="D778" s="49" t="s">
        <v>224</v>
      </c>
      <c r="E778" s="49"/>
      <c r="F778" s="52">
        <v>62</v>
      </c>
      <c r="G778" s="53">
        <v>1</v>
      </c>
      <c r="H778" s="54">
        <v>1.6129032258064516E-2</v>
      </c>
      <c r="I778" s="55">
        <v>6.83E-2</v>
      </c>
      <c r="J778" s="53">
        <v>314.15899999999999</v>
      </c>
      <c r="K778" s="53">
        <v>1.0928</v>
      </c>
      <c r="L778" s="53">
        <v>16</v>
      </c>
      <c r="M778" s="56">
        <v>287.48078330893117</v>
      </c>
      <c r="N778" s="53">
        <v>190</v>
      </c>
      <c r="O778" s="57" t="s">
        <v>102</v>
      </c>
      <c r="P778" s="58" t="s">
        <v>70</v>
      </c>
      <c r="Q778" s="53" t="s">
        <v>103</v>
      </c>
      <c r="R778" s="53" t="s">
        <v>84</v>
      </c>
      <c r="S778" s="53"/>
      <c r="T778" s="59">
        <v>2</v>
      </c>
      <c r="U778" s="59">
        <v>2</v>
      </c>
      <c r="V778" s="53">
        <v>5.6</v>
      </c>
      <c r="W778" s="53"/>
      <c r="X778" s="53"/>
      <c r="Y778" s="9">
        <f t="shared" si="12"/>
        <v>574.96156661786233</v>
      </c>
      <c r="Z778" s="60" t="s">
        <v>73</v>
      </c>
      <c r="AA778" s="58" t="s">
        <v>314</v>
      </c>
      <c r="AB778" s="58" t="s">
        <v>75</v>
      </c>
      <c r="AC778" s="61" t="s">
        <v>221</v>
      </c>
      <c r="AD778" s="53" t="s">
        <v>104</v>
      </c>
      <c r="AE778" s="56">
        <v>57.253121557500002</v>
      </c>
      <c r="AF778" s="62"/>
      <c r="AG778" s="63"/>
      <c r="AH778" s="61"/>
      <c r="AO778" s="64" t="s">
        <v>78</v>
      </c>
      <c r="AP778" s="65">
        <v>3.25</v>
      </c>
      <c r="AQ778" s="65">
        <v>2.8</v>
      </c>
      <c r="AR778" s="65">
        <v>3.7</v>
      </c>
      <c r="AS778" s="65"/>
      <c r="AT778" s="65"/>
      <c r="AU778" s="65"/>
      <c r="AV778" s="65"/>
      <c r="AW778" s="65"/>
      <c r="AX778" s="65"/>
      <c r="AY778" s="65"/>
      <c r="AZ778" s="65"/>
      <c r="BA778" s="65"/>
      <c r="BB778" s="65"/>
      <c r="BC778" s="65"/>
      <c r="BD778" s="65"/>
      <c r="BE778" s="65"/>
      <c r="BF778" s="65"/>
      <c r="BG778" s="65"/>
      <c r="BH778" s="65"/>
      <c r="BI778" s="65"/>
      <c r="BJ778" s="65"/>
      <c r="BK778" s="65"/>
      <c r="BL778" s="65"/>
      <c r="BM778" s="65"/>
      <c r="BN778" s="65"/>
      <c r="BO778" s="65"/>
    </row>
    <row r="779" spans="1:67" s="58" customFormat="1" x14ac:dyDescent="0.2">
      <c r="A779" s="49"/>
      <c r="B779" s="50"/>
      <c r="C779" s="51"/>
      <c r="D779" s="49"/>
      <c r="E779" s="49"/>
      <c r="F779" s="52"/>
      <c r="G779" s="53"/>
      <c r="H779" s="54"/>
      <c r="I779" s="55"/>
      <c r="J779" s="53"/>
      <c r="K779" s="53"/>
      <c r="L779" s="53"/>
      <c r="M779" s="56"/>
      <c r="N779" s="53"/>
      <c r="O779" s="57"/>
      <c r="Q779" s="53"/>
      <c r="R779" s="53"/>
      <c r="S779" s="53"/>
      <c r="T779" s="59"/>
      <c r="U779" s="59"/>
      <c r="V779" s="53"/>
      <c r="W779" s="53"/>
      <c r="X779" s="53"/>
      <c r="Y779" s="9" t="e">
        <f t="shared" si="12"/>
        <v>#DIV/0!</v>
      </c>
      <c r="Z779" s="60"/>
      <c r="AC779" s="61"/>
      <c r="AD779" s="53"/>
      <c r="AE779" s="56"/>
      <c r="AF779" s="62"/>
      <c r="AG779" s="63"/>
      <c r="AH779" s="61"/>
      <c r="AO779" s="64" t="s">
        <v>79</v>
      </c>
      <c r="AP779" s="65">
        <v>4.6500000000000004</v>
      </c>
      <c r="AQ779" s="65">
        <v>3.7</v>
      </c>
      <c r="AR779" s="65">
        <v>5.6</v>
      </c>
      <c r="AS779" s="65"/>
      <c r="AT779" s="65"/>
      <c r="AU779" s="65"/>
      <c r="AV779" s="65"/>
      <c r="AW779" s="65"/>
      <c r="AX779" s="65"/>
      <c r="AY779" s="65"/>
      <c r="AZ779" s="65"/>
      <c r="BA779" s="65"/>
      <c r="BB779" s="65"/>
      <c r="BC779" s="65"/>
      <c r="BD779" s="65"/>
      <c r="BE779" s="65"/>
      <c r="BF779" s="65"/>
      <c r="BG779" s="65"/>
      <c r="BH779" s="65"/>
      <c r="BI779" s="65"/>
      <c r="BJ779" s="65"/>
      <c r="BK779" s="65"/>
      <c r="BL779" s="65"/>
      <c r="BM779" s="65"/>
      <c r="BN779" s="65"/>
      <c r="BO779" s="65"/>
    </row>
    <row r="780" spans="1:67" s="58" customFormat="1" ht="12.6" customHeight="1" x14ac:dyDescent="0.2">
      <c r="A780" s="49" t="s">
        <v>67</v>
      </c>
      <c r="B780" s="50">
        <v>43256</v>
      </c>
      <c r="C780" s="51">
        <v>0.43541666666666701</v>
      </c>
      <c r="D780" s="49" t="s">
        <v>224</v>
      </c>
      <c r="E780" s="49"/>
      <c r="F780" s="52">
        <v>62</v>
      </c>
      <c r="G780" s="53">
        <v>1</v>
      </c>
      <c r="H780" s="54">
        <v>1.6129032258064516E-2</v>
      </c>
      <c r="I780" s="55">
        <v>6.83E-2</v>
      </c>
      <c r="J780" s="53">
        <v>314.15899999999999</v>
      </c>
      <c r="K780" s="53">
        <v>1.0928</v>
      </c>
      <c r="L780" s="53">
        <v>16</v>
      </c>
      <c r="M780" s="56">
        <v>287.48078330893117</v>
      </c>
      <c r="N780" s="53">
        <v>631</v>
      </c>
      <c r="O780" s="57" t="s">
        <v>146</v>
      </c>
      <c r="P780" s="58" t="s">
        <v>70</v>
      </c>
      <c r="Q780" s="53" t="s">
        <v>147</v>
      </c>
      <c r="R780" s="53" t="s">
        <v>84</v>
      </c>
      <c r="S780" s="53"/>
      <c r="T780" s="59">
        <v>1</v>
      </c>
      <c r="U780" s="59">
        <v>1</v>
      </c>
      <c r="V780" s="53">
        <v>13</v>
      </c>
      <c r="W780" s="53"/>
      <c r="X780" s="53"/>
      <c r="Y780" s="9">
        <f t="shared" si="12"/>
        <v>287.48078330893117</v>
      </c>
      <c r="Z780" s="60" t="s">
        <v>73</v>
      </c>
      <c r="AA780" s="58" t="s">
        <v>314</v>
      </c>
      <c r="AB780" s="58" t="s">
        <v>75</v>
      </c>
      <c r="AC780" s="61" t="s">
        <v>221</v>
      </c>
      <c r="AD780" s="53" t="s">
        <v>77</v>
      </c>
      <c r="AE780" s="56">
        <v>211.55467059999998</v>
      </c>
      <c r="AF780" s="62"/>
      <c r="AG780" s="63"/>
      <c r="AH780" s="61"/>
      <c r="AO780" s="64" t="s">
        <v>78</v>
      </c>
      <c r="AP780" s="65">
        <v>13</v>
      </c>
      <c r="AQ780" s="65">
        <v>13</v>
      </c>
      <c r="AR780" s="65"/>
      <c r="AS780" s="65"/>
      <c r="AT780" s="65"/>
      <c r="AU780" s="65"/>
      <c r="AV780" s="65"/>
      <c r="AW780" s="65"/>
      <c r="AX780" s="65"/>
      <c r="AY780" s="65"/>
      <c r="AZ780" s="65"/>
      <c r="BA780" s="65"/>
      <c r="BB780" s="65"/>
      <c r="BC780" s="65"/>
      <c r="BD780" s="65"/>
      <c r="BE780" s="65"/>
      <c r="BF780" s="65"/>
      <c r="BG780" s="65"/>
      <c r="BH780" s="65"/>
      <c r="BI780" s="65"/>
      <c r="BJ780" s="65"/>
      <c r="BK780" s="65"/>
      <c r="BL780" s="65"/>
      <c r="BM780" s="65"/>
      <c r="BN780" s="65"/>
      <c r="BO780" s="65"/>
    </row>
    <row r="781" spans="1:67" s="58" customFormat="1" ht="12.6" customHeight="1" x14ac:dyDescent="0.2">
      <c r="A781" s="49"/>
      <c r="B781" s="50"/>
      <c r="C781" s="51"/>
      <c r="D781" s="49"/>
      <c r="E781" s="49"/>
      <c r="F781" s="52"/>
      <c r="G781" s="53"/>
      <c r="H781" s="54"/>
      <c r="I781" s="55"/>
      <c r="J781" s="53"/>
      <c r="K781" s="53"/>
      <c r="L781" s="53"/>
      <c r="M781" s="56"/>
      <c r="N781" s="53"/>
      <c r="O781" s="57"/>
      <c r="Q781" s="53"/>
      <c r="R781" s="53"/>
      <c r="S781" s="53"/>
      <c r="T781" s="59"/>
      <c r="U781" s="59"/>
      <c r="V781" s="53"/>
      <c r="W781" s="53"/>
      <c r="X781" s="53"/>
      <c r="Y781" s="9" t="e">
        <f t="shared" si="12"/>
        <v>#DIV/0!</v>
      </c>
      <c r="Z781" s="60"/>
      <c r="AC781" s="61"/>
      <c r="AD781" s="53"/>
      <c r="AE781" s="56"/>
      <c r="AF781" s="62"/>
      <c r="AG781" s="63"/>
      <c r="AH781" s="61"/>
      <c r="AO781" s="64" t="s">
        <v>79</v>
      </c>
      <c r="AP781" s="65">
        <v>5.6</v>
      </c>
      <c r="AQ781" s="65">
        <v>5.6</v>
      </c>
      <c r="AR781" s="65"/>
      <c r="AS781" s="65"/>
      <c r="AT781" s="65"/>
      <c r="AU781" s="65"/>
      <c r="AV781" s="65"/>
      <c r="AW781" s="65"/>
      <c r="AX781" s="65"/>
      <c r="AY781" s="65"/>
      <c r="AZ781" s="65"/>
      <c r="BA781" s="65"/>
      <c r="BB781" s="65"/>
      <c r="BC781" s="65"/>
      <c r="BD781" s="65"/>
      <c r="BE781" s="65"/>
      <c r="BF781" s="65"/>
      <c r="BG781" s="65"/>
      <c r="BH781" s="65"/>
      <c r="BI781" s="65"/>
      <c r="BJ781" s="65"/>
      <c r="BK781" s="65"/>
      <c r="BL781" s="65"/>
      <c r="BM781" s="65"/>
      <c r="BN781" s="65"/>
      <c r="BO781" s="65"/>
    </row>
    <row r="782" spans="1:67" s="58" customFormat="1" ht="12.6" customHeight="1" x14ac:dyDescent="0.2">
      <c r="A782" s="49"/>
      <c r="B782" s="50"/>
      <c r="C782" s="51"/>
      <c r="D782" s="49"/>
      <c r="E782" s="49"/>
      <c r="F782" s="52"/>
      <c r="G782" s="53"/>
      <c r="H782" s="54"/>
      <c r="I782" s="55"/>
      <c r="J782" s="53"/>
      <c r="K782" s="53"/>
      <c r="L782" s="53"/>
      <c r="M782" s="56"/>
      <c r="N782" s="53"/>
      <c r="O782" s="57"/>
      <c r="Q782" s="53"/>
      <c r="R782" s="53"/>
      <c r="S782" s="53"/>
      <c r="T782" s="59"/>
      <c r="U782" s="59"/>
      <c r="V782" s="53"/>
      <c r="W782" s="53"/>
      <c r="X782" s="53"/>
      <c r="Y782" s="9" t="e">
        <f t="shared" si="12"/>
        <v>#DIV/0!</v>
      </c>
      <c r="Z782" s="60"/>
      <c r="AC782" s="61"/>
      <c r="AD782" s="53"/>
      <c r="AE782" s="56"/>
      <c r="AF782" s="62"/>
      <c r="AG782" s="63"/>
      <c r="AH782" s="61"/>
      <c r="AO782" s="64" t="s">
        <v>80</v>
      </c>
      <c r="AP782" s="65">
        <v>3.7</v>
      </c>
      <c r="AQ782" s="65">
        <v>3.7</v>
      </c>
      <c r="AR782" s="65"/>
      <c r="AS782" s="65"/>
      <c r="AT782" s="65"/>
      <c r="AU782" s="65"/>
      <c r="AV782" s="65"/>
      <c r="AW782" s="65"/>
      <c r="AX782" s="65"/>
      <c r="AY782" s="65"/>
      <c r="AZ782" s="65"/>
      <c r="BA782" s="65"/>
      <c r="BB782" s="65"/>
      <c r="BC782" s="65"/>
      <c r="BD782" s="65"/>
      <c r="BE782" s="65"/>
      <c r="BF782" s="65"/>
      <c r="BG782" s="65"/>
      <c r="BH782" s="65"/>
      <c r="BI782" s="65"/>
      <c r="BJ782" s="65"/>
      <c r="BK782" s="65"/>
      <c r="BL782" s="65"/>
      <c r="BM782" s="65"/>
      <c r="BN782" s="65"/>
      <c r="BO782" s="65"/>
    </row>
    <row r="783" spans="1:67" s="58" customFormat="1" x14ac:dyDescent="0.2">
      <c r="A783" s="49" t="s">
        <v>67</v>
      </c>
      <c r="B783" s="50">
        <v>43256</v>
      </c>
      <c r="C783" s="51">
        <v>0.43541666666666701</v>
      </c>
      <c r="D783" s="49" t="s">
        <v>224</v>
      </c>
      <c r="E783" s="49"/>
      <c r="F783" s="52">
        <v>62</v>
      </c>
      <c r="G783" s="53">
        <v>1</v>
      </c>
      <c r="H783" s="54">
        <v>1.6129032258064516E-2</v>
      </c>
      <c r="I783" s="55">
        <v>6.83E-2</v>
      </c>
      <c r="J783" s="53">
        <v>314.15899999999999</v>
      </c>
      <c r="K783" s="53">
        <v>1.0928</v>
      </c>
      <c r="L783" s="53">
        <v>16</v>
      </c>
      <c r="M783" s="56">
        <v>287.48078330893117</v>
      </c>
      <c r="N783" s="53">
        <v>1037</v>
      </c>
      <c r="O783" s="57" t="s">
        <v>86</v>
      </c>
      <c r="P783" s="57" t="s">
        <v>82</v>
      </c>
      <c r="Q783" s="53" t="s">
        <v>87</v>
      </c>
      <c r="R783" s="53" t="s">
        <v>84</v>
      </c>
      <c r="S783" s="53"/>
      <c r="T783" s="59">
        <v>7</v>
      </c>
      <c r="U783" s="59">
        <v>7</v>
      </c>
      <c r="V783" s="53">
        <v>3.7</v>
      </c>
      <c r="W783" s="53"/>
      <c r="X783" s="53"/>
      <c r="Y783" s="9">
        <f t="shared" si="12"/>
        <v>2012.3654831625181</v>
      </c>
      <c r="Z783" s="60" t="s">
        <v>73</v>
      </c>
      <c r="AA783" s="58" t="s">
        <v>314</v>
      </c>
      <c r="AB783" s="58" t="s">
        <v>75</v>
      </c>
      <c r="AC783" s="61" t="s">
        <v>221</v>
      </c>
      <c r="AD783" s="53" t="s">
        <v>85</v>
      </c>
      <c r="AE783" s="56">
        <v>11.494030613333329</v>
      </c>
      <c r="AF783" s="62"/>
      <c r="AG783" s="63"/>
      <c r="AH783" s="61"/>
      <c r="AO783" s="64" t="s">
        <v>78</v>
      </c>
      <c r="AP783" s="65">
        <v>2.8000000000000003</v>
      </c>
      <c r="AQ783" s="65">
        <v>2.8</v>
      </c>
      <c r="AR783" s="65">
        <v>3.7</v>
      </c>
      <c r="AS783" s="65">
        <v>2.8</v>
      </c>
      <c r="AT783" s="65">
        <v>2.8</v>
      </c>
      <c r="AU783" s="65">
        <v>1.9</v>
      </c>
      <c r="AV783" s="65"/>
      <c r="AW783" s="65"/>
      <c r="AX783" s="65"/>
      <c r="AY783" s="65"/>
      <c r="AZ783" s="65"/>
      <c r="BA783" s="65"/>
      <c r="BB783" s="65"/>
      <c r="BC783" s="65"/>
      <c r="BD783" s="65"/>
      <c r="BE783" s="65"/>
      <c r="BF783" s="65"/>
      <c r="BG783" s="65"/>
      <c r="BH783" s="65"/>
      <c r="BI783" s="65"/>
      <c r="BJ783" s="65"/>
      <c r="BK783" s="65"/>
      <c r="BL783" s="65"/>
      <c r="BM783" s="65"/>
      <c r="BN783" s="65"/>
      <c r="BO783" s="65"/>
    </row>
    <row r="784" spans="1:67" s="58" customFormat="1" x14ac:dyDescent="0.2">
      <c r="A784" s="49" t="s">
        <v>67</v>
      </c>
      <c r="B784" s="50">
        <v>43256</v>
      </c>
      <c r="C784" s="51">
        <v>0.43541666666666701</v>
      </c>
      <c r="D784" s="49" t="s">
        <v>224</v>
      </c>
      <c r="E784" s="49"/>
      <c r="F784" s="52">
        <v>62</v>
      </c>
      <c r="G784" s="53">
        <v>1</v>
      </c>
      <c r="H784" s="54">
        <v>1.6129032258064516E-2</v>
      </c>
      <c r="I784" s="55">
        <v>6.83E-2</v>
      </c>
      <c r="J784" s="53">
        <v>314.15899999999999</v>
      </c>
      <c r="K784" s="53">
        <v>1.0928</v>
      </c>
      <c r="L784" s="53">
        <v>16</v>
      </c>
      <c r="M784" s="56">
        <v>287.48078330893117</v>
      </c>
      <c r="N784" s="53">
        <v>1733</v>
      </c>
      <c r="O784" s="57" t="s">
        <v>304</v>
      </c>
      <c r="P784" s="57" t="s">
        <v>82</v>
      </c>
      <c r="Q784" s="53" t="s">
        <v>89</v>
      </c>
      <c r="R784" s="53" t="s">
        <v>93</v>
      </c>
      <c r="S784" s="53"/>
      <c r="T784" s="59">
        <v>1</v>
      </c>
      <c r="U784" s="59">
        <v>1</v>
      </c>
      <c r="V784" s="53">
        <v>5.6</v>
      </c>
      <c r="W784" s="53"/>
      <c r="X784" s="53"/>
      <c r="Y784" s="9">
        <f t="shared" si="12"/>
        <v>287.48078330893117</v>
      </c>
      <c r="Z784" s="60" t="s">
        <v>73</v>
      </c>
      <c r="AA784" s="58" t="s">
        <v>314</v>
      </c>
      <c r="AB784" s="58" t="s">
        <v>75</v>
      </c>
      <c r="AC784" s="61" t="s">
        <v>221</v>
      </c>
      <c r="AD784" s="53" t="s">
        <v>91</v>
      </c>
      <c r="AE784" s="56">
        <v>68.964183679999977</v>
      </c>
      <c r="AF784" s="62"/>
      <c r="AG784" s="63"/>
      <c r="AH784" s="61"/>
      <c r="AO784" s="64" t="s">
        <v>78</v>
      </c>
      <c r="AP784" s="65">
        <v>5.6</v>
      </c>
      <c r="AQ784" s="65">
        <v>5.6</v>
      </c>
      <c r="AR784" s="65"/>
      <c r="AS784" s="65"/>
      <c r="AT784" s="65"/>
      <c r="AU784" s="65"/>
      <c r="AV784" s="65"/>
      <c r="AW784" s="65"/>
      <c r="AX784" s="65"/>
      <c r="AY784" s="65"/>
      <c r="AZ784" s="65"/>
      <c r="BA784" s="65"/>
      <c r="BB784" s="65"/>
      <c r="BC784" s="65"/>
      <c r="BD784" s="65"/>
      <c r="BE784" s="65"/>
      <c r="BF784" s="65"/>
      <c r="BG784" s="65"/>
      <c r="BH784" s="65"/>
      <c r="BI784" s="65"/>
      <c r="BJ784" s="65"/>
      <c r="BK784" s="65"/>
      <c r="BL784" s="65"/>
      <c r="BM784" s="65"/>
      <c r="BN784" s="65"/>
      <c r="BO784" s="65"/>
    </row>
    <row r="785" spans="1:67" s="58" customFormat="1" x14ac:dyDescent="0.2">
      <c r="A785" s="49"/>
      <c r="B785" s="50"/>
      <c r="C785" s="51"/>
      <c r="D785" s="49"/>
      <c r="E785" s="49"/>
      <c r="F785" s="52"/>
      <c r="G785" s="53"/>
      <c r="H785" s="54"/>
      <c r="I785" s="55"/>
      <c r="J785" s="53"/>
      <c r="K785" s="53"/>
      <c r="L785" s="53"/>
      <c r="M785" s="56"/>
      <c r="N785" s="53"/>
      <c r="O785" s="57"/>
      <c r="P785" s="57"/>
      <c r="Q785" s="53"/>
      <c r="R785" s="53"/>
      <c r="S785" s="53"/>
      <c r="T785" s="59"/>
      <c r="U785" s="59"/>
      <c r="V785" s="53"/>
      <c r="W785" s="53"/>
      <c r="X785" s="53"/>
      <c r="Y785" s="9" t="e">
        <f t="shared" si="12"/>
        <v>#DIV/0!</v>
      </c>
      <c r="Z785" s="60"/>
      <c r="AC785" s="61"/>
      <c r="AD785" s="53"/>
      <c r="AE785" s="56"/>
      <c r="AF785" s="62"/>
      <c r="AG785" s="63"/>
      <c r="AH785" s="61"/>
      <c r="AO785" s="64" t="s">
        <v>79</v>
      </c>
      <c r="AP785" s="65">
        <v>2.8</v>
      </c>
      <c r="AQ785" s="65">
        <v>2.8</v>
      </c>
      <c r="AR785" s="65"/>
      <c r="AS785" s="65"/>
      <c r="AT785" s="65"/>
      <c r="AU785" s="65"/>
      <c r="AV785" s="65"/>
      <c r="AW785" s="65"/>
      <c r="AX785" s="65"/>
      <c r="AY785" s="65"/>
      <c r="AZ785" s="65"/>
      <c r="BA785" s="65"/>
      <c r="BB785" s="65"/>
      <c r="BC785" s="65"/>
      <c r="BD785" s="65"/>
      <c r="BE785" s="65"/>
      <c r="BF785" s="65"/>
      <c r="BG785" s="65"/>
      <c r="BH785" s="65"/>
      <c r="BI785" s="65"/>
      <c r="BJ785" s="65"/>
      <c r="BK785" s="65"/>
      <c r="BL785" s="65"/>
      <c r="BM785" s="65"/>
      <c r="BN785" s="65"/>
      <c r="BO785" s="65"/>
    </row>
    <row r="786" spans="1:67" s="58" customFormat="1" x14ac:dyDescent="0.2">
      <c r="A786" s="49" t="s">
        <v>67</v>
      </c>
      <c r="B786" s="50">
        <v>43256</v>
      </c>
      <c r="C786" s="51">
        <v>0.43541666666666701</v>
      </c>
      <c r="D786" s="49" t="s">
        <v>224</v>
      </c>
      <c r="E786" s="49"/>
      <c r="F786" s="52">
        <v>62</v>
      </c>
      <c r="G786" s="53">
        <v>1</v>
      </c>
      <c r="H786" s="54">
        <v>1.6129032258064516E-2</v>
      </c>
      <c r="I786" s="55">
        <v>6.83E-2</v>
      </c>
      <c r="J786" s="53">
        <v>314.15899999999999</v>
      </c>
      <c r="K786" s="53">
        <v>1.0928</v>
      </c>
      <c r="L786" s="53">
        <v>16</v>
      </c>
      <c r="M786" s="56">
        <v>287.48078330893117</v>
      </c>
      <c r="N786" s="53">
        <v>1419</v>
      </c>
      <c r="O786" s="57" t="s">
        <v>94</v>
      </c>
      <c r="P786" s="57" t="s">
        <v>82</v>
      </c>
      <c r="Q786" s="53" t="s">
        <v>95</v>
      </c>
      <c r="R786" s="53" t="s">
        <v>96</v>
      </c>
      <c r="S786" s="53"/>
      <c r="T786" s="59">
        <v>394</v>
      </c>
      <c r="U786" s="59">
        <v>792</v>
      </c>
      <c r="V786" s="53">
        <v>0.8</v>
      </c>
      <c r="W786" s="53">
        <v>0.8</v>
      </c>
      <c r="X786" s="53">
        <v>0.8</v>
      </c>
      <c r="Y786" s="9">
        <f t="shared" si="12"/>
        <v>113267.42862371888</v>
      </c>
      <c r="Z786" s="60" t="s">
        <v>97</v>
      </c>
      <c r="AA786" s="58" t="s">
        <v>314</v>
      </c>
      <c r="AB786" s="58" t="s">
        <v>75</v>
      </c>
      <c r="AC786" s="61" t="s">
        <v>221</v>
      </c>
      <c r="AD786" s="53" t="s">
        <v>85</v>
      </c>
      <c r="AE786" s="56">
        <v>0.18</v>
      </c>
      <c r="AF786" s="56">
        <v>0.18</v>
      </c>
      <c r="AG786" s="56">
        <v>0.18</v>
      </c>
      <c r="AH786" s="56">
        <v>0.18</v>
      </c>
      <c r="AI786" s="56">
        <v>0.18</v>
      </c>
      <c r="AJ786" s="56">
        <v>0.18</v>
      </c>
      <c r="AK786" s="56">
        <v>0.18</v>
      </c>
      <c r="AL786" s="56">
        <v>0.18</v>
      </c>
      <c r="AM786" s="56">
        <v>0.18</v>
      </c>
      <c r="AN786" s="56">
        <v>0.18</v>
      </c>
      <c r="AO786" s="66" t="s">
        <v>78</v>
      </c>
      <c r="AP786" s="65">
        <v>0.75200000000000033</v>
      </c>
      <c r="AQ786" s="65">
        <v>0.7</v>
      </c>
      <c r="AR786" s="65">
        <v>0.7</v>
      </c>
      <c r="AS786" s="65">
        <v>0.7</v>
      </c>
      <c r="AT786" s="65">
        <v>0.7</v>
      </c>
      <c r="AU786" s="65">
        <v>0.7</v>
      </c>
      <c r="AV786" s="65">
        <v>0.7</v>
      </c>
      <c r="AW786" s="65">
        <v>0.7</v>
      </c>
      <c r="AX786" s="65">
        <v>0.7</v>
      </c>
      <c r="AY786" s="65">
        <v>0.7</v>
      </c>
      <c r="AZ786" s="65">
        <v>0.7</v>
      </c>
      <c r="BA786" s="65">
        <v>0.7</v>
      </c>
      <c r="BB786" s="65">
        <v>0.7</v>
      </c>
      <c r="BC786" s="65">
        <v>0.8</v>
      </c>
      <c r="BD786" s="65">
        <v>0.8</v>
      </c>
      <c r="BE786" s="65">
        <v>0.8</v>
      </c>
      <c r="BF786" s="65">
        <v>0.8</v>
      </c>
      <c r="BG786" s="65">
        <v>0.8</v>
      </c>
      <c r="BH786" s="65">
        <v>0.8</v>
      </c>
      <c r="BI786" s="65">
        <v>0.8</v>
      </c>
      <c r="BJ786" s="65">
        <v>0.8</v>
      </c>
      <c r="BK786" s="65">
        <v>0.8</v>
      </c>
      <c r="BL786" s="65">
        <v>0.8</v>
      </c>
      <c r="BM786" s="65">
        <v>0.8</v>
      </c>
      <c r="BN786" s="65">
        <v>0.8</v>
      </c>
      <c r="BO786" s="65">
        <v>0.8</v>
      </c>
    </row>
    <row r="787" spans="1:67" s="58" customFormat="1" x14ac:dyDescent="0.2">
      <c r="A787" s="49" t="s">
        <v>67</v>
      </c>
      <c r="B787" s="50">
        <v>43256</v>
      </c>
      <c r="C787" s="51">
        <v>0.37152777777777801</v>
      </c>
      <c r="D787" s="49" t="s">
        <v>226</v>
      </c>
      <c r="E787" s="49">
        <v>3</v>
      </c>
      <c r="F787" s="52">
        <v>58.5</v>
      </c>
      <c r="G787" s="53">
        <v>2</v>
      </c>
      <c r="H787" s="54">
        <v>3.4188034188034191E-2</v>
      </c>
      <c r="I787" s="55">
        <v>6.83E-2</v>
      </c>
      <c r="J787" s="53">
        <v>314.15899999999999</v>
      </c>
      <c r="K787" s="53">
        <v>0.47809999999999997</v>
      </c>
      <c r="L787" s="53">
        <v>7</v>
      </c>
      <c r="M787" s="56">
        <v>328.54946663877848</v>
      </c>
      <c r="N787" s="53">
        <v>145</v>
      </c>
      <c r="O787" s="57" t="s">
        <v>69</v>
      </c>
      <c r="P787" s="58" t="s">
        <v>70</v>
      </c>
      <c r="Q787" s="53" t="s">
        <v>71</v>
      </c>
      <c r="R787" s="53" t="s">
        <v>72</v>
      </c>
      <c r="S787" s="53"/>
      <c r="T787" s="59">
        <v>3</v>
      </c>
      <c r="U787" s="59">
        <v>3</v>
      </c>
      <c r="V787" s="53">
        <v>18.5</v>
      </c>
      <c r="W787" s="53"/>
      <c r="X787" s="53"/>
      <c r="Y787" s="9">
        <f t="shared" si="12"/>
        <v>985.64839991633551</v>
      </c>
      <c r="Z787" s="60" t="s">
        <v>73</v>
      </c>
      <c r="AA787" s="58" t="s">
        <v>315</v>
      </c>
      <c r="AB787" s="58" t="s">
        <v>75</v>
      </c>
      <c r="AC787" s="61" t="s">
        <v>286</v>
      </c>
      <c r="AD787" s="53" t="s">
        <v>77</v>
      </c>
      <c r="AE787" s="56">
        <v>577.38732831749996</v>
      </c>
      <c r="AF787" s="62"/>
      <c r="AG787" s="63"/>
      <c r="AH787" s="61"/>
      <c r="AO787" s="64" t="s">
        <v>78</v>
      </c>
      <c r="AP787" s="65">
        <v>17.900000000000002</v>
      </c>
      <c r="AQ787" s="65">
        <v>18.5</v>
      </c>
      <c r="AR787" s="65">
        <v>18.5</v>
      </c>
      <c r="AS787" s="65">
        <v>16.7</v>
      </c>
      <c r="AT787" s="65"/>
      <c r="AU787" s="65"/>
      <c r="AV787" s="65"/>
      <c r="AW787" s="65"/>
      <c r="AX787" s="65"/>
      <c r="AY787" s="65"/>
      <c r="AZ787" s="65"/>
      <c r="BA787" s="65"/>
      <c r="BB787" s="65"/>
      <c r="BC787" s="65"/>
      <c r="BD787" s="65"/>
      <c r="BE787" s="65"/>
      <c r="BF787" s="65"/>
      <c r="BG787" s="65"/>
      <c r="BH787" s="65"/>
      <c r="BI787" s="65"/>
      <c r="BJ787" s="65"/>
      <c r="BK787" s="65"/>
      <c r="BL787" s="65"/>
      <c r="BM787" s="65"/>
      <c r="BN787" s="65"/>
      <c r="BO787" s="65"/>
    </row>
    <row r="788" spans="1:67" s="58" customFormat="1" x14ac:dyDescent="0.2">
      <c r="A788" s="49"/>
      <c r="B788" s="50"/>
      <c r="C788" s="51"/>
      <c r="D788" s="49"/>
      <c r="E788" s="49"/>
      <c r="F788" s="52"/>
      <c r="G788" s="53"/>
      <c r="H788" s="54"/>
      <c r="I788" s="55"/>
      <c r="J788" s="53"/>
      <c r="K788" s="53"/>
      <c r="L788" s="53"/>
      <c r="M788" s="56"/>
      <c r="N788" s="53"/>
      <c r="O788" s="57"/>
      <c r="Q788" s="53"/>
      <c r="R788" s="53"/>
      <c r="S788" s="53"/>
      <c r="T788" s="59"/>
      <c r="U788" s="59"/>
      <c r="V788" s="53"/>
      <c r="W788" s="53"/>
      <c r="X788" s="53"/>
      <c r="Y788" s="9" t="e">
        <f t="shared" si="12"/>
        <v>#DIV/0!</v>
      </c>
      <c r="Z788" s="60"/>
      <c r="AC788" s="61"/>
      <c r="AD788" s="53"/>
      <c r="AE788" s="56"/>
      <c r="AF788" s="62"/>
      <c r="AG788" s="63"/>
      <c r="AH788" s="61"/>
      <c r="AO788" s="64" t="s">
        <v>79</v>
      </c>
      <c r="AP788" s="65">
        <v>11.133333333333333</v>
      </c>
      <c r="AQ788" s="65">
        <v>13</v>
      </c>
      <c r="AR788" s="65">
        <v>9.3000000000000007</v>
      </c>
      <c r="AS788" s="65">
        <v>11.1</v>
      </c>
      <c r="AT788" s="65"/>
      <c r="AU788" s="65"/>
      <c r="AV788" s="65"/>
      <c r="AW788" s="65"/>
      <c r="AX788" s="65"/>
      <c r="AY788" s="65"/>
      <c r="AZ788" s="65"/>
      <c r="BA788" s="65"/>
      <c r="BB788" s="65"/>
      <c r="BC788" s="65"/>
      <c r="BD788" s="65"/>
      <c r="BE788" s="65"/>
      <c r="BF788" s="65"/>
      <c r="BG788" s="65"/>
      <c r="BH788" s="65"/>
      <c r="BI788" s="65"/>
      <c r="BJ788" s="65"/>
      <c r="BK788" s="65"/>
      <c r="BL788" s="65"/>
      <c r="BM788" s="65"/>
      <c r="BN788" s="65"/>
      <c r="BO788" s="65"/>
    </row>
    <row r="789" spans="1:67" s="58" customFormat="1" x14ac:dyDescent="0.2">
      <c r="A789" s="49"/>
      <c r="B789" s="50"/>
      <c r="C789" s="51"/>
      <c r="D789" s="49"/>
      <c r="E789" s="49"/>
      <c r="F789" s="52"/>
      <c r="G789" s="53"/>
      <c r="H789" s="54"/>
      <c r="I789" s="55"/>
      <c r="J789" s="53"/>
      <c r="K789" s="53"/>
      <c r="L789" s="53"/>
      <c r="M789" s="56"/>
      <c r="N789" s="53"/>
      <c r="O789" s="57"/>
      <c r="Q789" s="53"/>
      <c r="R789" s="53"/>
      <c r="S789" s="53"/>
      <c r="T789" s="59"/>
      <c r="U789" s="59"/>
      <c r="V789" s="53"/>
      <c r="W789" s="53"/>
      <c r="X789" s="53"/>
      <c r="Y789" s="9" t="e">
        <f t="shared" si="12"/>
        <v>#DIV/0!</v>
      </c>
      <c r="Z789" s="60"/>
      <c r="AC789" s="61"/>
      <c r="AD789" s="53"/>
      <c r="AE789" s="56"/>
      <c r="AF789" s="62"/>
      <c r="AG789" s="63"/>
      <c r="AH789" s="61"/>
      <c r="AO789" s="64" t="s">
        <v>80</v>
      </c>
      <c r="AP789" s="65">
        <v>3.7000000000000006</v>
      </c>
      <c r="AQ789" s="65">
        <v>3.7</v>
      </c>
      <c r="AR789" s="65">
        <v>3.7</v>
      </c>
      <c r="AS789" s="65">
        <v>3.7</v>
      </c>
      <c r="AT789" s="65"/>
      <c r="AU789" s="65"/>
      <c r="AV789" s="65"/>
      <c r="AW789" s="65"/>
      <c r="AX789" s="65"/>
      <c r="AY789" s="65"/>
      <c r="AZ789" s="65"/>
      <c r="BA789" s="65"/>
      <c r="BB789" s="65"/>
      <c r="BC789" s="65"/>
      <c r="BD789" s="65"/>
      <c r="BE789" s="65"/>
      <c r="BF789" s="65"/>
      <c r="BG789" s="65"/>
      <c r="BH789" s="65"/>
      <c r="BI789" s="65"/>
      <c r="BJ789" s="65"/>
      <c r="BK789" s="65"/>
      <c r="BL789" s="65"/>
      <c r="BM789" s="65"/>
      <c r="BN789" s="65"/>
      <c r="BO789" s="65"/>
    </row>
    <row r="790" spans="1:67" s="58" customFormat="1" x14ac:dyDescent="0.2">
      <c r="A790" s="49" t="s">
        <v>67</v>
      </c>
      <c r="B790" s="50">
        <v>43256</v>
      </c>
      <c r="C790" s="51">
        <v>0.37152777777777801</v>
      </c>
      <c r="D790" s="49" t="s">
        <v>226</v>
      </c>
      <c r="E790" s="49">
        <v>3</v>
      </c>
      <c r="F790" s="52">
        <v>58.5</v>
      </c>
      <c r="G790" s="53">
        <v>2</v>
      </c>
      <c r="H790" s="54">
        <v>3.4188034188034191E-2</v>
      </c>
      <c r="I790" s="55">
        <v>6.83E-2</v>
      </c>
      <c r="J790" s="53">
        <v>314.15899999999999</v>
      </c>
      <c r="K790" s="53">
        <v>0.47809999999999997</v>
      </c>
      <c r="L790" s="53">
        <v>7</v>
      </c>
      <c r="M790" s="56">
        <v>328.54946663877848</v>
      </c>
      <c r="N790" s="53">
        <v>190</v>
      </c>
      <c r="O790" s="57" t="s">
        <v>102</v>
      </c>
      <c r="P790" s="58" t="s">
        <v>70</v>
      </c>
      <c r="Q790" s="53" t="s">
        <v>103</v>
      </c>
      <c r="R790" s="53" t="s">
        <v>84</v>
      </c>
      <c r="S790" s="53"/>
      <c r="T790" s="59">
        <v>1</v>
      </c>
      <c r="U790" s="59">
        <v>1</v>
      </c>
      <c r="V790" s="53">
        <v>4.5999999999999996</v>
      </c>
      <c r="W790" s="53"/>
      <c r="X790" s="53"/>
      <c r="Y790" s="9">
        <f t="shared" si="12"/>
        <v>328.54946663877848</v>
      </c>
      <c r="Z790" s="60" t="s">
        <v>73</v>
      </c>
      <c r="AA790" s="58" t="s">
        <v>315</v>
      </c>
      <c r="AB790" s="58" t="s">
        <v>75</v>
      </c>
      <c r="AC790" s="61" t="s">
        <v>286</v>
      </c>
      <c r="AD790" s="53" t="s">
        <v>104</v>
      </c>
      <c r="AE790" s="56">
        <v>61.490341069999992</v>
      </c>
      <c r="AF790" s="62"/>
      <c r="AG790" s="63"/>
      <c r="AH790" s="61"/>
      <c r="AO790" s="64" t="s">
        <v>78</v>
      </c>
      <c r="AP790" s="65">
        <v>3.7</v>
      </c>
      <c r="AQ790" s="65">
        <v>3.7</v>
      </c>
      <c r="AR790" s="65"/>
      <c r="AS790" s="65"/>
      <c r="AT790" s="65"/>
      <c r="AU790" s="65"/>
      <c r="AV790" s="65"/>
      <c r="AW790" s="65"/>
      <c r="AX790" s="65"/>
      <c r="AY790" s="65"/>
      <c r="AZ790" s="65"/>
      <c r="BA790" s="65"/>
      <c r="BB790" s="65"/>
      <c r="BC790" s="65"/>
      <c r="BD790" s="65"/>
      <c r="BE790" s="65"/>
      <c r="BF790" s="65"/>
      <c r="BG790" s="65"/>
      <c r="BH790" s="65"/>
      <c r="BI790" s="65"/>
      <c r="BJ790" s="65"/>
      <c r="BK790" s="65"/>
      <c r="BL790" s="65"/>
      <c r="BM790" s="65"/>
      <c r="BN790" s="65"/>
      <c r="BO790" s="65"/>
    </row>
    <row r="791" spans="1:67" s="58" customFormat="1" x14ac:dyDescent="0.2">
      <c r="A791" s="49"/>
      <c r="B791" s="50"/>
      <c r="C791" s="51"/>
      <c r="D791" s="49"/>
      <c r="E791" s="49"/>
      <c r="F791" s="52"/>
      <c r="G791" s="53"/>
      <c r="H791" s="54"/>
      <c r="I791" s="55"/>
      <c r="J791" s="53"/>
      <c r="K791" s="53"/>
      <c r="L791" s="53"/>
      <c r="M791" s="56"/>
      <c r="N791" s="53"/>
      <c r="O791" s="57"/>
      <c r="Q791" s="53"/>
      <c r="R791" s="53"/>
      <c r="S791" s="53"/>
      <c r="T791" s="59"/>
      <c r="U791" s="59"/>
      <c r="V791" s="53"/>
      <c r="W791" s="53"/>
      <c r="X791" s="53"/>
      <c r="Y791" s="9" t="e">
        <f t="shared" si="12"/>
        <v>#DIV/0!</v>
      </c>
      <c r="Z791" s="60"/>
      <c r="AC791" s="61"/>
      <c r="AD791" s="53"/>
      <c r="AE791" s="56"/>
      <c r="AF791" s="62"/>
      <c r="AG791" s="63"/>
      <c r="AH791" s="61"/>
      <c r="AO791" s="64" t="s">
        <v>79</v>
      </c>
      <c r="AP791" s="65">
        <v>4.5999999999999996</v>
      </c>
      <c r="AQ791" s="65">
        <v>4.5999999999999996</v>
      </c>
      <c r="AR791" s="65"/>
      <c r="AS791" s="65"/>
      <c r="AT791" s="65"/>
      <c r="AU791" s="65"/>
      <c r="AV791" s="65"/>
      <c r="AW791" s="65"/>
      <c r="AX791" s="65"/>
      <c r="AY791" s="65"/>
      <c r="AZ791" s="65"/>
      <c r="BA791" s="65"/>
      <c r="BB791" s="65"/>
      <c r="BC791" s="65"/>
      <c r="BD791" s="65"/>
      <c r="BE791" s="65"/>
      <c r="BF791" s="65"/>
      <c r="BG791" s="65"/>
      <c r="BH791" s="65"/>
      <c r="BI791" s="65"/>
      <c r="BJ791" s="65"/>
      <c r="BK791" s="65"/>
      <c r="BL791" s="65"/>
      <c r="BM791" s="65"/>
      <c r="BN791" s="65"/>
      <c r="BO791" s="65"/>
    </row>
    <row r="792" spans="1:67" s="58" customFormat="1" x14ac:dyDescent="0.2">
      <c r="A792" s="49" t="s">
        <v>67</v>
      </c>
      <c r="B792" s="50">
        <v>43256</v>
      </c>
      <c r="C792" s="51">
        <v>0.37152777777777801</v>
      </c>
      <c r="D792" s="49" t="s">
        <v>226</v>
      </c>
      <c r="E792" s="49">
        <v>3</v>
      </c>
      <c r="F792" s="52">
        <v>58.5</v>
      </c>
      <c r="G792" s="53">
        <v>2</v>
      </c>
      <c r="H792" s="54">
        <v>3.4188034188034191E-2</v>
      </c>
      <c r="I792" s="55">
        <v>6.83E-2</v>
      </c>
      <c r="J792" s="53">
        <v>314.15899999999999</v>
      </c>
      <c r="K792" s="53">
        <v>0.47809999999999997</v>
      </c>
      <c r="L792" s="53">
        <v>7</v>
      </c>
      <c r="M792" s="56">
        <v>328.54946663877848</v>
      </c>
      <c r="N792" s="53">
        <v>1031</v>
      </c>
      <c r="O792" s="57" t="s">
        <v>172</v>
      </c>
      <c r="P792" s="57" t="s">
        <v>82</v>
      </c>
      <c r="Q792" s="53" t="s">
        <v>83</v>
      </c>
      <c r="R792" s="53" t="s">
        <v>84</v>
      </c>
      <c r="S792" s="53"/>
      <c r="T792" s="59">
        <v>1</v>
      </c>
      <c r="U792" s="59">
        <v>1</v>
      </c>
      <c r="V792" s="53">
        <v>6.5</v>
      </c>
      <c r="W792" s="53"/>
      <c r="X792" s="53"/>
      <c r="Y792" s="9">
        <f t="shared" si="12"/>
        <v>328.54946663877848</v>
      </c>
      <c r="Z792" s="60" t="s">
        <v>73</v>
      </c>
      <c r="AA792" s="58" t="s">
        <v>315</v>
      </c>
      <c r="AB792" s="58" t="s">
        <v>75</v>
      </c>
      <c r="AC792" s="61" t="s">
        <v>286</v>
      </c>
      <c r="AD792" s="53" t="s">
        <v>85</v>
      </c>
      <c r="AE792" s="56">
        <v>87.671304933333303</v>
      </c>
      <c r="AF792" s="62"/>
      <c r="AG792" s="63"/>
      <c r="AH792" s="61"/>
      <c r="AO792" s="64" t="s">
        <v>78</v>
      </c>
      <c r="AP792" s="65">
        <v>6.5</v>
      </c>
      <c r="AQ792" s="65">
        <v>6.5</v>
      </c>
      <c r="AR792" s="65"/>
      <c r="AS792" s="65"/>
      <c r="AT792" s="65"/>
      <c r="AU792" s="65"/>
      <c r="AV792" s="65"/>
      <c r="AW792" s="65"/>
      <c r="AX792" s="65"/>
      <c r="AY792" s="65"/>
      <c r="AZ792" s="65"/>
      <c r="BA792" s="65"/>
      <c r="BB792" s="65"/>
      <c r="BC792" s="65"/>
      <c r="BD792" s="65"/>
      <c r="BE792" s="65"/>
      <c r="BF792" s="65"/>
      <c r="BG792" s="65"/>
      <c r="BH792" s="65"/>
      <c r="BI792" s="65"/>
      <c r="BJ792" s="65"/>
      <c r="BK792" s="65"/>
      <c r="BL792" s="65"/>
      <c r="BM792" s="65"/>
      <c r="BN792" s="65"/>
      <c r="BO792" s="65"/>
    </row>
    <row r="793" spans="1:67" s="58" customFormat="1" x14ac:dyDescent="0.2">
      <c r="A793" s="49"/>
      <c r="B793" s="50"/>
      <c r="C793" s="51"/>
      <c r="D793" s="49"/>
      <c r="E793" s="49"/>
      <c r="F793" s="52"/>
      <c r="G793" s="53"/>
      <c r="H793" s="54"/>
      <c r="I793" s="55"/>
      <c r="J793" s="53"/>
      <c r="K793" s="53"/>
      <c r="L793" s="53"/>
      <c r="M793" s="56"/>
      <c r="N793" s="53"/>
      <c r="O793" s="57"/>
      <c r="P793" s="57"/>
      <c r="Q793" s="53"/>
      <c r="R793" s="53"/>
      <c r="S793" s="53"/>
      <c r="T793" s="59"/>
      <c r="U793" s="59"/>
      <c r="V793" s="53"/>
      <c r="W793" s="53"/>
      <c r="X793" s="53"/>
      <c r="Y793" s="9" t="e">
        <f t="shared" si="12"/>
        <v>#DIV/0!</v>
      </c>
      <c r="Z793" s="60"/>
      <c r="AC793" s="61"/>
      <c r="AD793" s="53"/>
      <c r="AE793" s="56"/>
      <c r="AF793" s="62"/>
      <c r="AG793" s="63"/>
      <c r="AH793" s="61"/>
      <c r="AO793" s="64" t="s">
        <v>79</v>
      </c>
      <c r="AP793" s="65">
        <v>5.6</v>
      </c>
      <c r="AQ793" s="65">
        <v>5.6</v>
      </c>
      <c r="AR793" s="65"/>
      <c r="AS793" s="65"/>
      <c r="AT793" s="65"/>
      <c r="AU793" s="65"/>
      <c r="AV793" s="65"/>
      <c r="AW793" s="65"/>
      <c r="AX793" s="65"/>
      <c r="AY793" s="65"/>
      <c r="AZ793" s="65"/>
      <c r="BA793" s="65"/>
      <c r="BB793" s="65"/>
      <c r="BC793" s="65"/>
      <c r="BD793" s="65"/>
      <c r="BE793" s="65"/>
      <c r="BF793" s="65"/>
      <c r="BG793" s="65"/>
      <c r="BH793" s="65"/>
      <c r="BI793" s="65"/>
      <c r="BJ793" s="65"/>
      <c r="BK793" s="65"/>
      <c r="BL793" s="65"/>
      <c r="BM793" s="65"/>
      <c r="BN793" s="65"/>
      <c r="BO793" s="65"/>
    </row>
    <row r="794" spans="1:67" s="58" customFormat="1" x14ac:dyDescent="0.2">
      <c r="A794" s="49"/>
      <c r="B794" s="50"/>
      <c r="C794" s="51"/>
      <c r="D794" s="49"/>
      <c r="E794" s="49"/>
      <c r="F794" s="52"/>
      <c r="G794" s="53"/>
      <c r="H794" s="54"/>
      <c r="I794" s="55"/>
      <c r="J794" s="53"/>
      <c r="K794" s="53"/>
      <c r="L794" s="53"/>
      <c r="M794" s="56"/>
      <c r="N794" s="53"/>
      <c r="O794" s="57"/>
      <c r="P794" s="57"/>
      <c r="Q794" s="53"/>
      <c r="R794" s="53"/>
      <c r="S794" s="53"/>
      <c r="T794" s="59"/>
      <c r="U794" s="59"/>
      <c r="V794" s="53"/>
      <c r="W794" s="53"/>
      <c r="X794" s="53"/>
      <c r="Y794" s="9" t="e">
        <f t="shared" si="12"/>
        <v>#DIV/0!</v>
      </c>
      <c r="Z794" s="60"/>
      <c r="AC794" s="61"/>
      <c r="AD794" s="53"/>
      <c r="AE794" s="56"/>
      <c r="AF794" s="62"/>
      <c r="AG794" s="63"/>
      <c r="AH794" s="61"/>
      <c r="AO794" s="64" t="s">
        <v>80</v>
      </c>
      <c r="AP794" s="65">
        <v>4.5999999999999996</v>
      </c>
      <c r="AQ794" s="65">
        <v>4.5999999999999996</v>
      </c>
      <c r="AR794" s="65"/>
      <c r="AS794" s="65"/>
      <c r="AT794" s="65"/>
      <c r="AU794" s="65"/>
      <c r="AV794" s="65"/>
      <c r="AW794" s="65"/>
      <c r="AX794" s="65"/>
      <c r="AY794" s="65"/>
      <c r="AZ794" s="65"/>
      <c r="BA794" s="65"/>
      <c r="BB794" s="65"/>
      <c r="BC794" s="65"/>
      <c r="BD794" s="65"/>
      <c r="BE794" s="65"/>
      <c r="BF794" s="65"/>
      <c r="BG794" s="65"/>
      <c r="BH794" s="65"/>
      <c r="BI794" s="65"/>
      <c r="BJ794" s="65"/>
      <c r="BK794" s="65"/>
      <c r="BL794" s="65"/>
      <c r="BM794" s="65"/>
      <c r="BN794" s="65"/>
      <c r="BO794" s="65"/>
    </row>
    <row r="795" spans="1:67" s="58" customFormat="1" x14ac:dyDescent="0.2">
      <c r="A795" s="49" t="s">
        <v>67</v>
      </c>
      <c r="B795" s="50">
        <v>43256</v>
      </c>
      <c r="C795" s="51">
        <v>0.37152777777777801</v>
      </c>
      <c r="D795" s="49" t="s">
        <v>226</v>
      </c>
      <c r="E795" s="49">
        <v>3</v>
      </c>
      <c r="F795" s="52">
        <v>58.5</v>
      </c>
      <c r="G795" s="53">
        <v>2</v>
      </c>
      <c r="H795" s="54">
        <v>3.4188034188034191E-2</v>
      </c>
      <c r="I795" s="55">
        <v>6.83E-2</v>
      </c>
      <c r="J795" s="53">
        <v>314.15899999999999</v>
      </c>
      <c r="K795" s="53">
        <v>0.47809999999999997</v>
      </c>
      <c r="L795" s="53">
        <v>7</v>
      </c>
      <c r="M795" s="56">
        <v>328.54946663877848</v>
      </c>
      <c r="N795" s="53">
        <v>1037</v>
      </c>
      <c r="O795" s="57" t="s">
        <v>86</v>
      </c>
      <c r="P795" s="57" t="s">
        <v>82</v>
      </c>
      <c r="Q795" s="53" t="s">
        <v>87</v>
      </c>
      <c r="R795" s="53" t="s">
        <v>84</v>
      </c>
      <c r="S795" s="53"/>
      <c r="T795" s="59">
        <v>10</v>
      </c>
      <c r="U795" s="59">
        <v>10</v>
      </c>
      <c r="V795" s="53">
        <v>3.7</v>
      </c>
      <c r="W795" s="53"/>
      <c r="X795" s="53"/>
      <c r="Y795" s="9">
        <f t="shared" si="12"/>
        <v>3285.4946663877854</v>
      </c>
      <c r="Z795" s="60" t="s">
        <v>73</v>
      </c>
      <c r="AA795" s="58" t="s">
        <v>315</v>
      </c>
      <c r="AB795" s="58" t="s">
        <v>75</v>
      </c>
      <c r="AC795" s="61" t="s">
        <v>286</v>
      </c>
      <c r="AD795" s="53" t="s">
        <v>85</v>
      </c>
      <c r="AE795" s="56">
        <v>9.2027643066666673</v>
      </c>
      <c r="AF795" s="62"/>
      <c r="AG795" s="63"/>
      <c r="AH795" s="61"/>
      <c r="AO795" s="64" t="s">
        <v>78</v>
      </c>
      <c r="AP795" s="65">
        <v>2.62</v>
      </c>
      <c r="AQ795" s="65">
        <v>2.8</v>
      </c>
      <c r="AR795" s="65">
        <v>1.9</v>
      </c>
      <c r="AS795" s="65">
        <v>3.7</v>
      </c>
      <c r="AT795" s="65">
        <v>2.8</v>
      </c>
      <c r="AU795" s="65">
        <v>1.9</v>
      </c>
      <c r="AV795" s="65"/>
      <c r="AW795" s="65"/>
      <c r="AX795" s="65"/>
      <c r="AY795" s="65"/>
      <c r="AZ795" s="65"/>
      <c r="BA795" s="65"/>
      <c r="BB795" s="65"/>
      <c r="BC795" s="65"/>
      <c r="BD795" s="65"/>
      <c r="BE795" s="65"/>
      <c r="BF795" s="65"/>
      <c r="BG795" s="65"/>
      <c r="BH795" s="65"/>
      <c r="BI795" s="65"/>
      <c r="BJ795" s="65"/>
      <c r="BK795" s="65"/>
      <c r="BL795" s="65"/>
      <c r="BM795" s="65"/>
      <c r="BN795" s="65"/>
      <c r="BO795" s="65"/>
    </row>
    <row r="796" spans="1:67" s="58" customFormat="1" x14ac:dyDescent="0.2">
      <c r="A796" s="49" t="s">
        <v>67</v>
      </c>
      <c r="B796" s="50">
        <v>43256</v>
      </c>
      <c r="C796" s="51">
        <v>0.37152777777777801</v>
      </c>
      <c r="D796" s="49" t="s">
        <v>226</v>
      </c>
      <c r="E796" s="49">
        <v>3</v>
      </c>
      <c r="F796" s="52">
        <v>58.5</v>
      </c>
      <c r="G796" s="53">
        <v>2</v>
      </c>
      <c r="H796" s="54">
        <v>3.4188034188034191E-2</v>
      </c>
      <c r="I796" s="55">
        <v>6.83E-2</v>
      </c>
      <c r="J796" s="53">
        <v>314.15899999999999</v>
      </c>
      <c r="K796" s="53">
        <v>0.47809999999999997</v>
      </c>
      <c r="L796" s="53">
        <v>7</v>
      </c>
      <c r="M796" s="56">
        <v>328.54946663877848</v>
      </c>
      <c r="N796" s="53">
        <v>1419</v>
      </c>
      <c r="O796" s="57" t="s">
        <v>94</v>
      </c>
      <c r="P796" s="57" t="s">
        <v>82</v>
      </c>
      <c r="Q796" s="53" t="s">
        <v>95</v>
      </c>
      <c r="R796" s="53" t="s">
        <v>96</v>
      </c>
      <c r="S796" s="53"/>
      <c r="T796" s="59">
        <v>403</v>
      </c>
      <c r="U796" s="59">
        <v>809</v>
      </c>
      <c r="V796" s="53">
        <v>0.8</v>
      </c>
      <c r="W796" s="53">
        <v>0.8</v>
      </c>
      <c r="X796" s="53">
        <v>0.8</v>
      </c>
      <c r="Y796" s="9">
        <f t="shared" si="12"/>
        <v>132405.43505542772</v>
      </c>
      <c r="Z796" s="60" t="s">
        <v>97</v>
      </c>
      <c r="AA796" s="58" t="s">
        <v>315</v>
      </c>
      <c r="AB796" s="58" t="s">
        <v>75</v>
      </c>
      <c r="AC796" s="61" t="s">
        <v>286</v>
      </c>
      <c r="AD796" s="53" t="s">
        <v>85</v>
      </c>
      <c r="AE796" s="56">
        <v>0.18</v>
      </c>
      <c r="AF796" s="56">
        <v>0.18</v>
      </c>
      <c r="AG796" s="56">
        <v>0.18</v>
      </c>
      <c r="AH796" s="56">
        <v>0.18</v>
      </c>
      <c r="AI796" s="56">
        <v>0.18</v>
      </c>
      <c r="AJ796" s="56">
        <v>0.18</v>
      </c>
      <c r="AK796" s="56">
        <v>0.18</v>
      </c>
      <c r="AL796" s="56">
        <v>0.18</v>
      </c>
      <c r="AM796" s="56">
        <v>0.18</v>
      </c>
      <c r="AN796" s="56">
        <v>0.18</v>
      </c>
      <c r="AO796" s="66" t="s">
        <v>78</v>
      </c>
      <c r="AP796" s="65">
        <v>0.75200000000000033</v>
      </c>
      <c r="AQ796" s="65">
        <v>0.7</v>
      </c>
      <c r="AR796" s="65">
        <v>0.7</v>
      </c>
      <c r="AS796" s="65">
        <v>0.7</v>
      </c>
      <c r="AT796" s="65">
        <v>0.7</v>
      </c>
      <c r="AU796" s="65">
        <v>0.7</v>
      </c>
      <c r="AV796" s="65">
        <v>0.7</v>
      </c>
      <c r="AW796" s="65">
        <v>0.7</v>
      </c>
      <c r="AX796" s="65">
        <v>0.7</v>
      </c>
      <c r="AY796" s="65">
        <v>0.7</v>
      </c>
      <c r="AZ796" s="65">
        <v>0.7</v>
      </c>
      <c r="BA796" s="65">
        <v>0.7</v>
      </c>
      <c r="BB796" s="65">
        <v>0.7</v>
      </c>
      <c r="BC796" s="65">
        <v>0.8</v>
      </c>
      <c r="BD796" s="65">
        <v>0.8</v>
      </c>
      <c r="BE796" s="65">
        <v>0.8</v>
      </c>
      <c r="BF796" s="65">
        <v>0.8</v>
      </c>
      <c r="BG796" s="65">
        <v>0.8</v>
      </c>
      <c r="BH796" s="65">
        <v>0.8</v>
      </c>
      <c r="BI796" s="65">
        <v>0.8</v>
      </c>
      <c r="BJ796" s="65">
        <v>0.8</v>
      </c>
      <c r="BK796" s="65">
        <v>0.8</v>
      </c>
      <c r="BL796" s="65">
        <v>0.8</v>
      </c>
      <c r="BM796" s="65">
        <v>0.8</v>
      </c>
      <c r="BN796" s="65">
        <v>0.8</v>
      </c>
      <c r="BO796" s="65">
        <v>0.8</v>
      </c>
    </row>
    <row r="797" spans="1:67" s="58" customFormat="1" x14ac:dyDescent="0.2">
      <c r="A797" s="49" t="s">
        <v>67</v>
      </c>
      <c r="B797" s="50">
        <v>43257</v>
      </c>
      <c r="C797" s="51">
        <v>0.47916666666666702</v>
      </c>
      <c r="D797" s="49" t="s">
        <v>144</v>
      </c>
      <c r="E797" s="49"/>
      <c r="F797" s="52">
        <v>62</v>
      </c>
      <c r="G797" s="53">
        <v>2</v>
      </c>
      <c r="H797" s="54">
        <v>3.2258064516129031E-2</v>
      </c>
      <c r="I797" s="55">
        <v>6.83E-2</v>
      </c>
      <c r="J797" s="53">
        <v>314.15899999999999</v>
      </c>
      <c r="K797" s="53">
        <v>0.5464</v>
      </c>
      <c r="L797" s="53">
        <v>8</v>
      </c>
      <c r="M797" s="56">
        <v>287.48078330893117</v>
      </c>
      <c r="N797" s="53">
        <v>145</v>
      </c>
      <c r="O797" s="57" t="s">
        <v>69</v>
      </c>
      <c r="P797" s="58" t="s">
        <v>70</v>
      </c>
      <c r="Q797" s="53" t="s">
        <v>71</v>
      </c>
      <c r="R797" s="53" t="s">
        <v>72</v>
      </c>
      <c r="S797" s="53"/>
      <c r="T797" s="59">
        <v>1</v>
      </c>
      <c r="U797" s="59">
        <v>1</v>
      </c>
      <c r="V797" s="53">
        <v>18.5</v>
      </c>
      <c r="W797" s="53"/>
      <c r="X797" s="53"/>
      <c r="Y797" s="9">
        <f t="shared" si="12"/>
        <v>287.48078330893117</v>
      </c>
      <c r="Z797" s="60" t="s">
        <v>73</v>
      </c>
      <c r="AA797" s="58" t="s">
        <v>316</v>
      </c>
      <c r="AB797" s="58" t="s">
        <v>75</v>
      </c>
      <c r="AC797" s="61" t="s">
        <v>221</v>
      </c>
      <c r="AD797" s="53" t="s">
        <v>77</v>
      </c>
      <c r="AE797" s="56">
        <v>596.7410935124999</v>
      </c>
      <c r="AF797" s="62"/>
      <c r="AG797" s="63"/>
      <c r="AH797" s="61"/>
      <c r="AO797" s="64" t="s">
        <v>78</v>
      </c>
      <c r="AP797" s="65">
        <v>18.5</v>
      </c>
      <c r="AQ797" s="65">
        <v>18.5</v>
      </c>
      <c r="AR797" s="65"/>
      <c r="AS797" s="65"/>
      <c r="AT797" s="65"/>
      <c r="AU797" s="65"/>
      <c r="AV797" s="65"/>
      <c r="AW797" s="65"/>
      <c r="AX797" s="65"/>
      <c r="AY797" s="65"/>
      <c r="AZ797" s="65"/>
      <c r="BA797" s="65"/>
      <c r="BB797" s="65"/>
      <c r="BC797" s="65"/>
      <c r="BD797" s="65"/>
      <c r="BE797" s="65"/>
      <c r="BF797" s="65"/>
      <c r="BG797" s="65"/>
      <c r="BH797" s="65"/>
      <c r="BI797" s="65"/>
      <c r="BJ797" s="65"/>
      <c r="BK797" s="65"/>
      <c r="BL797" s="65"/>
      <c r="BM797" s="65"/>
      <c r="BN797" s="65"/>
      <c r="BO797" s="65"/>
    </row>
    <row r="798" spans="1:67" s="58" customFormat="1" x14ac:dyDescent="0.2">
      <c r="A798" s="49"/>
      <c r="B798" s="50"/>
      <c r="C798" s="51"/>
      <c r="D798" s="49"/>
      <c r="E798" s="49"/>
      <c r="F798" s="52"/>
      <c r="G798" s="53"/>
      <c r="H798" s="54"/>
      <c r="I798" s="55"/>
      <c r="J798" s="53"/>
      <c r="K798" s="53"/>
      <c r="L798" s="53"/>
      <c r="M798" s="56"/>
      <c r="N798" s="53"/>
      <c r="O798" s="57"/>
      <c r="Q798" s="53"/>
      <c r="R798" s="53"/>
      <c r="S798" s="53"/>
      <c r="T798" s="59"/>
      <c r="U798" s="59"/>
      <c r="V798" s="53"/>
      <c r="W798" s="53"/>
      <c r="X798" s="53"/>
      <c r="Y798" s="9" t="e">
        <f t="shared" si="12"/>
        <v>#DIV/0!</v>
      </c>
      <c r="Z798" s="60"/>
      <c r="AC798" s="61"/>
      <c r="AD798" s="53"/>
      <c r="AE798" s="56"/>
      <c r="AF798" s="62"/>
      <c r="AG798" s="63"/>
      <c r="AH798" s="61"/>
      <c r="AO798" s="64" t="s">
        <v>79</v>
      </c>
      <c r="AP798" s="65">
        <v>11.1</v>
      </c>
      <c r="AQ798" s="65">
        <v>11.1</v>
      </c>
      <c r="AR798" s="65"/>
      <c r="AS798" s="65"/>
      <c r="AT798" s="65"/>
      <c r="AU798" s="65"/>
      <c r="AV798" s="65"/>
      <c r="AW798" s="65"/>
      <c r="AX798" s="65"/>
      <c r="AY798" s="65"/>
      <c r="AZ798" s="65"/>
      <c r="BA798" s="65"/>
      <c r="BB798" s="65"/>
      <c r="BC798" s="65"/>
      <c r="BD798" s="65"/>
      <c r="BE798" s="65"/>
      <c r="BF798" s="65"/>
      <c r="BG798" s="65"/>
      <c r="BH798" s="65"/>
      <c r="BI798" s="65"/>
      <c r="BJ798" s="65"/>
      <c r="BK798" s="65"/>
      <c r="BL798" s="65"/>
      <c r="BM798" s="65"/>
      <c r="BN798" s="65"/>
      <c r="BO798" s="65"/>
    </row>
    <row r="799" spans="1:67" s="58" customFormat="1" x14ac:dyDescent="0.2">
      <c r="A799" s="49"/>
      <c r="B799" s="50"/>
      <c r="C799" s="51"/>
      <c r="D799" s="49"/>
      <c r="E799" s="49"/>
      <c r="F799" s="52"/>
      <c r="G799" s="53"/>
      <c r="H799" s="54"/>
      <c r="I799" s="55"/>
      <c r="J799" s="53"/>
      <c r="K799" s="53"/>
      <c r="L799" s="53"/>
      <c r="M799" s="56"/>
      <c r="N799" s="53"/>
      <c r="O799" s="57"/>
      <c r="Q799" s="53"/>
      <c r="R799" s="53"/>
      <c r="S799" s="53"/>
      <c r="T799" s="59"/>
      <c r="U799" s="59"/>
      <c r="V799" s="53"/>
      <c r="W799" s="53"/>
      <c r="X799" s="53"/>
      <c r="Y799" s="9" t="e">
        <f t="shared" si="12"/>
        <v>#DIV/0!</v>
      </c>
      <c r="Z799" s="60"/>
      <c r="AC799" s="61"/>
      <c r="AD799" s="53"/>
      <c r="AE799" s="56"/>
      <c r="AF799" s="62"/>
      <c r="AG799" s="63"/>
      <c r="AH799" s="61"/>
      <c r="AO799" s="64" t="s">
        <v>80</v>
      </c>
      <c r="AP799" s="65">
        <v>3.7</v>
      </c>
      <c r="AQ799" s="65">
        <v>3.7</v>
      </c>
      <c r="AR799" s="65"/>
      <c r="AS799" s="65"/>
      <c r="AT799" s="65"/>
      <c r="AU799" s="65"/>
      <c r="AV799" s="65"/>
      <c r="AW799" s="65"/>
      <c r="AX799" s="65"/>
      <c r="AY799" s="65"/>
      <c r="AZ799" s="65"/>
      <c r="BA799" s="65"/>
      <c r="BB799" s="65"/>
      <c r="BC799" s="65"/>
      <c r="BD799" s="65"/>
      <c r="BE799" s="65"/>
      <c r="BF799" s="65"/>
      <c r="BG799" s="65"/>
      <c r="BH799" s="65"/>
      <c r="BI799" s="65"/>
      <c r="BJ799" s="65"/>
      <c r="BK799" s="65"/>
      <c r="BL799" s="65"/>
      <c r="BM799" s="65"/>
      <c r="BN799" s="65"/>
      <c r="BO799" s="65"/>
    </row>
    <row r="800" spans="1:67" s="58" customFormat="1" x14ac:dyDescent="0.2">
      <c r="A800" s="49" t="s">
        <v>67</v>
      </c>
      <c r="B800" s="50">
        <v>43257</v>
      </c>
      <c r="C800" s="51">
        <v>0.47916666666666702</v>
      </c>
      <c r="D800" s="49" t="s">
        <v>144</v>
      </c>
      <c r="E800" s="49"/>
      <c r="F800" s="52">
        <v>62</v>
      </c>
      <c r="G800" s="53">
        <v>2</v>
      </c>
      <c r="H800" s="54">
        <v>3.2258064516129031E-2</v>
      </c>
      <c r="I800" s="55">
        <v>6.83E-2</v>
      </c>
      <c r="J800" s="53">
        <v>314.15899999999999</v>
      </c>
      <c r="K800" s="53">
        <v>0.5464</v>
      </c>
      <c r="L800" s="53">
        <v>8</v>
      </c>
      <c r="M800" s="56">
        <v>287.48078330893117</v>
      </c>
      <c r="N800" s="53">
        <v>1037</v>
      </c>
      <c r="O800" s="57" t="s">
        <v>86</v>
      </c>
      <c r="P800" s="57" t="s">
        <v>82</v>
      </c>
      <c r="Q800" s="53" t="s">
        <v>87</v>
      </c>
      <c r="R800" s="53" t="s">
        <v>84</v>
      </c>
      <c r="S800" s="53"/>
      <c r="T800" s="59">
        <v>12</v>
      </c>
      <c r="U800" s="59">
        <v>12</v>
      </c>
      <c r="V800" s="53">
        <v>2.8</v>
      </c>
      <c r="W800" s="53"/>
      <c r="X800" s="53"/>
      <c r="Y800" s="9">
        <f t="shared" si="12"/>
        <v>3449.7693997071742</v>
      </c>
      <c r="Z800" s="60" t="s">
        <v>73</v>
      </c>
      <c r="AA800" s="58" t="s">
        <v>316</v>
      </c>
      <c r="AB800" s="58" t="s">
        <v>75</v>
      </c>
      <c r="AC800" s="61" t="s">
        <v>221</v>
      </c>
      <c r="AD800" s="53" t="s">
        <v>85</v>
      </c>
      <c r="AE800" s="56">
        <v>7.2382233599999992</v>
      </c>
      <c r="AF800" s="62"/>
      <c r="AG800" s="63"/>
      <c r="AH800" s="61"/>
      <c r="AO800" s="64" t="s">
        <v>78</v>
      </c>
      <c r="AP800" s="65">
        <v>2.44</v>
      </c>
      <c r="AQ800" s="65">
        <v>2.8</v>
      </c>
      <c r="AR800" s="65">
        <v>1.9</v>
      </c>
      <c r="AS800" s="65">
        <v>1.9</v>
      </c>
      <c r="AT800" s="65">
        <v>2.8</v>
      </c>
      <c r="AU800" s="65">
        <v>2.8</v>
      </c>
      <c r="AV800" s="65"/>
      <c r="AW800" s="65"/>
      <c r="AX800" s="65"/>
      <c r="AY800" s="65"/>
      <c r="AZ800" s="65"/>
      <c r="BA800" s="65"/>
      <c r="BB800" s="65"/>
      <c r="BC800" s="65"/>
      <c r="BD800" s="65"/>
      <c r="BE800" s="65"/>
      <c r="BF800" s="65"/>
      <c r="BG800" s="65"/>
      <c r="BH800" s="65"/>
      <c r="BI800" s="65"/>
      <c r="BJ800" s="65"/>
      <c r="BK800" s="65"/>
      <c r="BL800" s="65"/>
      <c r="BM800" s="65"/>
      <c r="BN800" s="65"/>
      <c r="BO800" s="65"/>
    </row>
    <row r="801" spans="1:67" s="58" customFormat="1" x14ac:dyDescent="0.2">
      <c r="A801" s="49" t="s">
        <v>67</v>
      </c>
      <c r="B801" s="50">
        <v>43257</v>
      </c>
      <c r="C801" s="51">
        <v>0.47916666666666702</v>
      </c>
      <c r="D801" s="49" t="s">
        <v>144</v>
      </c>
      <c r="E801" s="49"/>
      <c r="F801" s="52">
        <v>62</v>
      </c>
      <c r="G801" s="53">
        <v>2</v>
      </c>
      <c r="H801" s="54">
        <v>3.2258064516129031E-2</v>
      </c>
      <c r="I801" s="55">
        <v>6.83E-2</v>
      </c>
      <c r="J801" s="53">
        <v>314.15899999999999</v>
      </c>
      <c r="K801" s="53">
        <v>0.5464</v>
      </c>
      <c r="L801" s="53">
        <v>8</v>
      </c>
      <c r="M801" s="56">
        <v>287.48078330893117</v>
      </c>
      <c r="N801" s="53">
        <v>1733</v>
      </c>
      <c r="O801" s="57" t="s">
        <v>92</v>
      </c>
      <c r="P801" s="57" t="s">
        <v>82</v>
      </c>
      <c r="Q801" s="53" t="s">
        <v>89</v>
      </c>
      <c r="R801" s="53" t="s">
        <v>93</v>
      </c>
      <c r="S801" s="53"/>
      <c r="T801" s="59">
        <v>2</v>
      </c>
      <c r="U801" s="59">
        <v>2</v>
      </c>
      <c r="V801" s="53">
        <v>5.6</v>
      </c>
      <c r="W801" s="53"/>
      <c r="X801" s="53"/>
      <c r="Y801" s="9">
        <f t="shared" si="12"/>
        <v>574.96156661786233</v>
      </c>
      <c r="Z801" s="60" t="s">
        <v>73</v>
      </c>
      <c r="AA801" s="58" t="s">
        <v>316</v>
      </c>
      <c r="AB801" s="58" t="s">
        <v>75</v>
      </c>
      <c r="AC801" s="61" t="s">
        <v>221</v>
      </c>
      <c r="AD801" s="53" t="s">
        <v>91</v>
      </c>
      <c r="AE801" s="56">
        <v>75.532201173333306</v>
      </c>
      <c r="AF801" s="62"/>
      <c r="AG801" s="63"/>
      <c r="AH801" s="61"/>
      <c r="AO801" s="64" t="s">
        <v>78</v>
      </c>
      <c r="AP801" s="65">
        <v>5.6</v>
      </c>
      <c r="AQ801" s="65">
        <v>5.6</v>
      </c>
      <c r="AR801" s="65">
        <v>5.6</v>
      </c>
      <c r="AS801" s="65"/>
      <c r="AT801" s="65"/>
      <c r="AU801" s="65"/>
      <c r="AV801" s="65"/>
      <c r="AW801" s="65"/>
      <c r="AX801" s="65"/>
      <c r="AY801" s="65"/>
      <c r="AZ801" s="65"/>
      <c r="BA801" s="65"/>
      <c r="BB801" s="65"/>
      <c r="BC801" s="65"/>
      <c r="BD801" s="65"/>
      <c r="BE801" s="65"/>
      <c r="BF801" s="65"/>
      <c r="BG801" s="65"/>
      <c r="BH801" s="65"/>
      <c r="BI801" s="65"/>
      <c r="BJ801" s="65"/>
      <c r="BK801" s="65"/>
      <c r="BL801" s="65"/>
      <c r="BM801" s="65"/>
      <c r="BN801" s="65"/>
      <c r="BO801" s="65"/>
    </row>
    <row r="802" spans="1:67" s="58" customFormat="1" x14ac:dyDescent="0.2">
      <c r="A802" s="49"/>
      <c r="B802" s="50"/>
      <c r="C802" s="51"/>
      <c r="D802" s="49"/>
      <c r="E802" s="49"/>
      <c r="F802" s="52"/>
      <c r="G802" s="53"/>
      <c r="H802" s="54"/>
      <c r="I802" s="55"/>
      <c r="J802" s="53"/>
      <c r="K802" s="53"/>
      <c r="L802" s="53"/>
      <c r="M802" s="56"/>
      <c r="N802" s="53"/>
      <c r="O802" s="57"/>
      <c r="P802" s="57"/>
      <c r="Q802" s="53"/>
      <c r="R802" s="53"/>
      <c r="S802" s="53"/>
      <c r="T802" s="59"/>
      <c r="U802" s="59"/>
      <c r="V802" s="53"/>
      <c r="W802" s="53"/>
      <c r="X802" s="53"/>
      <c r="Y802" s="9" t="e">
        <f t="shared" si="12"/>
        <v>#DIV/0!</v>
      </c>
      <c r="Z802" s="60"/>
      <c r="AC802" s="61"/>
      <c r="AD802" s="53"/>
      <c r="AE802" s="56"/>
      <c r="AF802" s="62"/>
      <c r="AG802" s="63"/>
      <c r="AH802" s="61"/>
      <c r="AO802" s="64" t="s">
        <v>79</v>
      </c>
      <c r="AP802" s="65">
        <v>3.6</v>
      </c>
      <c r="AQ802" s="65">
        <v>3.5</v>
      </c>
      <c r="AR802" s="65">
        <v>3.7</v>
      </c>
      <c r="AS802" s="65"/>
      <c r="AT802" s="65"/>
      <c r="AU802" s="65"/>
      <c r="AV802" s="65"/>
      <c r="AW802" s="65"/>
      <c r="AX802" s="65"/>
      <c r="AY802" s="65"/>
      <c r="AZ802" s="65"/>
      <c r="BA802" s="65"/>
      <c r="BB802" s="65"/>
      <c r="BC802" s="65"/>
      <c r="BD802" s="65"/>
      <c r="BE802" s="65"/>
      <c r="BF802" s="65"/>
      <c r="BG802" s="65"/>
      <c r="BH802" s="65"/>
      <c r="BI802" s="65"/>
      <c r="BJ802" s="65"/>
      <c r="BK802" s="65"/>
      <c r="BL802" s="65"/>
      <c r="BM802" s="65"/>
      <c r="BN802" s="65"/>
      <c r="BO802" s="65"/>
    </row>
    <row r="803" spans="1:67" s="58" customFormat="1" x14ac:dyDescent="0.2">
      <c r="A803" s="49" t="s">
        <v>67</v>
      </c>
      <c r="B803" s="50">
        <v>43257</v>
      </c>
      <c r="C803" s="51">
        <v>0.47916666666666702</v>
      </c>
      <c r="D803" s="49" t="s">
        <v>144</v>
      </c>
      <c r="E803" s="49"/>
      <c r="F803" s="52">
        <v>62</v>
      </c>
      <c r="G803" s="53">
        <v>2</v>
      </c>
      <c r="H803" s="54">
        <v>3.2258064516129031E-2</v>
      </c>
      <c r="I803" s="55">
        <v>6.83E-2</v>
      </c>
      <c r="J803" s="53">
        <v>314.15899999999999</v>
      </c>
      <c r="K803" s="53">
        <v>0.5464</v>
      </c>
      <c r="L803" s="53">
        <v>8</v>
      </c>
      <c r="M803" s="56">
        <v>287.48078330893117</v>
      </c>
      <c r="N803" s="53">
        <v>1419</v>
      </c>
      <c r="O803" s="57" t="s">
        <v>94</v>
      </c>
      <c r="P803" s="57" t="s">
        <v>82</v>
      </c>
      <c r="Q803" s="53" t="s">
        <v>95</v>
      </c>
      <c r="R803" s="53" t="s">
        <v>96</v>
      </c>
      <c r="S803" s="53"/>
      <c r="T803" s="59">
        <v>442</v>
      </c>
      <c r="U803" s="59">
        <v>892</v>
      </c>
      <c r="V803" s="53">
        <v>0.8</v>
      </c>
      <c r="W803" s="53">
        <v>0.8</v>
      </c>
      <c r="X803" s="53">
        <v>0.8</v>
      </c>
      <c r="Y803" s="9">
        <f t="shared" si="12"/>
        <v>127066.50622254757</v>
      </c>
      <c r="Z803" s="60" t="s">
        <v>97</v>
      </c>
      <c r="AA803" s="58" t="s">
        <v>316</v>
      </c>
      <c r="AB803" s="58" t="s">
        <v>75</v>
      </c>
      <c r="AC803" s="61" t="s">
        <v>221</v>
      </c>
      <c r="AD803" s="53" t="s">
        <v>85</v>
      </c>
      <c r="AE803" s="56">
        <v>0.18</v>
      </c>
      <c r="AF803" s="56">
        <v>0.18</v>
      </c>
      <c r="AG803" s="56">
        <v>0.18</v>
      </c>
      <c r="AH803" s="56">
        <v>0.18</v>
      </c>
      <c r="AI803" s="56">
        <v>0.18</v>
      </c>
      <c r="AJ803" s="56">
        <v>0.18</v>
      </c>
      <c r="AK803" s="56">
        <v>0.18</v>
      </c>
      <c r="AL803" s="56">
        <v>0.18</v>
      </c>
      <c r="AM803" s="56">
        <v>0.18</v>
      </c>
      <c r="AN803" s="56">
        <v>0.18</v>
      </c>
      <c r="AO803" s="66" t="s">
        <v>78</v>
      </c>
      <c r="AP803" s="65">
        <v>0.75200000000000033</v>
      </c>
      <c r="AQ803" s="65">
        <v>0.7</v>
      </c>
      <c r="AR803" s="65">
        <v>0.7</v>
      </c>
      <c r="AS803" s="65">
        <v>0.7</v>
      </c>
      <c r="AT803" s="65">
        <v>0.7</v>
      </c>
      <c r="AU803" s="65">
        <v>0.7</v>
      </c>
      <c r="AV803" s="65">
        <v>0.7</v>
      </c>
      <c r="AW803" s="65">
        <v>0.7</v>
      </c>
      <c r="AX803" s="65">
        <v>0.7</v>
      </c>
      <c r="AY803" s="65">
        <v>0.7</v>
      </c>
      <c r="AZ803" s="65">
        <v>0.7</v>
      </c>
      <c r="BA803" s="65">
        <v>0.7</v>
      </c>
      <c r="BB803" s="65">
        <v>0.7</v>
      </c>
      <c r="BC803" s="65">
        <v>0.8</v>
      </c>
      <c r="BD803" s="65">
        <v>0.8</v>
      </c>
      <c r="BE803" s="65">
        <v>0.8</v>
      </c>
      <c r="BF803" s="65">
        <v>0.8</v>
      </c>
      <c r="BG803" s="65">
        <v>0.8</v>
      </c>
      <c r="BH803" s="65">
        <v>0.8</v>
      </c>
      <c r="BI803" s="65">
        <v>0.8</v>
      </c>
      <c r="BJ803" s="65">
        <v>0.8</v>
      </c>
      <c r="BK803" s="65">
        <v>0.8</v>
      </c>
      <c r="BL803" s="65">
        <v>0.8</v>
      </c>
      <c r="BM803" s="65">
        <v>0.8</v>
      </c>
      <c r="BN803" s="65">
        <v>0.8</v>
      </c>
      <c r="BO803" s="65">
        <v>0.8</v>
      </c>
    </row>
    <row r="804" spans="1:67" s="58" customFormat="1" x14ac:dyDescent="0.2">
      <c r="A804" s="49" t="s">
        <v>67</v>
      </c>
      <c r="B804" s="50">
        <v>43256</v>
      </c>
      <c r="C804" s="51">
        <v>0.48958333333333298</v>
      </c>
      <c r="D804" s="49" t="s">
        <v>236</v>
      </c>
      <c r="E804" s="49">
        <v>3</v>
      </c>
      <c r="F804" s="52">
        <v>52</v>
      </c>
      <c r="G804" s="53">
        <v>2</v>
      </c>
      <c r="H804" s="54">
        <v>3.8461538461538464E-2</v>
      </c>
      <c r="I804" s="55">
        <v>6.83E-2</v>
      </c>
      <c r="J804" s="53">
        <v>314.15899999999999</v>
      </c>
      <c r="K804" s="53">
        <v>0.75129999999999997</v>
      </c>
      <c r="L804" s="53">
        <v>11</v>
      </c>
      <c r="M804" s="56">
        <v>209.07693331558633</v>
      </c>
      <c r="N804" s="53">
        <v>145</v>
      </c>
      <c r="O804" s="57" t="s">
        <v>69</v>
      </c>
      <c r="P804" s="58" t="s">
        <v>70</v>
      </c>
      <c r="Q804" s="53" t="s">
        <v>71</v>
      </c>
      <c r="R804" s="53" t="s">
        <v>72</v>
      </c>
      <c r="S804" s="53"/>
      <c r="T804" s="59">
        <v>1</v>
      </c>
      <c r="U804" s="59">
        <v>1</v>
      </c>
      <c r="V804" s="53">
        <v>20.399999999999999</v>
      </c>
      <c r="W804" s="53"/>
      <c r="X804" s="53"/>
      <c r="Y804" s="9">
        <f t="shared" si="12"/>
        <v>209.07693331558633</v>
      </c>
      <c r="Z804" s="60" t="s">
        <v>73</v>
      </c>
      <c r="AA804" s="58" t="s">
        <v>317</v>
      </c>
      <c r="AB804" s="58" t="s">
        <v>75</v>
      </c>
      <c r="AC804" s="61" t="s">
        <v>221</v>
      </c>
      <c r="AD804" s="53" t="s">
        <v>77</v>
      </c>
      <c r="AE804" s="56">
        <v>770.66344289999984</v>
      </c>
      <c r="AF804" s="62"/>
      <c r="AG804" s="63"/>
      <c r="AH804" s="61"/>
      <c r="AO804" s="64" t="s">
        <v>78</v>
      </c>
      <c r="AP804" s="65">
        <v>20.399999999999999</v>
      </c>
      <c r="AQ804" s="65">
        <v>20.399999999999999</v>
      </c>
      <c r="AR804" s="65"/>
      <c r="AS804" s="65"/>
      <c r="AT804" s="65"/>
      <c r="AU804" s="65"/>
      <c r="AV804" s="65"/>
      <c r="AW804" s="65"/>
      <c r="AX804" s="65"/>
      <c r="AY804" s="65"/>
      <c r="AZ804" s="65"/>
      <c r="BA804" s="65"/>
      <c r="BB804" s="65"/>
      <c r="BC804" s="65"/>
      <c r="BD804" s="65"/>
      <c r="BE804" s="65"/>
      <c r="BF804" s="65"/>
      <c r="BG804" s="65"/>
      <c r="BH804" s="65"/>
      <c r="BI804" s="65"/>
      <c r="BJ804" s="65"/>
      <c r="BK804" s="65"/>
      <c r="BL804" s="65"/>
      <c r="BM804" s="65"/>
      <c r="BN804" s="65"/>
      <c r="BO804" s="65"/>
    </row>
    <row r="805" spans="1:67" s="58" customFormat="1" x14ac:dyDescent="0.2">
      <c r="A805" s="49"/>
      <c r="B805" s="50"/>
      <c r="C805" s="51"/>
      <c r="D805" s="49"/>
      <c r="E805" s="49"/>
      <c r="F805" s="52"/>
      <c r="G805" s="53"/>
      <c r="H805" s="54"/>
      <c r="I805" s="55"/>
      <c r="J805" s="53"/>
      <c r="K805" s="53"/>
      <c r="L805" s="53"/>
      <c r="M805" s="56"/>
      <c r="N805" s="53"/>
      <c r="O805" s="57"/>
      <c r="Q805" s="53"/>
      <c r="R805" s="53"/>
      <c r="S805" s="53"/>
      <c r="T805" s="59"/>
      <c r="U805" s="59"/>
      <c r="V805" s="53"/>
      <c r="W805" s="53"/>
      <c r="X805" s="53"/>
      <c r="Y805" s="9" t="e">
        <f t="shared" si="12"/>
        <v>#DIV/0!</v>
      </c>
      <c r="Z805" s="60"/>
      <c r="AC805" s="61"/>
      <c r="AD805" s="53"/>
      <c r="AE805" s="56"/>
      <c r="AF805" s="62"/>
      <c r="AG805" s="63"/>
      <c r="AH805" s="61"/>
      <c r="AO805" s="64" t="s">
        <v>79</v>
      </c>
      <c r="AP805" s="65">
        <v>13</v>
      </c>
      <c r="AQ805" s="65">
        <v>13</v>
      </c>
      <c r="AR805" s="65"/>
      <c r="AS805" s="65"/>
      <c r="AT805" s="65"/>
      <c r="AU805" s="65"/>
      <c r="AV805" s="65"/>
      <c r="AW805" s="65"/>
      <c r="AX805" s="65"/>
      <c r="AY805" s="65"/>
      <c r="AZ805" s="65"/>
      <c r="BA805" s="65"/>
      <c r="BB805" s="65"/>
      <c r="BC805" s="65"/>
      <c r="BD805" s="65"/>
      <c r="BE805" s="65"/>
      <c r="BF805" s="65"/>
      <c r="BG805" s="65"/>
      <c r="BH805" s="65"/>
      <c r="BI805" s="65"/>
      <c r="BJ805" s="65"/>
      <c r="BK805" s="65"/>
      <c r="BL805" s="65"/>
      <c r="BM805" s="65"/>
      <c r="BN805" s="65"/>
      <c r="BO805" s="65"/>
    </row>
    <row r="806" spans="1:67" s="58" customFormat="1" x14ac:dyDescent="0.2">
      <c r="A806" s="49"/>
      <c r="B806" s="50"/>
      <c r="C806" s="51"/>
      <c r="D806" s="49"/>
      <c r="E806" s="49"/>
      <c r="F806" s="52"/>
      <c r="G806" s="53"/>
      <c r="H806" s="54"/>
      <c r="I806" s="55"/>
      <c r="J806" s="53"/>
      <c r="K806" s="53"/>
      <c r="L806" s="53"/>
      <c r="M806" s="56"/>
      <c r="N806" s="53"/>
      <c r="O806" s="57"/>
      <c r="Q806" s="53"/>
      <c r="R806" s="53"/>
      <c r="S806" s="53"/>
      <c r="T806" s="59"/>
      <c r="U806" s="59"/>
      <c r="V806" s="53"/>
      <c r="W806" s="53"/>
      <c r="X806" s="53"/>
      <c r="Y806" s="9" t="e">
        <f t="shared" si="12"/>
        <v>#DIV/0!</v>
      </c>
      <c r="Z806" s="60"/>
      <c r="AC806" s="61"/>
      <c r="AD806" s="53"/>
      <c r="AE806" s="56"/>
      <c r="AF806" s="62"/>
      <c r="AG806" s="63"/>
      <c r="AH806" s="61"/>
      <c r="AO806" s="64" t="s">
        <v>80</v>
      </c>
      <c r="AP806" s="65">
        <v>3.7</v>
      </c>
      <c r="AQ806" s="65">
        <v>3.7</v>
      </c>
      <c r="AR806" s="65"/>
      <c r="AS806" s="65"/>
      <c r="AT806" s="65"/>
      <c r="AU806" s="65"/>
      <c r="AV806" s="65"/>
      <c r="AW806" s="65"/>
      <c r="AX806" s="65"/>
      <c r="AY806" s="65"/>
      <c r="AZ806" s="65"/>
      <c r="BA806" s="65"/>
      <c r="BB806" s="65"/>
      <c r="BC806" s="65"/>
      <c r="BD806" s="65"/>
      <c r="BE806" s="65"/>
      <c r="BF806" s="65"/>
      <c r="BG806" s="65"/>
      <c r="BH806" s="65"/>
      <c r="BI806" s="65"/>
      <c r="BJ806" s="65"/>
      <c r="BK806" s="65"/>
      <c r="BL806" s="65"/>
      <c r="BM806" s="65"/>
      <c r="BN806" s="65"/>
      <c r="BO806" s="65"/>
    </row>
    <row r="807" spans="1:67" s="58" customFormat="1" x14ac:dyDescent="0.2">
      <c r="A807" s="49" t="s">
        <v>67</v>
      </c>
      <c r="B807" s="50">
        <v>43256</v>
      </c>
      <c r="C807" s="51">
        <v>0.48958333333333298</v>
      </c>
      <c r="D807" s="49" t="s">
        <v>236</v>
      </c>
      <c r="E807" s="49">
        <v>3</v>
      </c>
      <c r="F807" s="52">
        <v>52</v>
      </c>
      <c r="G807" s="53">
        <v>2</v>
      </c>
      <c r="H807" s="54">
        <v>3.8461538461538464E-2</v>
      </c>
      <c r="I807" s="55">
        <v>6.83E-2</v>
      </c>
      <c r="J807" s="53">
        <v>314.15899999999999</v>
      </c>
      <c r="K807" s="53">
        <v>0.75129999999999997</v>
      </c>
      <c r="L807" s="53">
        <v>11</v>
      </c>
      <c r="M807" s="56">
        <v>209.07693331558633</v>
      </c>
      <c r="N807" s="53">
        <v>190</v>
      </c>
      <c r="O807" s="57" t="s">
        <v>296</v>
      </c>
      <c r="P807" s="58" t="s">
        <v>70</v>
      </c>
      <c r="Q807" s="53" t="s">
        <v>103</v>
      </c>
      <c r="R807" s="53" t="s">
        <v>84</v>
      </c>
      <c r="S807" s="53"/>
      <c r="T807" s="59">
        <v>1</v>
      </c>
      <c r="U807" s="59">
        <v>1</v>
      </c>
      <c r="V807" s="53">
        <v>5.6</v>
      </c>
      <c r="W807" s="53"/>
      <c r="X807" s="53"/>
      <c r="Y807" s="9">
        <f t="shared" si="12"/>
        <v>209.07693331558633</v>
      </c>
      <c r="Z807" s="60" t="s">
        <v>73</v>
      </c>
      <c r="AA807" s="58" t="s">
        <v>317</v>
      </c>
      <c r="AB807" s="58" t="s">
        <v>75</v>
      </c>
      <c r="AC807" s="61" t="s">
        <v>221</v>
      </c>
      <c r="AD807" s="53" t="s">
        <v>104</v>
      </c>
      <c r="AE807" s="56">
        <v>91.131242719999989</v>
      </c>
      <c r="AF807" s="62"/>
      <c r="AG807" s="63"/>
      <c r="AH807" s="61"/>
      <c r="AO807" s="64" t="s">
        <v>78</v>
      </c>
      <c r="AP807" s="65">
        <v>3.7</v>
      </c>
      <c r="AQ807" s="72">
        <v>3.7</v>
      </c>
      <c r="AR807" s="65"/>
      <c r="AS807" s="65"/>
      <c r="AT807" s="65"/>
      <c r="AU807" s="65"/>
      <c r="AV807" s="65"/>
      <c r="AW807" s="65"/>
      <c r="AX807" s="65"/>
      <c r="AY807" s="65"/>
      <c r="AZ807" s="65"/>
      <c r="BA807" s="65"/>
      <c r="BB807" s="65"/>
      <c r="BC807" s="65"/>
      <c r="BD807" s="65"/>
      <c r="BE807" s="65"/>
      <c r="BF807" s="65"/>
      <c r="BG807" s="65"/>
      <c r="BH807" s="65"/>
      <c r="BI807" s="65"/>
      <c r="BJ807" s="65"/>
      <c r="BK807" s="65"/>
      <c r="BL807" s="65"/>
      <c r="BM807" s="65"/>
      <c r="BN807" s="65"/>
      <c r="BO807" s="65"/>
    </row>
    <row r="808" spans="1:67" s="58" customFormat="1" x14ac:dyDescent="0.2">
      <c r="A808" s="49"/>
      <c r="B808" s="50"/>
      <c r="C808" s="51"/>
      <c r="D808" s="49"/>
      <c r="E808" s="49"/>
      <c r="F808" s="52"/>
      <c r="G808" s="53"/>
      <c r="H808" s="54"/>
      <c r="I808" s="55"/>
      <c r="J808" s="53"/>
      <c r="K808" s="53"/>
      <c r="L808" s="53"/>
      <c r="M808" s="56"/>
      <c r="N808" s="53"/>
      <c r="O808" s="57"/>
      <c r="Q808" s="53"/>
      <c r="R808" s="53"/>
      <c r="S808" s="53"/>
      <c r="T808" s="59"/>
      <c r="U808" s="59"/>
      <c r="V808" s="53"/>
      <c r="W808" s="53"/>
      <c r="X808" s="53"/>
      <c r="Y808" s="9" t="e">
        <f t="shared" si="12"/>
        <v>#DIV/0!</v>
      </c>
      <c r="Z808" s="60"/>
      <c r="AC808" s="61"/>
      <c r="AD808" s="53"/>
      <c r="AE808" s="56"/>
      <c r="AF808" s="62"/>
      <c r="AG808" s="63"/>
      <c r="AH808" s="61"/>
      <c r="AO808" s="64" t="s">
        <v>79</v>
      </c>
      <c r="AP808" s="65">
        <v>5.6</v>
      </c>
      <c r="AQ808" s="72">
        <v>5.6</v>
      </c>
      <c r="AR808" s="65"/>
      <c r="AS808" s="65"/>
      <c r="AT808" s="65"/>
      <c r="AU808" s="65"/>
      <c r="AV808" s="65"/>
      <c r="AW808" s="65"/>
      <c r="AX808" s="65"/>
      <c r="AY808" s="65"/>
      <c r="AZ808" s="65"/>
      <c r="BA808" s="65"/>
      <c r="BB808" s="65"/>
      <c r="BC808" s="65"/>
      <c r="BD808" s="65"/>
      <c r="BE808" s="65"/>
      <c r="BF808" s="65"/>
      <c r="BG808" s="65"/>
      <c r="BH808" s="65"/>
      <c r="BI808" s="65"/>
      <c r="BJ808" s="65"/>
      <c r="BK808" s="65"/>
      <c r="BL808" s="65"/>
      <c r="BM808" s="65"/>
      <c r="BN808" s="65"/>
      <c r="BO808" s="65"/>
    </row>
    <row r="809" spans="1:67" s="58" customFormat="1" x14ac:dyDescent="0.2">
      <c r="A809" s="49" t="s">
        <v>67</v>
      </c>
      <c r="B809" s="50">
        <v>43256</v>
      </c>
      <c r="C809" s="51">
        <v>0.48958333333333298</v>
      </c>
      <c r="D809" s="49" t="s">
        <v>236</v>
      </c>
      <c r="E809" s="49">
        <v>3</v>
      </c>
      <c r="F809" s="52">
        <v>52</v>
      </c>
      <c r="G809" s="53">
        <v>2</v>
      </c>
      <c r="H809" s="54">
        <v>3.8461538461538464E-2</v>
      </c>
      <c r="I809" s="55">
        <v>6.83E-2</v>
      </c>
      <c r="J809" s="53">
        <v>314.15899999999999</v>
      </c>
      <c r="K809" s="53">
        <v>0.75129999999999997</v>
      </c>
      <c r="L809" s="53">
        <v>11</v>
      </c>
      <c r="M809" s="56">
        <v>209.07693331558633</v>
      </c>
      <c r="N809" s="53">
        <v>1037</v>
      </c>
      <c r="O809" s="57" t="s">
        <v>86</v>
      </c>
      <c r="P809" s="57" t="s">
        <v>82</v>
      </c>
      <c r="Q809" s="53" t="s">
        <v>87</v>
      </c>
      <c r="R809" s="53" t="s">
        <v>84</v>
      </c>
      <c r="S809" s="53"/>
      <c r="T809" s="59">
        <v>18</v>
      </c>
      <c r="U809" s="59">
        <v>18</v>
      </c>
      <c r="V809" s="53">
        <v>2.8</v>
      </c>
      <c r="W809" s="53"/>
      <c r="X809" s="53"/>
      <c r="Y809" s="9">
        <f t="shared" si="12"/>
        <v>3763.3847996805539</v>
      </c>
      <c r="Z809" s="60" t="s">
        <v>73</v>
      </c>
      <c r="AA809" s="58" t="s">
        <v>317</v>
      </c>
      <c r="AB809" s="58" t="s">
        <v>75</v>
      </c>
      <c r="AC809" s="61" t="s">
        <v>221</v>
      </c>
      <c r="AD809" s="53" t="s">
        <v>85</v>
      </c>
      <c r="AE809" s="56">
        <v>6.3706209216666645</v>
      </c>
      <c r="AF809" s="62"/>
      <c r="AG809" s="63"/>
      <c r="AH809" s="61"/>
      <c r="AO809" s="64" t="s">
        <v>78</v>
      </c>
      <c r="AP809" s="65">
        <v>2.2600000000000002</v>
      </c>
      <c r="AQ809" s="65">
        <v>2.8</v>
      </c>
      <c r="AR809" s="65">
        <v>2.8</v>
      </c>
      <c r="AS809" s="65">
        <v>1.9</v>
      </c>
      <c r="AT809" s="65">
        <v>1.9</v>
      </c>
      <c r="AU809" s="65">
        <v>1.9</v>
      </c>
      <c r="AV809" s="65"/>
      <c r="AW809" s="65"/>
      <c r="AX809" s="65"/>
      <c r="AY809" s="65"/>
      <c r="AZ809" s="65"/>
      <c r="BA809" s="65"/>
      <c r="BB809" s="65"/>
      <c r="BC809" s="65"/>
      <c r="BD809" s="65"/>
      <c r="BE809" s="65"/>
      <c r="BF809" s="65"/>
      <c r="BG809" s="65"/>
      <c r="BH809" s="65"/>
      <c r="BI809" s="65"/>
      <c r="BJ809" s="65"/>
      <c r="BK809" s="65"/>
      <c r="BL809" s="65"/>
      <c r="BM809" s="65"/>
      <c r="BN809" s="65"/>
      <c r="BO809" s="65"/>
    </row>
    <row r="810" spans="1:67" s="58" customFormat="1" x14ac:dyDescent="0.2">
      <c r="A810" s="49" t="s">
        <v>67</v>
      </c>
      <c r="B810" s="50">
        <v>43256</v>
      </c>
      <c r="C810" s="51">
        <v>0.48958333333333298</v>
      </c>
      <c r="D810" s="49" t="s">
        <v>236</v>
      </c>
      <c r="E810" s="49">
        <v>3</v>
      </c>
      <c r="F810" s="52">
        <v>52</v>
      </c>
      <c r="G810" s="53">
        <v>2</v>
      </c>
      <c r="H810" s="54">
        <v>3.8461538461538464E-2</v>
      </c>
      <c r="I810" s="55">
        <v>6.83E-2</v>
      </c>
      <c r="J810" s="53">
        <v>314.15899999999999</v>
      </c>
      <c r="K810" s="53">
        <v>0.75129999999999997</v>
      </c>
      <c r="L810" s="53">
        <v>11</v>
      </c>
      <c r="M810" s="56">
        <v>209.07693331558633</v>
      </c>
      <c r="N810" s="53">
        <v>1135</v>
      </c>
      <c r="O810" s="58" t="s">
        <v>282</v>
      </c>
      <c r="P810" s="57" t="s">
        <v>82</v>
      </c>
      <c r="Q810" s="53" t="s">
        <v>127</v>
      </c>
      <c r="R810" s="53" t="s">
        <v>283</v>
      </c>
      <c r="S810" s="53"/>
      <c r="T810" s="59">
        <v>2</v>
      </c>
      <c r="U810" s="59">
        <v>2</v>
      </c>
      <c r="V810" s="53">
        <v>9.3000000000000007</v>
      </c>
      <c r="W810" s="53"/>
      <c r="X810" s="53"/>
      <c r="Y810" s="9">
        <f t="shared" si="12"/>
        <v>418.15386663117266</v>
      </c>
      <c r="Z810" s="60" t="s">
        <v>73</v>
      </c>
      <c r="AA810" s="58" t="s">
        <v>317</v>
      </c>
      <c r="AB810" s="58" t="s">
        <v>75</v>
      </c>
      <c r="AC810" s="61" t="s">
        <v>221</v>
      </c>
      <c r="AD810" s="53" t="s">
        <v>129</v>
      </c>
      <c r="AE810" s="56">
        <v>17.578766844999997</v>
      </c>
      <c r="AF810" s="62"/>
      <c r="AG810" s="63"/>
      <c r="AH810" s="61"/>
      <c r="AO810" s="64" t="s">
        <v>78</v>
      </c>
      <c r="AP810" s="65">
        <v>9.3000000000000007</v>
      </c>
      <c r="AQ810" s="65">
        <v>9.3000000000000007</v>
      </c>
      <c r="AR810" s="65">
        <v>9.3000000000000007</v>
      </c>
      <c r="AS810" s="65"/>
      <c r="AT810" s="65"/>
      <c r="AU810" s="65"/>
      <c r="AV810" s="65"/>
      <c r="AW810" s="65"/>
      <c r="AX810" s="65"/>
      <c r="AY810" s="65"/>
      <c r="AZ810" s="65"/>
      <c r="BA810" s="65"/>
      <c r="BB810" s="65"/>
      <c r="BC810" s="65"/>
      <c r="BD810" s="65"/>
      <c r="BE810" s="65"/>
      <c r="BF810" s="65"/>
      <c r="BG810" s="65"/>
      <c r="BH810" s="65"/>
      <c r="BI810" s="65"/>
      <c r="BJ810" s="65"/>
      <c r="BK810" s="65"/>
      <c r="BL810" s="65"/>
      <c r="BM810" s="65"/>
      <c r="BN810" s="65"/>
      <c r="BO810" s="65"/>
    </row>
    <row r="811" spans="1:67" s="58" customFormat="1" x14ac:dyDescent="0.2">
      <c r="A811" s="49"/>
      <c r="B811" s="50"/>
      <c r="C811" s="51"/>
      <c r="D811" s="49"/>
      <c r="E811" s="49"/>
      <c r="F811" s="52"/>
      <c r="G811" s="53"/>
      <c r="H811" s="54"/>
      <c r="I811" s="55"/>
      <c r="J811" s="53"/>
      <c r="K811" s="53"/>
      <c r="L811" s="53"/>
      <c r="M811" s="56"/>
      <c r="N811" s="53"/>
      <c r="P811" s="57"/>
      <c r="Q811" s="53"/>
      <c r="R811" s="53"/>
      <c r="S811" s="53"/>
      <c r="T811" s="59"/>
      <c r="U811" s="59"/>
      <c r="V811" s="53"/>
      <c r="W811" s="53"/>
      <c r="X811" s="53"/>
      <c r="Y811" s="9" t="e">
        <f t="shared" si="12"/>
        <v>#DIV/0!</v>
      </c>
      <c r="Z811" s="60"/>
      <c r="AC811" s="61"/>
      <c r="AD811" s="53"/>
      <c r="AE811" s="56"/>
      <c r="AF811" s="62"/>
      <c r="AG811" s="63"/>
      <c r="AH811" s="61"/>
      <c r="AO811" s="64" t="s">
        <v>79</v>
      </c>
      <c r="AP811" s="65">
        <v>1.9</v>
      </c>
      <c r="AQ811" s="65">
        <v>1.9</v>
      </c>
      <c r="AR811" s="65">
        <v>1.9</v>
      </c>
      <c r="AS811" s="65"/>
      <c r="AT811" s="65"/>
      <c r="AU811" s="65"/>
      <c r="AV811" s="65"/>
      <c r="AW811" s="65"/>
      <c r="AX811" s="65"/>
      <c r="AY811" s="65"/>
      <c r="AZ811" s="65"/>
      <c r="BA811" s="65"/>
      <c r="BB811" s="65"/>
      <c r="BC811" s="65"/>
      <c r="BD811" s="65"/>
      <c r="BE811" s="65"/>
      <c r="BF811" s="65"/>
      <c r="BG811" s="65"/>
      <c r="BH811" s="65"/>
      <c r="BI811" s="65"/>
      <c r="BJ811" s="65"/>
      <c r="BK811" s="65"/>
      <c r="BL811" s="65"/>
      <c r="BM811" s="65"/>
      <c r="BN811" s="65"/>
      <c r="BO811" s="65"/>
    </row>
    <row r="812" spans="1:67" s="58" customFormat="1" x14ac:dyDescent="0.2">
      <c r="A812" s="49" t="s">
        <v>67</v>
      </c>
      <c r="B812" s="50">
        <v>43256</v>
      </c>
      <c r="C812" s="51">
        <v>0.48958333333333298</v>
      </c>
      <c r="D812" s="49" t="s">
        <v>236</v>
      </c>
      <c r="E812" s="49">
        <v>3</v>
      </c>
      <c r="F812" s="52">
        <v>52</v>
      </c>
      <c r="G812" s="53">
        <v>2</v>
      </c>
      <c r="H812" s="54">
        <v>3.8461538461538464E-2</v>
      </c>
      <c r="I812" s="55">
        <v>6.83E-2</v>
      </c>
      <c r="J812" s="53">
        <v>314.15899999999999</v>
      </c>
      <c r="K812" s="53">
        <v>0.75129999999999997</v>
      </c>
      <c r="L812" s="53">
        <v>11</v>
      </c>
      <c r="M812" s="56">
        <v>209.07693331558633</v>
      </c>
      <c r="N812" s="53">
        <v>1419</v>
      </c>
      <c r="O812" s="57" t="s">
        <v>94</v>
      </c>
      <c r="P812" s="57" t="s">
        <v>82</v>
      </c>
      <c r="Q812" s="53" t="s">
        <v>95</v>
      </c>
      <c r="R812" s="53" t="s">
        <v>96</v>
      </c>
      <c r="S812" s="53"/>
      <c r="T812" s="59">
        <v>380</v>
      </c>
      <c r="U812" s="59">
        <v>766</v>
      </c>
      <c r="V812" s="53">
        <v>0.8</v>
      </c>
      <c r="W812" s="53">
        <v>0.8</v>
      </c>
      <c r="X812" s="53">
        <v>0.8</v>
      </c>
      <c r="Y812" s="9">
        <f t="shared" si="12"/>
        <v>79449.234659922804</v>
      </c>
      <c r="Z812" s="60" t="s">
        <v>97</v>
      </c>
      <c r="AA812" s="58" t="s">
        <v>317</v>
      </c>
      <c r="AB812" s="58" t="s">
        <v>75</v>
      </c>
      <c r="AC812" s="61" t="s">
        <v>221</v>
      </c>
      <c r="AD812" s="53" t="s">
        <v>85</v>
      </c>
      <c r="AE812" s="56">
        <v>0.18</v>
      </c>
      <c r="AF812" s="56">
        <v>0.18</v>
      </c>
      <c r="AG812" s="56">
        <v>0.18</v>
      </c>
      <c r="AH812" s="56">
        <v>0.18</v>
      </c>
      <c r="AI812" s="56">
        <v>0.18</v>
      </c>
      <c r="AJ812" s="56">
        <v>0.18</v>
      </c>
      <c r="AK812" s="56">
        <v>0.18</v>
      </c>
      <c r="AL812" s="56">
        <v>0.18</v>
      </c>
      <c r="AM812" s="56">
        <v>0.18</v>
      </c>
      <c r="AN812" s="56">
        <v>0.18</v>
      </c>
      <c r="AO812" s="66" t="s">
        <v>78</v>
      </c>
      <c r="AP812" s="65">
        <v>0.75200000000000033</v>
      </c>
      <c r="AQ812" s="65">
        <v>0.7</v>
      </c>
      <c r="AR812" s="65">
        <v>0.7</v>
      </c>
      <c r="AS812" s="65">
        <v>0.7</v>
      </c>
      <c r="AT812" s="65">
        <v>0.7</v>
      </c>
      <c r="AU812" s="65">
        <v>0.7</v>
      </c>
      <c r="AV812" s="65">
        <v>0.7</v>
      </c>
      <c r="AW812" s="65">
        <v>0.7</v>
      </c>
      <c r="AX812" s="65">
        <v>0.7</v>
      </c>
      <c r="AY812" s="65">
        <v>0.7</v>
      </c>
      <c r="AZ812" s="65">
        <v>0.7</v>
      </c>
      <c r="BA812" s="65">
        <v>0.7</v>
      </c>
      <c r="BB812" s="65">
        <v>0.7</v>
      </c>
      <c r="BC812" s="65">
        <v>0.8</v>
      </c>
      <c r="BD812" s="65">
        <v>0.8</v>
      </c>
      <c r="BE812" s="65">
        <v>0.8</v>
      </c>
      <c r="BF812" s="65">
        <v>0.8</v>
      </c>
      <c r="BG812" s="65">
        <v>0.8</v>
      </c>
      <c r="BH812" s="65">
        <v>0.8</v>
      </c>
      <c r="BI812" s="65">
        <v>0.8</v>
      </c>
      <c r="BJ812" s="65">
        <v>0.8</v>
      </c>
      <c r="BK812" s="65">
        <v>0.8</v>
      </c>
      <c r="BL812" s="65">
        <v>0.8</v>
      </c>
      <c r="BM812" s="65">
        <v>0.8</v>
      </c>
      <c r="BN812" s="65">
        <v>0.8</v>
      </c>
      <c r="BO812" s="65">
        <v>0.8</v>
      </c>
    </row>
    <row r="813" spans="1:67" s="58" customFormat="1" x14ac:dyDescent="0.2">
      <c r="A813" s="49" t="s">
        <v>67</v>
      </c>
      <c r="B813" s="50">
        <v>43256</v>
      </c>
      <c r="C813" s="51">
        <v>0.48958333333333298</v>
      </c>
      <c r="D813" s="49" t="s">
        <v>236</v>
      </c>
      <c r="E813" s="49">
        <v>3</v>
      </c>
      <c r="F813" s="52">
        <v>52</v>
      </c>
      <c r="G813" s="53">
        <v>2</v>
      </c>
      <c r="H813" s="54">
        <v>3.8461538461538464E-2</v>
      </c>
      <c r="I813" s="55">
        <v>6.83E-2</v>
      </c>
      <c r="J813" s="53">
        <v>314.15899999999999</v>
      </c>
      <c r="K813" s="53">
        <v>0.75129999999999997</v>
      </c>
      <c r="L813" s="53">
        <v>11</v>
      </c>
      <c r="M813" s="56">
        <v>209.07693331558633</v>
      </c>
      <c r="N813" s="53">
        <v>1471</v>
      </c>
      <c r="O813" s="57" t="s">
        <v>318</v>
      </c>
      <c r="P813" s="57" t="s">
        <v>82</v>
      </c>
      <c r="Q813" s="53" t="s">
        <v>319</v>
      </c>
      <c r="R813" s="53" t="s">
        <v>320</v>
      </c>
      <c r="S813" s="53"/>
      <c r="T813" s="59">
        <v>1</v>
      </c>
      <c r="U813" s="59">
        <v>8</v>
      </c>
      <c r="V813" s="53">
        <v>1.9</v>
      </c>
      <c r="W813" s="53"/>
      <c r="X813" s="53"/>
      <c r="Y813" s="9">
        <f t="shared" si="12"/>
        <v>209.07693331558633</v>
      </c>
      <c r="Z813" s="60" t="s">
        <v>97</v>
      </c>
      <c r="AA813" s="58" t="s">
        <v>317</v>
      </c>
      <c r="AB813" s="58" t="s">
        <v>75</v>
      </c>
      <c r="AC813" s="61" t="s">
        <v>221</v>
      </c>
      <c r="AD813" s="53" t="s">
        <v>321</v>
      </c>
      <c r="AE813" s="56">
        <v>6.8589999999999991</v>
      </c>
      <c r="AF813" s="62"/>
      <c r="AG813" s="63"/>
      <c r="AH813" s="61"/>
      <c r="AO813" s="64" t="s">
        <v>78</v>
      </c>
      <c r="AP813" s="65">
        <v>1.9</v>
      </c>
      <c r="AQ813" s="65">
        <v>1.9</v>
      </c>
      <c r="AR813" s="65">
        <v>1.9</v>
      </c>
      <c r="AS813" s="65">
        <v>1.9</v>
      </c>
      <c r="AT813" s="65">
        <v>1.9</v>
      </c>
      <c r="AU813" s="65">
        <v>1.9</v>
      </c>
      <c r="AV813" s="65"/>
      <c r="AW813" s="65"/>
      <c r="AX813" s="65"/>
      <c r="AY813" s="65"/>
      <c r="AZ813" s="65"/>
      <c r="BA813" s="65"/>
      <c r="BB813" s="65"/>
      <c r="BC813" s="65"/>
      <c r="BD813" s="65"/>
      <c r="BE813" s="65"/>
      <c r="BF813" s="65"/>
      <c r="BG813" s="65"/>
      <c r="BH813" s="65"/>
      <c r="BI813" s="65"/>
      <c r="BJ813" s="65"/>
      <c r="BK813" s="65"/>
      <c r="BL813" s="65"/>
      <c r="BM813" s="65"/>
      <c r="BN813" s="65"/>
      <c r="BO813" s="65"/>
    </row>
    <row r="814" spans="1:67" s="58" customFormat="1" x14ac:dyDescent="0.2">
      <c r="A814" s="49" t="s">
        <v>67</v>
      </c>
      <c r="B814" s="50">
        <v>43256</v>
      </c>
      <c r="C814" s="51">
        <v>0.48958333333333298</v>
      </c>
      <c r="D814" s="49" t="s">
        <v>236</v>
      </c>
      <c r="E814" s="49">
        <v>3</v>
      </c>
      <c r="F814" s="52">
        <v>52</v>
      </c>
      <c r="G814" s="53">
        <v>2</v>
      </c>
      <c r="H814" s="54">
        <v>3.8461538461538464E-2</v>
      </c>
      <c r="I814" s="55">
        <v>6.83E-2</v>
      </c>
      <c r="J814" s="53">
        <v>314.15899999999999</v>
      </c>
      <c r="K814" s="53">
        <v>0.75129999999999997</v>
      </c>
      <c r="L814" s="53">
        <v>11</v>
      </c>
      <c r="M814" s="56">
        <v>209.07693331558633</v>
      </c>
      <c r="N814" s="53">
        <v>1519</v>
      </c>
      <c r="O814" s="58" t="s">
        <v>301</v>
      </c>
      <c r="P814" s="57" t="s">
        <v>82</v>
      </c>
      <c r="Q814" s="53" t="s">
        <v>302</v>
      </c>
      <c r="R814" s="53" t="s">
        <v>84</v>
      </c>
      <c r="S814" s="53"/>
      <c r="T814" s="59">
        <v>1</v>
      </c>
      <c r="U814" s="59">
        <v>7</v>
      </c>
      <c r="V814" s="53">
        <v>0.9</v>
      </c>
      <c r="W814" s="53"/>
      <c r="X814" s="53"/>
      <c r="Y814" s="9">
        <f t="shared" si="12"/>
        <v>209.07693331558633</v>
      </c>
      <c r="Z814" s="60" t="s">
        <v>97</v>
      </c>
      <c r="AA814" s="58" t="s">
        <v>317</v>
      </c>
      <c r="AB814" s="58" t="s">
        <v>75</v>
      </c>
      <c r="AC814" s="61" t="s">
        <v>221</v>
      </c>
      <c r="AD814" s="53" t="s">
        <v>85</v>
      </c>
      <c r="AE814" s="56">
        <v>0.381703185</v>
      </c>
      <c r="AF814" s="62"/>
      <c r="AG814" s="63"/>
      <c r="AH814" s="61"/>
      <c r="AO814" s="64" t="s">
        <v>78</v>
      </c>
      <c r="AP814" s="65">
        <v>0.9</v>
      </c>
      <c r="AQ814" s="65">
        <v>0.9</v>
      </c>
      <c r="AR814" s="65">
        <v>0.9</v>
      </c>
      <c r="AS814" s="65">
        <v>0.9</v>
      </c>
      <c r="AT814" s="65">
        <v>0.9</v>
      </c>
      <c r="AU814" s="65">
        <v>0.9</v>
      </c>
      <c r="AV814" s="65"/>
      <c r="AW814" s="65"/>
      <c r="AX814" s="65"/>
      <c r="AY814" s="65"/>
      <c r="AZ814" s="65"/>
      <c r="BA814" s="65"/>
      <c r="BB814" s="65"/>
      <c r="BC814" s="65"/>
      <c r="BD814" s="65"/>
      <c r="BE814" s="65"/>
      <c r="BF814" s="65"/>
      <c r="BG814" s="65"/>
      <c r="BH814" s="65"/>
      <c r="BI814" s="65"/>
      <c r="BJ814" s="65"/>
      <c r="BK814" s="65"/>
      <c r="BL814" s="65"/>
      <c r="BM814" s="65"/>
      <c r="BN814" s="65"/>
      <c r="BO814" s="65"/>
    </row>
    <row r="815" spans="1:67" s="58" customFormat="1" x14ac:dyDescent="0.2">
      <c r="A815" s="49" t="s">
        <v>67</v>
      </c>
      <c r="B815" s="50">
        <v>43286</v>
      </c>
      <c r="C815" s="51">
        <v>0.53888888888888897</v>
      </c>
      <c r="D815" s="49" t="s">
        <v>170</v>
      </c>
      <c r="E815" s="49">
        <v>3</v>
      </c>
      <c r="F815" s="52">
        <v>61</v>
      </c>
      <c r="G815" s="53">
        <v>2</v>
      </c>
      <c r="H815" s="54">
        <v>3.2786885245901641E-2</v>
      </c>
      <c r="I815" s="55">
        <v>6.83E-2</v>
      </c>
      <c r="J815" s="53">
        <v>314.15899999999999</v>
      </c>
      <c r="K815" s="53">
        <v>0.75129999999999997</v>
      </c>
      <c r="L815" s="53">
        <v>11</v>
      </c>
      <c r="M815" s="56">
        <v>209.07693331558633</v>
      </c>
      <c r="N815" s="53">
        <v>1037</v>
      </c>
      <c r="O815" s="57" t="s">
        <v>86</v>
      </c>
      <c r="P815" s="57" t="s">
        <v>82</v>
      </c>
      <c r="Q815" s="53" t="s">
        <v>87</v>
      </c>
      <c r="R815" s="53" t="s">
        <v>84</v>
      </c>
      <c r="S815" s="53"/>
      <c r="T815" s="59">
        <v>23</v>
      </c>
      <c r="U815" s="59">
        <v>23</v>
      </c>
      <c r="V815" s="53">
        <v>3.7</v>
      </c>
      <c r="W815" s="53"/>
      <c r="X815" s="53"/>
      <c r="Y815" s="9">
        <f t="shared" si="12"/>
        <v>4808.7694662584854</v>
      </c>
      <c r="Z815" s="60" t="s">
        <v>73</v>
      </c>
      <c r="AA815" s="58" t="s">
        <v>322</v>
      </c>
      <c r="AB815" s="58" t="s">
        <v>75</v>
      </c>
      <c r="AC815" s="61" t="s">
        <v>76</v>
      </c>
      <c r="AD815" s="53" t="s">
        <v>85</v>
      </c>
      <c r="AE815" s="56">
        <v>11.494030613333329</v>
      </c>
      <c r="AF815" s="62"/>
      <c r="AG815" s="63"/>
      <c r="AH815" s="61"/>
      <c r="AO815" s="66" t="s">
        <v>78</v>
      </c>
      <c r="AP815" s="65">
        <v>2.8000000000000003</v>
      </c>
      <c r="AQ815" s="65">
        <v>2.8</v>
      </c>
      <c r="AR815" s="65">
        <v>2.8</v>
      </c>
      <c r="AS815" s="65">
        <v>3.7</v>
      </c>
      <c r="AT815" s="65">
        <v>2.8</v>
      </c>
      <c r="AU815" s="65">
        <v>1.9</v>
      </c>
      <c r="AV815" s="65"/>
      <c r="AW815" s="65"/>
      <c r="AX815" s="65"/>
      <c r="AY815" s="65"/>
      <c r="AZ815" s="65"/>
      <c r="BA815" s="65"/>
      <c r="BB815" s="65"/>
      <c r="BC815" s="65"/>
      <c r="BD815" s="65"/>
      <c r="BE815" s="65"/>
      <c r="BF815" s="65"/>
      <c r="BG815" s="65"/>
      <c r="BH815" s="65"/>
      <c r="BI815" s="65"/>
      <c r="BJ815" s="65"/>
      <c r="BK815" s="65"/>
      <c r="BL815" s="65"/>
      <c r="BM815" s="65"/>
      <c r="BN815" s="65"/>
      <c r="BO815" s="65"/>
    </row>
    <row r="816" spans="1:67" s="58" customFormat="1" x14ac:dyDescent="0.2">
      <c r="A816" s="49" t="s">
        <v>67</v>
      </c>
      <c r="B816" s="50">
        <v>43286</v>
      </c>
      <c r="C816" s="51">
        <v>0.53888888888888897</v>
      </c>
      <c r="D816" s="49" t="s">
        <v>170</v>
      </c>
      <c r="E816" s="49">
        <v>3</v>
      </c>
      <c r="F816" s="52">
        <v>61</v>
      </c>
      <c r="G816" s="53">
        <v>2</v>
      </c>
      <c r="H816" s="54">
        <v>3.2786885245901641E-2</v>
      </c>
      <c r="I816" s="55">
        <v>6.83E-2</v>
      </c>
      <c r="J816" s="53">
        <v>314.15899999999999</v>
      </c>
      <c r="K816" s="53">
        <v>0.75129999999999997</v>
      </c>
      <c r="L816" s="53">
        <v>11</v>
      </c>
      <c r="M816" s="56">
        <v>209.07693331558633</v>
      </c>
      <c r="N816" s="53">
        <v>1364</v>
      </c>
      <c r="O816" s="57" t="s">
        <v>88</v>
      </c>
      <c r="P816" s="57" t="s">
        <v>82</v>
      </c>
      <c r="Q816" s="53" t="s">
        <v>89</v>
      </c>
      <c r="R816" s="53" t="s">
        <v>90</v>
      </c>
      <c r="S816" s="53"/>
      <c r="T816" s="59">
        <v>1</v>
      </c>
      <c r="U816" s="59">
        <v>1</v>
      </c>
      <c r="V816" s="53">
        <v>9.3000000000000007</v>
      </c>
      <c r="W816" s="53"/>
      <c r="X816" s="53"/>
      <c r="Y816" s="9">
        <f t="shared" si="12"/>
        <v>209.07693331558633</v>
      </c>
      <c r="Z816" s="60" t="s">
        <v>73</v>
      </c>
      <c r="AA816" s="58" t="s">
        <v>322</v>
      </c>
      <c r="AB816" s="58" t="s">
        <v>75</v>
      </c>
      <c r="AC816" s="61" t="s">
        <v>76</v>
      </c>
      <c r="AD816" s="53" t="s">
        <v>91</v>
      </c>
      <c r="AE816" s="56">
        <v>337.38084788249995</v>
      </c>
      <c r="AF816" s="62"/>
      <c r="AG816" s="63"/>
      <c r="AH816" s="61"/>
      <c r="AO816" s="66" t="s">
        <v>78</v>
      </c>
      <c r="AP816" s="65">
        <v>9.3000000000000007</v>
      </c>
      <c r="AQ816" s="65">
        <v>9.3000000000000007</v>
      </c>
      <c r="AR816" s="65"/>
      <c r="AS816" s="65"/>
      <c r="AT816" s="65"/>
      <c r="AU816" s="65"/>
      <c r="AV816" s="65"/>
      <c r="AW816" s="65"/>
      <c r="AX816" s="65"/>
      <c r="AY816" s="65"/>
      <c r="AZ816" s="65"/>
      <c r="BA816" s="65"/>
      <c r="BB816" s="65"/>
      <c r="BC816" s="65"/>
      <c r="BD816" s="65"/>
      <c r="BE816" s="65"/>
      <c r="BF816" s="65"/>
      <c r="BG816" s="65"/>
      <c r="BH816" s="65"/>
      <c r="BI816" s="65"/>
      <c r="BJ816" s="65"/>
      <c r="BK816" s="65"/>
      <c r="BL816" s="65"/>
      <c r="BM816" s="65"/>
      <c r="BN816" s="65"/>
      <c r="BO816" s="65"/>
    </row>
    <row r="817" spans="1:67" s="58" customFormat="1" x14ac:dyDescent="0.2">
      <c r="A817" s="49"/>
      <c r="B817" s="50"/>
      <c r="C817" s="51"/>
      <c r="D817" s="49"/>
      <c r="E817" s="49"/>
      <c r="F817" s="52"/>
      <c r="G817" s="53"/>
      <c r="H817" s="54"/>
      <c r="I817" s="55"/>
      <c r="J817" s="53"/>
      <c r="K817" s="53"/>
      <c r="L817" s="53"/>
      <c r="M817" s="56"/>
      <c r="N817" s="53"/>
      <c r="O817" s="57"/>
      <c r="P817" s="57"/>
      <c r="Q817" s="53"/>
      <c r="R817" s="53"/>
      <c r="S817" s="53"/>
      <c r="T817" s="59"/>
      <c r="U817" s="59"/>
      <c r="V817" s="53"/>
      <c r="W817" s="53"/>
      <c r="X817" s="53"/>
      <c r="Y817" s="9" t="e">
        <f t="shared" si="12"/>
        <v>#DIV/0!</v>
      </c>
      <c r="Z817" s="60"/>
      <c r="AC817" s="61"/>
      <c r="AD817" s="53"/>
      <c r="AE817" s="56"/>
      <c r="AF817" s="62"/>
      <c r="AG817" s="63"/>
      <c r="AH817" s="61"/>
      <c r="AO817" s="64" t="s">
        <v>79</v>
      </c>
      <c r="AP817" s="65">
        <v>5.6</v>
      </c>
      <c r="AQ817" s="65">
        <v>5.6</v>
      </c>
      <c r="AR817" s="65"/>
      <c r="AS817" s="65"/>
      <c r="AT817" s="65"/>
      <c r="AU817" s="65"/>
      <c r="AV817" s="65"/>
      <c r="AW817" s="65"/>
      <c r="AX817" s="65"/>
      <c r="AY817" s="65"/>
      <c r="AZ817" s="65"/>
      <c r="BA817" s="65"/>
      <c r="BB817" s="65"/>
      <c r="BC817" s="65"/>
      <c r="BD817" s="65"/>
      <c r="BE817" s="65"/>
      <c r="BF817" s="65"/>
      <c r="BG817" s="65"/>
      <c r="BH817" s="65"/>
      <c r="BI817" s="65"/>
      <c r="BJ817" s="65"/>
      <c r="BK817" s="65"/>
      <c r="BL817" s="65"/>
      <c r="BM817" s="65"/>
      <c r="BN817" s="65"/>
      <c r="BO817" s="65"/>
    </row>
    <row r="818" spans="1:67" s="58" customFormat="1" x14ac:dyDescent="0.2">
      <c r="A818" s="49" t="s">
        <v>67</v>
      </c>
      <c r="B818" s="50">
        <v>43286</v>
      </c>
      <c r="C818" s="51">
        <v>0.53888888888888897</v>
      </c>
      <c r="D818" s="49" t="s">
        <v>170</v>
      </c>
      <c r="E818" s="49">
        <v>3</v>
      </c>
      <c r="F818" s="52">
        <v>61</v>
      </c>
      <c r="G818" s="53">
        <v>2</v>
      </c>
      <c r="H818" s="54">
        <v>3.2786885245901641E-2</v>
      </c>
      <c r="I818" s="55">
        <v>6.83E-2</v>
      </c>
      <c r="J818" s="53">
        <v>314.15899999999999</v>
      </c>
      <c r="K818" s="53">
        <v>0.75129999999999997</v>
      </c>
      <c r="L818" s="53">
        <v>11</v>
      </c>
      <c r="M818" s="56">
        <v>209.07693331558633</v>
      </c>
      <c r="N818" s="53">
        <v>1419</v>
      </c>
      <c r="O818" s="57" t="s">
        <v>94</v>
      </c>
      <c r="P818" s="57" t="s">
        <v>82</v>
      </c>
      <c r="Q818" s="53" t="s">
        <v>95</v>
      </c>
      <c r="R818" s="53" t="s">
        <v>96</v>
      </c>
      <c r="S818" s="53"/>
      <c r="T818" s="59">
        <v>390</v>
      </c>
      <c r="U818" s="59">
        <v>788</v>
      </c>
      <c r="V818" s="53">
        <v>0.8</v>
      </c>
      <c r="W818" s="53">
        <v>0.8</v>
      </c>
      <c r="X818" s="53">
        <v>0.8</v>
      </c>
      <c r="Y818" s="9">
        <f t="shared" si="12"/>
        <v>81540.003993078659</v>
      </c>
      <c r="Z818" s="60" t="s">
        <v>97</v>
      </c>
      <c r="AA818" s="58" t="s">
        <v>322</v>
      </c>
      <c r="AB818" s="58" t="s">
        <v>75</v>
      </c>
      <c r="AC818" s="61" t="s">
        <v>76</v>
      </c>
      <c r="AD818" s="53" t="s">
        <v>85</v>
      </c>
      <c r="AE818" s="56">
        <v>0.18</v>
      </c>
      <c r="AF818" s="56">
        <v>0.18</v>
      </c>
      <c r="AG818" s="56">
        <v>0.18</v>
      </c>
      <c r="AH818" s="56">
        <v>0.18</v>
      </c>
      <c r="AI818" s="56">
        <v>0.18</v>
      </c>
      <c r="AJ818" s="56">
        <v>0.18</v>
      </c>
      <c r="AK818" s="56">
        <v>0.18</v>
      </c>
      <c r="AL818" s="56">
        <v>0.18</v>
      </c>
      <c r="AM818" s="56">
        <v>0.18</v>
      </c>
      <c r="AN818" s="56">
        <v>0.18</v>
      </c>
      <c r="AO818" s="66" t="s">
        <v>78</v>
      </c>
      <c r="AP818" s="65">
        <v>0.75200000000000033</v>
      </c>
      <c r="AQ818" s="65">
        <v>0.7</v>
      </c>
      <c r="AR818" s="65">
        <v>0.7</v>
      </c>
      <c r="AS818" s="65">
        <v>0.7</v>
      </c>
      <c r="AT818" s="65">
        <v>0.7</v>
      </c>
      <c r="AU818" s="65">
        <v>0.7</v>
      </c>
      <c r="AV818" s="65">
        <v>0.7</v>
      </c>
      <c r="AW818" s="65">
        <v>0.7</v>
      </c>
      <c r="AX818" s="65">
        <v>0.7</v>
      </c>
      <c r="AY818" s="65">
        <v>0.7</v>
      </c>
      <c r="AZ818" s="65">
        <v>0.7</v>
      </c>
      <c r="BA818" s="65">
        <v>0.7</v>
      </c>
      <c r="BB818" s="65">
        <v>0.7</v>
      </c>
      <c r="BC818" s="65">
        <v>0.8</v>
      </c>
      <c r="BD818" s="65">
        <v>0.8</v>
      </c>
      <c r="BE818" s="65">
        <v>0.8</v>
      </c>
      <c r="BF818" s="65">
        <v>0.8</v>
      </c>
      <c r="BG818" s="65">
        <v>0.8</v>
      </c>
      <c r="BH818" s="65">
        <v>0.8</v>
      </c>
      <c r="BI818" s="65">
        <v>0.8</v>
      </c>
      <c r="BJ818" s="65">
        <v>0.8</v>
      </c>
      <c r="BK818" s="65">
        <v>0.8</v>
      </c>
      <c r="BL818" s="65">
        <v>0.8</v>
      </c>
      <c r="BM818" s="65">
        <v>0.8</v>
      </c>
      <c r="BN818" s="65">
        <v>0.8</v>
      </c>
      <c r="BO818" s="65">
        <v>0.8</v>
      </c>
    </row>
    <row r="819" spans="1:67" s="58" customFormat="1" x14ac:dyDescent="0.2">
      <c r="A819" s="49" t="s">
        <v>67</v>
      </c>
      <c r="B819" s="50">
        <v>43286</v>
      </c>
      <c r="C819" s="51">
        <v>0.53888888888888897</v>
      </c>
      <c r="D819" s="49" t="s">
        <v>170</v>
      </c>
      <c r="E819" s="49">
        <v>3</v>
      </c>
      <c r="F819" s="52">
        <v>61</v>
      </c>
      <c r="G819" s="53">
        <v>2</v>
      </c>
      <c r="H819" s="54">
        <v>3.2786885245901641E-2</v>
      </c>
      <c r="I819" s="55">
        <v>6.83E-2</v>
      </c>
      <c r="J819" s="53">
        <v>314.15899999999999</v>
      </c>
      <c r="K819" s="53">
        <v>0.75129999999999997</v>
      </c>
      <c r="L819" s="53">
        <v>11</v>
      </c>
      <c r="M819" s="56">
        <v>209.07693331558633</v>
      </c>
      <c r="N819" s="53">
        <v>1526</v>
      </c>
      <c r="O819" s="58" t="s">
        <v>156</v>
      </c>
      <c r="P819" s="57" t="s">
        <v>82</v>
      </c>
      <c r="Q819" s="53" t="s">
        <v>157</v>
      </c>
      <c r="R819" s="53" t="s">
        <v>84</v>
      </c>
      <c r="S819" s="53"/>
      <c r="T819" s="59">
        <v>1</v>
      </c>
      <c r="U819" s="59">
        <v>1</v>
      </c>
      <c r="V819" s="53">
        <v>3.7</v>
      </c>
      <c r="W819" s="53"/>
      <c r="X819" s="53"/>
      <c r="Y819" s="9">
        <f t="shared" si="12"/>
        <v>209.07693331558633</v>
      </c>
      <c r="Z819" s="60" t="s">
        <v>73</v>
      </c>
      <c r="AA819" s="58" t="s">
        <v>322</v>
      </c>
      <c r="AB819" s="58" t="s">
        <v>75</v>
      </c>
      <c r="AC819" s="61" t="s">
        <v>76</v>
      </c>
      <c r="AD819" s="53" t="s">
        <v>85</v>
      </c>
      <c r="AE819" s="56">
        <v>26.521826378333333</v>
      </c>
      <c r="AF819" s="62"/>
      <c r="AG819" s="63"/>
      <c r="AH819" s="61"/>
      <c r="AO819" s="66" t="s">
        <v>78</v>
      </c>
      <c r="AP819" s="65">
        <v>3.7</v>
      </c>
      <c r="AQ819" s="65">
        <v>3.7</v>
      </c>
      <c r="AR819" s="65"/>
      <c r="AS819" s="65"/>
      <c r="AT819" s="65"/>
      <c r="AU819" s="65"/>
      <c r="AV819" s="65"/>
      <c r="AW819" s="65"/>
      <c r="AX819" s="65"/>
      <c r="AY819" s="65"/>
      <c r="AZ819" s="65"/>
      <c r="BA819" s="65"/>
      <c r="BB819" s="65"/>
      <c r="BC819" s="65"/>
      <c r="BD819" s="65"/>
      <c r="BE819" s="65"/>
      <c r="BF819" s="65"/>
      <c r="BG819" s="65"/>
      <c r="BH819" s="65"/>
      <c r="BI819" s="65"/>
      <c r="BJ819" s="65"/>
      <c r="BK819" s="65"/>
      <c r="BL819" s="65"/>
      <c r="BM819" s="65"/>
      <c r="BN819" s="65"/>
      <c r="BO819" s="65"/>
    </row>
    <row r="820" spans="1:67" s="58" customFormat="1" x14ac:dyDescent="0.2">
      <c r="A820" s="49" t="s">
        <v>67</v>
      </c>
      <c r="B820" s="50">
        <v>43257</v>
      </c>
      <c r="C820" s="51">
        <v>0.47222222222222199</v>
      </c>
      <c r="D820" s="49" t="s">
        <v>181</v>
      </c>
      <c r="E820" s="49"/>
      <c r="F820" s="52">
        <v>61</v>
      </c>
      <c r="G820" s="53">
        <v>2</v>
      </c>
      <c r="H820" s="54">
        <v>3.2786885245901641E-2</v>
      </c>
      <c r="I820" s="55">
        <v>6.83E-2</v>
      </c>
      <c r="J820" s="53">
        <v>314.15899999999999</v>
      </c>
      <c r="K820" s="53">
        <v>0.5464</v>
      </c>
      <c r="L820" s="53">
        <v>8</v>
      </c>
      <c r="M820" s="56">
        <v>287.48078330893117</v>
      </c>
      <c r="N820" s="53">
        <v>145</v>
      </c>
      <c r="O820" s="57" t="s">
        <v>69</v>
      </c>
      <c r="P820" s="58" t="s">
        <v>70</v>
      </c>
      <c r="Q820" s="53" t="s">
        <v>71</v>
      </c>
      <c r="R820" s="53" t="s">
        <v>72</v>
      </c>
      <c r="S820" s="53"/>
      <c r="T820" s="59">
        <v>1</v>
      </c>
      <c r="U820" s="59">
        <v>1</v>
      </c>
      <c r="V820" s="53">
        <v>18.5</v>
      </c>
      <c r="W820" s="53"/>
      <c r="X820" s="53"/>
      <c r="Y820" s="9">
        <f t="shared" si="12"/>
        <v>287.48078330893117</v>
      </c>
      <c r="Z820" s="60" t="s">
        <v>73</v>
      </c>
      <c r="AA820" s="58" t="s">
        <v>323</v>
      </c>
      <c r="AB820" s="58" t="s">
        <v>75</v>
      </c>
      <c r="AC820" s="61" t="s">
        <v>324</v>
      </c>
      <c r="AD820" s="53" t="s">
        <v>77</v>
      </c>
      <c r="AE820" s="56">
        <v>596.7410935124999</v>
      </c>
      <c r="AF820" s="62"/>
      <c r="AG820" s="63"/>
      <c r="AH820" s="61"/>
      <c r="AO820" s="64" t="s">
        <v>78</v>
      </c>
      <c r="AP820" s="65">
        <v>18.5</v>
      </c>
      <c r="AQ820" s="65">
        <v>18.5</v>
      </c>
      <c r="AR820" s="65"/>
      <c r="AS820" s="65"/>
      <c r="AT820" s="65"/>
      <c r="AU820" s="65"/>
      <c r="AV820" s="65"/>
      <c r="AW820" s="65"/>
      <c r="AX820" s="65"/>
      <c r="AY820" s="65"/>
      <c r="AZ820" s="65"/>
      <c r="BA820" s="65"/>
      <c r="BB820" s="65"/>
      <c r="BC820" s="65"/>
      <c r="BD820" s="65"/>
      <c r="BE820" s="65"/>
      <c r="BF820" s="65"/>
      <c r="BG820" s="65"/>
      <c r="BH820" s="65"/>
      <c r="BI820" s="65"/>
      <c r="BJ820" s="65"/>
      <c r="BK820" s="65"/>
      <c r="BL820" s="65"/>
      <c r="BM820" s="65"/>
      <c r="BN820" s="65"/>
      <c r="BO820" s="65"/>
    </row>
    <row r="821" spans="1:67" s="58" customFormat="1" x14ac:dyDescent="0.2">
      <c r="A821" s="49"/>
      <c r="B821" s="50"/>
      <c r="C821" s="51"/>
      <c r="D821" s="49"/>
      <c r="E821" s="49"/>
      <c r="F821" s="52"/>
      <c r="G821" s="53"/>
      <c r="H821" s="54"/>
      <c r="I821" s="55"/>
      <c r="J821" s="53"/>
      <c r="K821" s="53"/>
      <c r="L821" s="53"/>
      <c r="M821" s="56"/>
      <c r="N821" s="53"/>
      <c r="O821" s="57"/>
      <c r="Q821" s="53"/>
      <c r="R821" s="53"/>
      <c r="S821" s="53"/>
      <c r="T821" s="59"/>
      <c r="U821" s="59"/>
      <c r="V821" s="53"/>
      <c r="W821" s="53"/>
      <c r="X821" s="53"/>
      <c r="Y821" s="9" t="e">
        <f t="shared" si="12"/>
        <v>#DIV/0!</v>
      </c>
      <c r="Z821" s="60"/>
      <c r="AC821" s="61"/>
      <c r="AD821" s="53"/>
      <c r="AE821" s="56"/>
      <c r="AF821" s="62"/>
      <c r="AG821" s="63"/>
      <c r="AH821" s="61"/>
      <c r="AO821" s="64" t="s">
        <v>79</v>
      </c>
      <c r="AP821" s="65">
        <v>11.1</v>
      </c>
      <c r="AQ821" s="65">
        <v>11.1</v>
      </c>
      <c r="AR821" s="65"/>
      <c r="AS821" s="65"/>
      <c r="AT821" s="65"/>
      <c r="AU821" s="65"/>
      <c r="AV821" s="65"/>
      <c r="AW821" s="65"/>
      <c r="AX821" s="65"/>
      <c r="AY821" s="65"/>
      <c r="AZ821" s="65"/>
      <c r="BA821" s="65"/>
      <c r="BB821" s="65"/>
      <c r="BC821" s="65"/>
      <c r="BD821" s="65"/>
      <c r="BE821" s="65"/>
      <c r="BF821" s="65"/>
      <c r="BG821" s="65"/>
      <c r="BH821" s="65"/>
      <c r="BI821" s="65"/>
      <c r="BJ821" s="65"/>
      <c r="BK821" s="65"/>
      <c r="BL821" s="65"/>
      <c r="BM821" s="65"/>
      <c r="BN821" s="65"/>
      <c r="BO821" s="65"/>
    </row>
    <row r="822" spans="1:67" s="58" customFormat="1" x14ac:dyDescent="0.2">
      <c r="A822" s="49"/>
      <c r="B822" s="50"/>
      <c r="C822" s="51"/>
      <c r="D822" s="49"/>
      <c r="E822" s="49"/>
      <c r="F822" s="52"/>
      <c r="G822" s="53"/>
      <c r="H822" s="54"/>
      <c r="I822" s="55"/>
      <c r="J822" s="53"/>
      <c r="K822" s="53"/>
      <c r="L822" s="53"/>
      <c r="M822" s="56"/>
      <c r="N822" s="53"/>
      <c r="O822" s="57"/>
      <c r="Q822" s="53"/>
      <c r="R822" s="53"/>
      <c r="S822" s="53"/>
      <c r="T822" s="59"/>
      <c r="U822" s="59"/>
      <c r="V822" s="53"/>
      <c r="W822" s="53"/>
      <c r="X822" s="53"/>
      <c r="Y822" s="9" t="e">
        <f t="shared" si="12"/>
        <v>#DIV/0!</v>
      </c>
      <c r="Z822" s="60"/>
      <c r="AC822" s="61"/>
      <c r="AD822" s="53"/>
      <c r="AE822" s="56"/>
      <c r="AF822" s="62"/>
      <c r="AG822" s="63"/>
      <c r="AH822" s="61"/>
      <c r="AO822" s="64" t="s">
        <v>80</v>
      </c>
      <c r="AP822" s="65">
        <v>3.7</v>
      </c>
      <c r="AQ822" s="65">
        <v>3.7</v>
      </c>
      <c r="AR822" s="65"/>
      <c r="AS822" s="65"/>
      <c r="AT822" s="65"/>
      <c r="AU822" s="65"/>
      <c r="AV822" s="65"/>
      <c r="AW822" s="65"/>
      <c r="AX822" s="65"/>
      <c r="AY822" s="65"/>
      <c r="AZ822" s="65"/>
      <c r="BA822" s="65"/>
      <c r="BB822" s="65"/>
      <c r="BC822" s="65"/>
      <c r="BD822" s="65"/>
      <c r="BE822" s="65"/>
      <c r="BF822" s="65"/>
      <c r="BG822" s="65"/>
      <c r="BH822" s="65"/>
      <c r="BI822" s="65"/>
      <c r="BJ822" s="65"/>
      <c r="BK822" s="65"/>
      <c r="BL822" s="65"/>
      <c r="BM822" s="65"/>
      <c r="BN822" s="65"/>
      <c r="BO822" s="65"/>
    </row>
    <row r="823" spans="1:67" s="58" customFormat="1" x14ac:dyDescent="0.2">
      <c r="A823" s="49" t="s">
        <v>67</v>
      </c>
      <c r="B823" s="50">
        <v>43257</v>
      </c>
      <c r="C823" s="51">
        <v>0.47222222222222199</v>
      </c>
      <c r="D823" s="49" t="s">
        <v>181</v>
      </c>
      <c r="E823" s="49"/>
      <c r="F823" s="52">
        <v>61</v>
      </c>
      <c r="G823" s="53">
        <v>2</v>
      </c>
      <c r="H823" s="54">
        <v>3.2786885245901641E-2</v>
      </c>
      <c r="I823" s="55">
        <v>6.83E-2</v>
      </c>
      <c r="J823" s="53">
        <v>314.15899999999999</v>
      </c>
      <c r="K823" s="53">
        <v>0.5464</v>
      </c>
      <c r="L823" s="53">
        <v>8</v>
      </c>
      <c r="M823" s="56">
        <v>287.48078330893117</v>
      </c>
      <c r="N823" s="53">
        <v>190</v>
      </c>
      <c r="O823" s="57" t="s">
        <v>102</v>
      </c>
      <c r="P823" s="58" t="s">
        <v>70</v>
      </c>
      <c r="Q823" s="53" t="s">
        <v>103</v>
      </c>
      <c r="R823" s="53" t="s">
        <v>84</v>
      </c>
      <c r="S823" s="53"/>
      <c r="T823" s="59">
        <v>3</v>
      </c>
      <c r="U823" s="59">
        <v>3</v>
      </c>
      <c r="V823" s="53">
        <v>5.6</v>
      </c>
      <c r="W823" s="53"/>
      <c r="X823" s="53"/>
      <c r="Y823" s="9">
        <f t="shared" si="12"/>
        <v>862.44234992679355</v>
      </c>
      <c r="Z823" s="60" t="s">
        <v>73</v>
      </c>
      <c r="AA823" s="58" t="s">
        <v>323</v>
      </c>
      <c r="AB823" s="58" t="s">
        <v>75</v>
      </c>
      <c r="AC823" s="61" t="s">
        <v>324</v>
      </c>
      <c r="AD823" s="53" t="s">
        <v>104</v>
      </c>
      <c r="AE823" s="56">
        <v>98.520262399999979</v>
      </c>
      <c r="AF823" s="62"/>
      <c r="AG823" s="63"/>
      <c r="AH823" s="61"/>
      <c r="AO823" s="64" t="s">
        <v>78</v>
      </c>
      <c r="AP823" s="65">
        <v>4</v>
      </c>
      <c r="AQ823" s="65">
        <v>3.7</v>
      </c>
      <c r="AR823" s="65">
        <v>3.7</v>
      </c>
      <c r="AS823" s="65">
        <v>4.5999999999999996</v>
      </c>
      <c r="AT823" s="65"/>
      <c r="AU823" s="65"/>
      <c r="AV823" s="65"/>
      <c r="AW823" s="65"/>
      <c r="AX823" s="65"/>
      <c r="AY823" s="65"/>
      <c r="AZ823" s="65"/>
      <c r="BA823" s="65"/>
      <c r="BB823" s="65"/>
      <c r="BC823" s="65"/>
      <c r="BD823" s="65"/>
      <c r="BE823" s="65"/>
      <c r="BF823" s="65"/>
      <c r="BG823" s="65"/>
      <c r="BH823" s="65"/>
      <c r="BI823" s="65"/>
      <c r="BJ823" s="65"/>
      <c r="BK823" s="65"/>
      <c r="BL823" s="65"/>
      <c r="BM823" s="65"/>
      <c r="BN823" s="65"/>
      <c r="BO823" s="65"/>
    </row>
    <row r="824" spans="1:67" s="58" customFormat="1" x14ac:dyDescent="0.2">
      <c r="A824" s="49"/>
      <c r="B824" s="50"/>
      <c r="C824" s="51"/>
      <c r="D824" s="49"/>
      <c r="E824" s="49"/>
      <c r="F824" s="52"/>
      <c r="G824" s="53"/>
      <c r="H824" s="54"/>
      <c r="I824" s="55"/>
      <c r="J824" s="53"/>
      <c r="K824" s="53"/>
      <c r="L824" s="53"/>
      <c r="M824" s="56"/>
      <c r="N824" s="53"/>
      <c r="O824" s="57"/>
      <c r="Q824" s="53"/>
      <c r="R824" s="53"/>
      <c r="S824" s="53"/>
      <c r="T824" s="59"/>
      <c r="U824" s="59"/>
      <c r="V824" s="53"/>
      <c r="W824" s="53"/>
      <c r="X824" s="53"/>
      <c r="Y824" s="9" t="e">
        <f t="shared" si="12"/>
        <v>#DIV/0!</v>
      </c>
      <c r="Z824" s="60"/>
      <c r="AC824" s="61"/>
      <c r="AD824" s="53"/>
      <c r="AE824" s="56"/>
      <c r="AF824" s="62"/>
      <c r="AG824" s="63"/>
      <c r="AH824" s="61"/>
      <c r="AO824" s="64" t="s">
        <v>79</v>
      </c>
      <c r="AP824" s="65">
        <v>5.5999999999999988</v>
      </c>
      <c r="AQ824" s="65">
        <v>5.6</v>
      </c>
      <c r="AR824" s="65">
        <v>5.6</v>
      </c>
      <c r="AS824" s="65">
        <v>5.6</v>
      </c>
      <c r="AT824" s="65"/>
      <c r="AU824" s="65"/>
      <c r="AV824" s="65"/>
      <c r="AW824" s="65"/>
      <c r="AX824" s="65"/>
      <c r="AY824" s="65"/>
      <c r="AZ824" s="65"/>
      <c r="BA824" s="65"/>
      <c r="BB824" s="65"/>
      <c r="BC824" s="65"/>
      <c r="BD824" s="65"/>
      <c r="BE824" s="65"/>
      <c r="BF824" s="65"/>
      <c r="BG824" s="65"/>
      <c r="BH824" s="65"/>
      <c r="BI824" s="65"/>
      <c r="BJ824" s="65"/>
      <c r="BK824" s="65"/>
      <c r="BL824" s="65"/>
      <c r="BM824" s="65"/>
      <c r="BN824" s="65"/>
      <c r="BO824" s="65"/>
    </row>
    <row r="825" spans="1:67" s="58" customFormat="1" x14ac:dyDescent="0.2">
      <c r="A825" s="49" t="s">
        <v>67</v>
      </c>
      <c r="B825" s="50">
        <v>43257</v>
      </c>
      <c r="C825" s="51">
        <v>0.47222222222222199</v>
      </c>
      <c r="D825" s="49" t="s">
        <v>181</v>
      </c>
      <c r="E825" s="49"/>
      <c r="F825" s="52">
        <v>61</v>
      </c>
      <c r="G825" s="53">
        <v>2</v>
      </c>
      <c r="H825" s="54">
        <v>3.2786885245901641E-2</v>
      </c>
      <c r="I825" s="55">
        <v>6.83E-2</v>
      </c>
      <c r="J825" s="53">
        <v>314.15899999999999</v>
      </c>
      <c r="K825" s="53">
        <v>0.5464</v>
      </c>
      <c r="L825" s="53">
        <v>8</v>
      </c>
      <c r="M825" s="56">
        <v>287.48078330893117</v>
      </c>
      <c r="N825" s="53">
        <v>1037</v>
      </c>
      <c r="O825" s="57" t="s">
        <v>86</v>
      </c>
      <c r="P825" s="57" t="s">
        <v>82</v>
      </c>
      <c r="Q825" s="53" t="s">
        <v>87</v>
      </c>
      <c r="R825" s="53" t="s">
        <v>84</v>
      </c>
      <c r="S825" s="53"/>
      <c r="T825" s="59">
        <v>18</v>
      </c>
      <c r="U825" s="59">
        <v>18</v>
      </c>
      <c r="V825" s="53">
        <v>2.8</v>
      </c>
      <c r="W825" s="53"/>
      <c r="X825" s="53"/>
      <c r="Y825" s="9">
        <f t="shared" si="12"/>
        <v>5174.6540995607611</v>
      </c>
      <c r="Z825" s="60" t="s">
        <v>73</v>
      </c>
      <c r="AA825" s="58" t="s">
        <v>323</v>
      </c>
      <c r="AB825" s="58" t="s">
        <v>75</v>
      </c>
      <c r="AC825" s="61" t="s">
        <v>324</v>
      </c>
      <c r="AD825" s="53" t="s">
        <v>85</v>
      </c>
      <c r="AE825" s="56">
        <v>11.494030613333329</v>
      </c>
      <c r="AF825" s="62"/>
      <c r="AG825" s="63"/>
      <c r="AH825" s="61"/>
      <c r="AO825" s="64" t="s">
        <v>78</v>
      </c>
      <c r="AP825" s="65">
        <v>2.8</v>
      </c>
      <c r="AQ825" s="65">
        <v>2.8</v>
      </c>
      <c r="AR825" s="65">
        <v>2.8</v>
      </c>
      <c r="AS825" s="65">
        <v>2.8</v>
      </c>
      <c r="AT825" s="65">
        <v>2.8</v>
      </c>
      <c r="AU825" s="65">
        <v>2.8</v>
      </c>
      <c r="AV825" s="65"/>
      <c r="AW825" s="65"/>
      <c r="AX825" s="65"/>
      <c r="AY825" s="65"/>
      <c r="AZ825" s="65"/>
      <c r="BA825" s="65"/>
      <c r="BB825" s="65"/>
      <c r="BC825" s="65"/>
      <c r="BD825" s="65"/>
      <c r="BE825" s="65"/>
      <c r="BF825" s="65"/>
      <c r="BG825" s="65"/>
      <c r="BH825" s="65"/>
      <c r="BI825" s="65"/>
      <c r="BJ825" s="65"/>
      <c r="BK825" s="65"/>
      <c r="BL825" s="65"/>
      <c r="BM825" s="65"/>
      <c r="BN825" s="65"/>
      <c r="BO825" s="65"/>
    </row>
    <row r="826" spans="1:67" s="58" customFormat="1" x14ac:dyDescent="0.2">
      <c r="A826" s="49" t="s">
        <v>67</v>
      </c>
      <c r="B826" s="50">
        <v>43257</v>
      </c>
      <c r="C826" s="51">
        <v>0.47222222222222199</v>
      </c>
      <c r="D826" s="49" t="s">
        <v>181</v>
      </c>
      <c r="E826" s="49"/>
      <c r="F826" s="52">
        <v>61</v>
      </c>
      <c r="G826" s="53">
        <v>2</v>
      </c>
      <c r="H826" s="54">
        <v>3.2786885245901641E-2</v>
      </c>
      <c r="I826" s="55">
        <v>6.83E-2</v>
      </c>
      <c r="J826" s="53">
        <v>314.15899999999999</v>
      </c>
      <c r="K826" s="53">
        <v>0.5464</v>
      </c>
      <c r="L826" s="53">
        <v>8</v>
      </c>
      <c r="M826" s="56">
        <v>287.48078330893117</v>
      </c>
      <c r="N826" s="53">
        <v>1135</v>
      </c>
      <c r="O826" s="58" t="s">
        <v>282</v>
      </c>
      <c r="P826" s="57" t="s">
        <v>82</v>
      </c>
      <c r="Q826" s="53" t="s">
        <v>127</v>
      </c>
      <c r="R826" s="53" t="s">
        <v>283</v>
      </c>
      <c r="S826" s="53"/>
      <c r="T826" s="59">
        <v>1</v>
      </c>
      <c r="U826" s="59">
        <v>1</v>
      </c>
      <c r="V826" s="53">
        <v>9.3000000000000007</v>
      </c>
      <c r="W826" s="53"/>
      <c r="X826" s="53"/>
      <c r="Y826" s="9">
        <f t="shared" si="12"/>
        <v>287.48078330893117</v>
      </c>
      <c r="Z826" s="60" t="s">
        <v>73</v>
      </c>
      <c r="AA826" s="58" t="s">
        <v>323</v>
      </c>
      <c r="AB826" s="58" t="s">
        <v>75</v>
      </c>
      <c r="AC826" s="61" t="s">
        <v>324</v>
      </c>
      <c r="AD826" s="53" t="s">
        <v>129</v>
      </c>
      <c r="AE826" s="56">
        <v>17.578766844999997</v>
      </c>
      <c r="AF826" s="62"/>
      <c r="AG826" s="63"/>
      <c r="AH826" s="61"/>
      <c r="AO826" s="64" t="s">
        <v>78</v>
      </c>
      <c r="AP826" s="65">
        <v>9.3000000000000007</v>
      </c>
      <c r="AQ826" s="65">
        <v>9.3000000000000007</v>
      </c>
      <c r="AR826" s="65"/>
      <c r="AS826" s="65"/>
      <c r="AT826" s="65"/>
      <c r="AU826" s="65"/>
      <c r="AV826" s="65"/>
      <c r="AW826" s="65"/>
      <c r="AX826" s="65"/>
      <c r="AY826" s="65"/>
      <c r="AZ826" s="65"/>
      <c r="BA826" s="65"/>
      <c r="BB826" s="65"/>
      <c r="BC826" s="65"/>
      <c r="BD826" s="65"/>
      <c r="BE826" s="65"/>
      <c r="BF826" s="65"/>
      <c r="BG826" s="65"/>
      <c r="BH826" s="65"/>
      <c r="BI826" s="65"/>
      <c r="BJ826" s="65"/>
      <c r="BK826" s="65"/>
      <c r="BL826" s="65"/>
      <c r="BM826" s="65"/>
      <c r="BN826" s="65"/>
      <c r="BO826" s="65"/>
    </row>
    <row r="827" spans="1:67" s="58" customFormat="1" x14ac:dyDescent="0.2">
      <c r="A827" s="49"/>
      <c r="B827" s="50"/>
      <c r="C827" s="51"/>
      <c r="D827" s="49"/>
      <c r="E827" s="49"/>
      <c r="F827" s="52"/>
      <c r="G827" s="53"/>
      <c r="H827" s="54"/>
      <c r="I827" s="55"/>
      <c r="J827" s="53"/>
      <c r="K827" s="53"/>
      <c r="L827" s="53"/>
      <c r="M827" s="56"/>
      <c r="N827" s="53"/>
      <c r="P827" s="57"/>
      <c r="Q827" s="53"/>
      <c r="R827" s="53"/>
      <c r="S827" s="53"/>
      <c r="T827" s="59"/>
      <c r="U827" s="59"/>
      <c r="V827" s="53"/>
      <c r="W827" s="53"/>
      <c r="X827" s="53"/>
      <c r="Y827" s="9" t="e">
        <f t="shared" si="12"/>
        <v>#DIV/0!</v>
      </c>
      <c r="Z827" s="60"/>
      <c r="AC827" s="61"/>
      <c r="AD827" s="53"/>
      <c r="AE827" s="56"/>
      <c r="AF827" s="62"/>
      <c r="AG827" s="63"/>
      <c r="AH827" s="61"/>
      <c r="AO827" s="64" t="s">
        <v>79</v>
      </c>
      <c r="AP827" s="65">
        <v>1.9</v>
      </c>
      <c r="AQ827" s="65">
        <v>1.9</v>
      </c>
      <c r="AR827" s="65"/>
      <c r="AS827" s="65"/>
      <c r="AT827" s="65"/>
      <c r="AU827" s="65"/>
      <c r="AV827" s="65"/>
      <c r="AW827" s="65"/>
      <c r="AX827" s="65"/>
      <c r="AY827" s="65"/>
      <c r="AZ827" s="65"/>
      <c r="BA827" s="65"/>
      <c r="BB827" s="65"/>
      <c r="BC827" s="65"/>
      <c r="BD827" s="65"/>
      <c r="BE827" s="65"/>
      <c r="BF827" s="65"/>
      <c r="BG827" s="65"/>
      <c r="BH827" s="65"/>
      <c r="BI827" s="65"/>
      <c r="BJ827" s="65"/>
      <c r="BK827" s="65"/>
      <c r="BL827" s="65"/>
      <c r="BM827" s="65"/>
      <c r="BN827" s="65"/>
      <c r="BO827" s="65"/>
    </row>
    <row r="828" spans="1:67" s="58" customFormat="1" x14ac:dyDescent="0.2">
      <c r="A828" s="49" t="s">
        <v>67</v>
      </c>
      <c r="B828" s="50">
        <v>43257</v>
      </c>
      <c r="C828" s="51">
        <v>0.47222222222222199</v>
      </c>
      <c r="D828" s="49" t="s">
        <v>181</v>
      </c>
      <c r="E828" s="49"/>
      <c r="F828" s="52">
        <v>61</v>
      </c>
      <c r="G828" s="53">
        <v>2</v>
      </c>
      <c r="H828" s="54">
        <v>3.2786885245901641E-2</v>
      </c>
      <c r="I828" s="55">
        <v>6.83E-2</v>
      </c>
      <c r="J828" s="53">
        <v>314.15899999999999</v>
      </c>
      <c r="K828" s="53">
        <v>0.5464</v>
      </c>
      <c r="L828" s="53">
        <v>8</v>
      </c>
      <c r="M828" s="56">
        <v>287.48078330893117</v>
      </c>
      <c r="N828" s="53">
        <v>1733</v>
      </c>
      <c r="O828" s="57" t="s">
        <v>92</v>
      </c>
      <c r="P828" s="57" t="s">
        <v>82</v>
      </c>
      <c r="Q828" s="53" t="s">
        <v>89</v>
      </c>
      <c r="R828" s="53" t="s">
        <v>93</v>
      </c>
      <c r="S828" s="53"/>
      <c r="T828" s="59">
        <v>2</v>
      </c>
      <c r="U828" s="59">
        <v>2</v>
      </c>
      <c r="V828" s="53">
        <v>7.4</v>
      </c>
      <c r="W828" s="53"/>
      <c r="X828" s="53"/>
      <c r="Y828" s="9">
        <f t="shared" si="12"/>
        <v>574.96156661786233</v>
      </c>
      <c r="Z828" s="60" t="s">
        <v>73</v>
      </c>
      <c r="AA828" s="58" t="s">
        <v>323</v>
      </c>
      <c r="AB828" s="58" t="s">
        <v>75</v>
      </c>
      <c r="AC828" s="61" t="s">
        <v>324</v>
      </c>
      <c r="AD828" s="53" t="s">
        <v>91</v>
      </c>
      <c r="AE828" s="56">
        <v>118.35285827083332</v>
      </c>
      <c r="AF828" s="62"/>
      <c r="AG828" s="63"/>
      <c r="AH828" s="61"/>
      <c r="AO828" s="64" t="s">
        <v>78</v>
      </c>
      <c r="AP828" s="65">
        <v>6.5</v>
      </c>
      <c r="AQ828" s="65">
        <v>5.6</v>
      </c>
      <c r="AR828" s="65">
        <v>7.4</v>
      </c>
      <c r="AS828" s="65"/>
      <c r="AT828" s="65"/>
      <c r="AU828" s="65"/>
      <c r="AV828" s="65"/>
      <c r="AW828" s="65"/>
      <c r="AX828" s="65"/>
      <c r="AY828" s="65"/>
      <c r="AZ828" s="65"/>
      <c r="BA828" s="65"/>
      <c r="BB828" s="65"/>
      <c r="BC828" s="65"/>
      <c r="BD828" s="65"/>
      <c r="BE828" s="65"/>
      <c r="BF828" s="65"/>
      <c r="BG828" s="65"/>
      <c r="BH828" s="65"/>
      <c r="BI828" s="65"/>
      <c r="BJ828" s="65"/>
      <c r="BK828" s="65"/>
      <c r="BL828" s="65"/>
      <c r="BM828" s="65"/>
      <c r="BN828" s="65"/>
      <c r="BO828" s="65"/>
    </row>
    <row r="829" spans="1:67" s="58" customFormat="1" x14ac:dyDescent="0.2">
      <c r="A829" s="49"/>
      <c r="B829" s="50"/>
      <c r="C829" s="51"/>
      <c r="D829" s="49"/>
      <c r="E829" s="49"/>
      <c r="F829" s="52"/>
      <c r="G829" s="53"/>
      <c r="H829" s="54"/>
      <c r="I829" s="55"/>
      <c r="J829" s="53"/>
      <c r="K829" s="53"/>
      <c r="L829" s="53"/>
      <c r="M829" s="56"/>
      <c r="N829" s="53"/>
      <c r="O829" s="57"/>
      <c r="P829" s="57"/>
      <c r="Q829" s="53"/>
      <c r="R829" s="53"/>
      <c r="S829" s="53"/>
      <c r="T829" s="59"/>
      <c r="U829" s="59"/>
      <c r="V829" s="53"/>
      <c r="W829" s="53"/>
      <c r="X829" s="53"/>
      <c r="Y829" s="9" t="e">
        <f t="shared" si="12"/>
        <v>#DIV/0!</v>
      </c>
      <c r="Z829" s="60"/>
      <c r="AC829" s="61"/>
      <c r="AD829" s="53"/>
      <c r="AE829" s="56"/>
      <c r="AF829" s="62"/>
      <c r="AG829" s="63"/>
      <c r="AH829" s="61"/>
      <c r="AO829" s="64" t="s">
        <v>79</v>
      </c>
      <c r="AP829" s="65">
        <v>4.1500000000000004</v>
      </c>
      <c r="AQ829" s="65">
        <v>3.7</v>
      </c>
      <c r="AR829" s="65">
        <v>4.5999999999999996</v>
      </c>
      <c r="AS829" s="65"/>
      <c r="AT829" s="65"/>
      <c r="AU829" s="65"/>
      <c r="AV829" s="65"/>
      <c r="AW829" s="65"/>
      <c r="AX829" s="65"/>
      <c r="AY829" s="65"/>
      <c r="AZ829" s="65"/>
      <c r="BA829" s="65"/>
      <c r="BB829" s="65"/>
      <c r="BC829" s="65"/>
      <c r="BD829" s="65"/>
      <c r="BE829" s="65"/>
      <c r="BF829" s="65"/>
      <c r="BG829" s="65"/>
      <c r="BH829" s="65"/>
      <c r="BI829" s="65"/>
      <c r="BJ829" s="65"/>
      <c r="BK829" s="65"/>
      <c r="BL829" s="65"/>
      <c r="BM829" s="65"/>
      <c r="BN829" s="65"/>
      <c r="BO829" s="65"/>
    </row>
    <row r="830" spans="1:67" s="58" customFormat="1" x14ac:dyDescent="0.2">
      <c r="A830" s="49" t="s">
        <v>67</v>
      </c>
      <c r="B830" s="50">
        <v>43257</v>
      </c>
      <c r="C830" s="51">
        <v>0.47222222222222199</v>
      </c>
      <c r="D830" s="49" t="s">
        <v>181</v>
      </c>
      <c r="E830" s="49"/>
      <c r="F830" s="52">
        <v>61</v>
      </c>
      <c r="G830" s="53">
        <v>2</v>
      </c>
      <c r="H830" s="54">
        <v>3.2786885245901641E-2</v>
      </c>
      <c r="I830" s="55">
        <v>6.83E-2</v>
      </c>
      <c r="J830" s="53">
        <v>314.15899999999999</v>
      </c>
      <c r="K830" s="53">
        <v>0.5464</v>
      </c>
      <c r="L830" s="53">
        <v>8</v>
      </c>
      <c r="M830" s="56">
        <v>287.48078330893117</v>
      </c>
      <c r="N830" s="53">
        <v>1419</v>
      </c>
      <c r="O830" s="57" t="s">
        <v>94</v>
      </c>
      <c r="P830" s="57" t="s">
        <v>82</v>
      </c>
      <c r="Q830" s="53" t="s">
        <v>95</v>
      </c>
      <c r="R830" s="53" t="s">
        <v>96</v>
      </c>
      <c r="S830" s="53"/>
      <c r="T830" s="59">
        <v>432</v>
      </c>
      <c r="U830" s="59">
        <v>871</v>
      </c>
      <c r="V830" s="53">
        <v>0.8</v>
      </c>
      <c r="W830" s="53">
        <v>0.8</v>
      </c>
      <c r="X830" s="53">
        <v>0.8</v>
      </c>
      <c r="Y830" s="9">
        <f t="shared" si="12"/>
        <v>124191.69838945827</v>
      </c>
      <c r="Z830" s="60" t="s">
        <v>97</v>
      </c>
      <c r="AA830" s="58" t="s">
        <v>323</v>
      </c>
      <c r="AB830" s="58" t="s">
        <v>75</v>
      </c>
      <c r="AC830" s="61" t="s">
        <v>324</v>
      </c>
      <c r="AD830" s="53" t="s">
        <v>85</v>
      </c>
      <c r="AE830" s="56">
        <v>0.18</v>
      </c>
      <c r="AF830" s="56">
        <v>0.18</v>
      </c>
      <c r="AG830" s="56">
        <v>0.18</v>
      </c>
      <c r="AH830" s="56">
        <v>0.18</v>
      </c>
      <c r="AI830" s="56">
        <v>0.18</v>
      </c>
      <c r="AJ830" s="56">
        <v>0.18</v>
      </c>
      <c r="AK830" s="56">
        <v>0.18</v>
      </c>
      <c r="AL830" s="56">
        <v>0.18</v>
      </c>
      <c r="AM830" s="56">
        <v>0.18</v>
      </c>
      <c r="AN830" s="56">
        <v>0.18</v>
      </c>
      <c r="AO830" s="66" t="s">
        <v>78</v>
      </c>
      <c r="AP830" s="65">
        <v>0.75200000000000033</v>
      </c>
      <c r="AQ830" s="65">
        <v>0.7</v>
      </c>
      <c r="AR830" s="65">
        <v>0.7</v>
      </c>
      <c r="AS830" s="65">
        <v>0.7</v>
      </c>
      <c r="AT830" s="65">
        <v>0.7</v>
      </c>
      <c r="AU830" s="65">
        <v>0.7</v>
      </c>
      <c r="AV830" s="65">
        <v>0.7</v>
      </c>
      <c r="AW830" s="65">
        <v>0.7</v>
      </c>
      <c r="AX830" s="65">
        <v>0.7</v>
      </c>
      <c r="AY830" s="65">
        <v>0.7</v>
      </c>
      <c r="AZ830" s="65">
        <v>0.7</v>
      </c>
      <c r="BA830" s="65">
        <v>0.7</v>
      </c>
      <c r="BB830" s="65">
        <v>0.7</v>
      </c>
      <c r="BC830" s="65">
        <v>0.8</v>
      </c>
      <c r="BD830" s="65">
        <v>0.8</v>
      </c>
      <c r="BE830" s="65">
        <v>0.8</v>
      </c>
      <c r="BF830" s="65">
        <v>0.8</v>
      </c>
      <c r="BG830" s="65">
        <v>0.8</v>
      </c>
      <c r="BH830" s="65">
        <v>0.8</v>
      </c>
      <c r="BI830" s="65">
        <v>0.8</v>
      </c>
      <c r="BJ830" s="65">
        <v>0.8</v>
      </c>
      <c r="BK830" s="65">
        <v>0.8</v>
      </c>
      <c r="BL830" s="65">
        <v>0.8</v>
      </c>
      <c r="BM830" s="65">
        <v>0.8</v>
      </c>
      <c r="BN830" s="65">
        <v>0.8</v>
      </c>
      <c r="BO830" s="65">
        <v>0.8</v>
      </c>
    </row>
    <row r="831" spans="1:67" s="58" customFormat="1" x14ac:dyDescent="0.2">
      <c r="A831" s="49" t="s">
        <v>67</v>
      </c>
      <c r="B831" s="50">
        <v>43286</v>
      </c>
      <c r="C831" s="51">
        <v>0.55763888888888902</v>
      </c>
      <c r="D831" s="49" t="s">
        <v>173</v>
      </c>
      <c r="E831" s="49"/>
      <c r="F831" s="52">
        <v>62</v>
      </c>
      <c r="G831" s="53">
        <v>2</v>
      </c>
      <c r="H831" s="54">
        <v>3.2258064516129031E-2</v>
      </c>
      <c r="I831" s="55">
        <v>6.83E-2</v>
      </c>
      <c r="J831" s="53">
        <v>314.15899999999999</v>
      </c>
      <c r="K831" s="53">
        <v>0.68300000000000005</v>
      </c>
      <c r="L831" s="53">
        <v>10</v>
      </c>
      <c r="M831" s="56">
        <v>229.98462664714492</v>
      </c>
      <c r="N831" s="53">
        <v>749</v>
      </c>
      <c r="O831" s="57" t="s">
        <v>190</v>
      </c>
      <c r="P831" s="58" t="s">
        <v>70</v>
      </c>
      <c r="Q831" s="53" t="s">
        <v>191</v>
      </c>
      <c r="R831" s="53" t="s">
        <v>84</v>
      </c>
      <c r="S831" s="53"/>
      <c r="T831" s="59">
        <v>1</v>
      </c>
      <c r="U831" s="59">
        <v>1</v>
      </c>
      <c r="V831" s="53">
        <v>20.399999999999999</v>
      </c>
      <c r="W831" s="53"/>
      <c r="X831" s="53"/>
      <c r="Y831" s="9">
        <f t="shared" si="12"/>
        <v>229.98462664714492</v>
      </c>
      <c r="Z831" s="60" t="s">
        <v>73</v>
      </c>
      <c r="AA831" s="58" t="s">
        <v>325</v>
      </c>
      <c r="AB831" s="58" t="s">
        <v>75</v>
      </c>
      <c r="AC831" s="61" t="s">
        <v>221</v>
      </c>
      <c r="AD831" s="53" t="s">
        <v>193</v>
      </c>
      <c r="AE831" s="56">
        <v>79.967999999999975</v>
      </c>
      <c r="AF831" s="62"/>
      <c r="AG831" s="63"/>
      <c r="AH831" s="61"/>
      <c r="AO831" s="66" t="s">
        <v>78</v>
      </c>
      <c r="AP831" s="65">
        <v>20.399999999999999</v>
      </c>
      <c r="AQ831" s="65">
        <v>20.399999999999999</v>
      </c>
      <c r="AR831" s="65"/>
      <c r="AS831" s="65"/>
      <c r="AT831" s="65"/>
      <c r="AU831" s="65"/>
      <c r="AV831" s="65"/>
      <c r="AW831" s="65"/>
      <c r="AX831" s="65"/>
      <c r="AY831" s="65"/>
      <c r="AZ831" s="65"/>
      <c r="BA831" s="65"/>
      <c r="BB831" s="65"/>
      <c r="BC831" s="65"/>
      <c r="BD831" s="65"/>
      <c r="BE831" s="65"/>
      <c r="BF831" s="65"/>
      <c r="BG831" s="65"/>
      <c r="BH831" s="65"/>
      <c r="BI831" s="65"/>
      <c r="BJ831" s="65"/>
      <c r="BK831" s="65"/>
      <c r="BL831" s="65"/>
      <c r="BM831" s="65"/>
      <c r="BN831" s="65"/>
      <c r="BO831" s="65"/>
    </row>
    <row r="832" spans="1:67" s="58" customFormat="1" x14ac:dyDescent="0.2">
      <c r="A832" s="49"/>
      <c r="B832" s="50"/>
      <c r="C832" s="51"/>
      <c r="D832" s="49"/>
      <c r="E832" s="49"/>
      <c r="F832" s="52"/>
      <c r="G832" s="53"/>
      <c r="H832" s="54"/>
      <c r="I832" s="55"/>
      <c r="J832" s="53"/>
      <c r="K832" s="53"/>
      <c r="L832" s="53"/>
      <c r="M832" s="56"/>
      <c r="N832" s="53"/>
      <c r="O832" s="57"/>
      <c r="Q832" s="53"/>
      <c r="R832" s="53"/>
      <c r="S832" s="53"/>
      <c r="T832" s="59"/>
      <c r="U832" s="59"/>
      <c r="V832" s="53"/>
      <c r="W832" s="53"/>
      <c r="X832" s="53"/>
      <c r="Y832" s="9" t="e">
        <f t="shared" si="12"/>
        <v>#DIV/0!</v>
      </c>
      <c r="Z832" s="60"/>
      <c r="AC832" s="61"/>
      <c r="AD832" s="53"/>
      <c r="AE832" s="56"/>
      <c r="AF832" s="62"/>
      <c r="AG832" s="63"/>
      <c r="AH832" s="61"/>
      <c r="AO832" s="64" t="s">
        <v>79</v>
      </c>
      <c r="AP832" s="65">
        <v>2.8</v>
      </c>
      <c r="AQ832" s="65">
        <v>2.8</v>
      </c>
      <c r="AR832" s="65"/>
      <c r="AS832" s="65"/>
      <c r="AT832" s="65"/>
      <c r="AU832" s="65"/>
      <c r="AV832" s="65"/>
      <c r="AW832" s="65"/>
      <c r="AX832" s="65"/>
      <c r="AY832" s="65"/>
      <c r="AZ832" s="65"/>
      <c r="BA832" s="65"/>
      <c r="BB832" s="65"/>
      <c r="BC832" s="65"/>
      <c r="BD832" s="65"/>
      <c r="BE832" s="65"/>
      <c r="BF832" s="65"/>
      <c r="BG832" s="65"/>
      <c r="BH832" s="65"/>
      <c r="BI832" s="65"/>
      <c r="BJ832" s="65"/>
      <c r="BK832" s="65"/>
      <c r="BL832" s="65"/>
      <c r="BM832" s="65"/>
      <c r="BN832" s="65"/>
      <c r="BO832" s="65"/>
    </row>
    <row r="833" spans="1:67" s="58" customFormat="1" x14ac:dyDescent="0.2">
      <c r="A833" s="49"/>
      <c r="B833" s="50"/>
      <c r="C833" s="51"/>
      <c r="D833" s="49"/>
      <c r="E833" s="49"/>
      <c r="F833" s="52"/>
      <c r="G833" s="53"/>
      <c r="H833" s="54"/>
      <c r="I833" s="55"/>
      <c r="J833" s="53"/>
      <c r="K833" s="53"/>
      <c r="L833" s="53"/>
      <c r="M833" s="56"/>
      <c r="N833" s="53"/>
      <c r="O833" s="57"/>
      <c r="Q833" s="53"/>
      <c r="R833" s="53"/>
      <c r="S833" s="53"/>
      <c r="T833" s="59"/>
      <c r="U833" s="59"/>
      <c r="V833" s="53"/>
      <c r="W833" s="53"/>
      <c r="X833" s="53"/>
      <c r="Y833" s="9" t="e">
        <f t="shared" si="12"/>
        <v>#DIV/0!</v>
      </c>
      <c r="Z833" s="60"/>
      <c r="AC833" s="61"/>
      <c r="AD833" s="53"/>
      <c r="AE833" s="56"/>
      <c r="AF833" s="62"/>
      <c r="AG833" s="63"/>
      <c r="AH833" s="61"/>
      <c r="AO833" s="64" t="s">
        <v>80</v>
      </c>
      <c r="AP833" s="65">
        <v>2.8</v>
      </c>
      <c r="AQ833" s="65">
        <v>2.8</v>
      </c>
      <c r="AR833" s="65"/>
      <c r="AS833" s="65"/>
      <c r="AT833" s="65"/>
      <c r="AU833" s="65"/>
      <c r="AV833" s="65"/>
      <c r="AW833" s="65"/>
      <c r="AX833" s="65"/>
      <c r="AY833" s="65"/>
      <c r="AZ833" s="65"/>
      <c r="BA833" s="65"/>
      <c r="BB833" s="65"/>
      <c r="BC833" s="65"/>
      <c r="BD833" s="65"/>
      <c r="BE833" s="65"/>
      <c r="BF833" s="65"/>
      <c r="BG833" s="65"/>
      <c r="BH833" s="65"/>
      <c r="BI833" s="65"/>
      <c r="BJ833" s="65"/>
      <c r="BK833" s="65"/>
      <c r="BL833" s="65"/>
      <c r="BM833" s="65"/>
      <c r="BN833" s="65"/>
      <c r="BO833" s="65"/>
    </row>
    <row r="834" spans="1:67" s="58" customFormat="1" x14ac:dyDescent="0.2">
      <c r="A834" s="49" t="s">
        <v>67</v>
      </c>
      <c r="B834" s="50">
        <v>43286</v>
      </c>
      <c r="C834" s="51">
        <v>0.55763888888888902</v>
      </c>
      <c r="D834" s="49" t="s">
        <v>173</v>
      </c>
      <c r="E834" s="49"/>
      <c r="F834" s="52">
        <v>62</v>
      </c>
      <c r="G834" s="53">
        <v>2</v>
      </c>
      <c r="H834" s="54">
        <v>3.2258064516129031E-2</v>
      </c>
      <c r="I834" s="55">
        <v>6.83E-2</v>
      </c>
      <c r="J834" s="53">
        <v>314.15899999999999</v>
      </c>
      <c r="K834" s="53">
        <v>0.68300000000000005</v>
      </c>
      <c r="L834" s="53">
        <v>10</v>
      </c>
      <c r="M834" s="56">
        <v>229.98462664714492</v>
      </c>
      <c r="N834" s="53">
        <v>1031</v>
      </c>
      <c r="O834" s="57" t="s">
        <v>81</v>
      </c>
      <c r="P834" s="57" t="s">
        <v>82</v>
      </c>
      <c r="Q834" s="53" t="s">
        <v>83</v>
      </c>
      <c r="R834" s="53" t="s">
        <v>84</v>
      </c>
      <c r="S834" s="53"/>
      <c r="T834" s="59">
        <v>1</v>
      </c>
      <c r="U834" s="59">
        <v>1</v>
      </c>
      <c r="V834" s="53">
        <v>5.6</v>
      </c>
      <c r="W834" s="53"/>
      <c r="X834" s="53"/>
      <c r="Y834" s="9">
        <f t="shared" si="12"/>
        <v>229.98462664714492</v>
      </c>
      <c r="Z834" s="60" t="s">
        <v>73</v>
      </c>
      <c r="AA834" s="58" t="s">
        <v>325</v>
      </c>
      <c r="AB834" s="58" t="s">
        <v>75</v>
      </c>
      <c r="AC834" s="61" t="s">
        <v>221</v>
      </c>
      <c r="AD834" s="53" t="s">
        <v>85</v>
      </c>
      <c r="AE834" s="56">
        <v>62.044308106666655</v>
      </c>
      <c r="AF834" s="62"/>
      <c r="AG834" s="63"/>
      <c r="AH834" s="61"/>
      <c r="AO834" s="66" t="s">
        <v>78</v>
      </c>
      <c r="AP834" s="65">
        <v>5.6</v>
      </c>
      <c r="AQ834" s="65">
        <v>5.6</v>
      </c>
      <c r="AR834" s="65"/>
      <c r="AS834" s="65"/>
      <c r="AT834" s="65"/>
      <c r="AU834" s="65"/>
      <c r="AV834" s="65"/>
      <c r="AW834" s="65"/>
      <c r="AX834" s="65"/>
      <c r="AY834" s="65"/>
      <c r="AZ834" s="65"/>
      <c r="BA834" s="65"/>
      <c r="BB834" s="65"/>
      <c r="BC834" s="65"/>
      <c r="BD834" s="65"/>
      <c r="BE834" s="65"/>
      <c r="BF834" s="65"/>
      <c r="BG834" s="65"/>
      <c r="BH834" s="65"/>
      <c r="BI834" s="65"/>
      <c r="BJ834" s="65"/>
      <c r="BK834" s="65"/>
      <c r="BL834" s="65"/>
      <c r="BM834" s="65"/>
      <c r="BN834" s="65"/>
      <c r="BO834" s="65"/>
    </row>
    <row r="835" spans="1:67" s="58" customFormat="1" x14ac:dyDescent="0.2">
      <c r="A835" s="49"/>
      <c r="B835" s="50"/>
      <c r="C835" s="51"/>
      <c r="D835" s="49"/>
      <c r="E835" s="49"/>
      <c r="F835" s="52"/>
      <c r="G835" s="53"/>
      <c r="H835" s="54"/>
      <c r="I835" s="55"/>
      <c r="J835" s="53"/>
      <c r="K835" s="53"/>
      <c r="L835" s="53"/>
      <c r="M835" s="56"/>
      <c r="N835" s="53"/>
      <c r="O835" s="57"/>
      <c r="P835" s="57"/>
      <c r="Q835" s="53"/>
      <c r="R835" s="53"/>
      <c r="S835" s="53"/>
      <c r="T835" s="59"/>
      <c r="U835" s="59"/>
      <c r="V835" s="53"/>
      <c r="W835" s="53"/>
      <c r="X835" s="53"/>
      <c r="Y835" s="9" t="e">
        <f t="shared" ref="Y835:Y898" si="13">(T835*J835)/(G835*I835*L835)</f>
        <v>#DIV/0!</v>
      </c>
      <c r="Z835" s="60"/>
      <c r="AC835" s="61"/>
      <c r="AD835" s="53"/>
      <c r="AE835" s="56"/>
      <c r="AF835" s="62"/>
      <c r="AG835" s="63"/>
      <c r="AH835" s="61"/>
      <c r="AO835" s="64" t="s">
        <v>79</v>
      </c>
      <c r="AP835" s="65">
        <v>4.5999999999999996</v>
      </c>
      <c r="AQ835" s="65">
        <v>4.5999999999999996</v>
      </c>
      <c r="AR835" s="65"/>
      <c r="AS835" s="65"/>
      <c r="AT835" s="65"/>
      <c r="AU835" s="65"/>
      <c r="AV835" s="65"/>
      <c r="AW835" s="65"/>
      <c r="AX835" s="65"/>
      <c r="AY835" s="65"/>
      <c r="AZ835" s="65"/>
      <c r="BA835" s="65"/>
      <c r="BB835" s="65"/>
      <c r="BC835" s="65"/>
      <c r="BD835" s="65"/>
      <c r="BE835" s="65"/>
      <c r="BF835" s="65"/>
      <c r="BG835" s="65"/>
      <c r="BH835" s="65"/>
      <c r="BI835" s="65"/>
      <c r="BJ835" s="65"/>
      <c r="BK835" s="65"/>
      <c r="BL835" s="65"/>
      <c r="BM835" s="65"/>
      <c r="BN835" s="65"/>
      <c r="BO835" s="65"/>
    </row>
    <row r="836" spans="1:67" s="58" customFormat="1" x14ac:dyDescent="0.2">
      <c r="A836" s="49"/>
      <c r="B836" s="50"/>
      <c r="C836" s="51"/>
      <c r="D836" s="49"/>
      <c r="E836" s="49"/>
      <c r="F836" s="52"/>
      <c r="G836" s="53"/>
      <c r="H836" s="54"/>
      <c r="I836" s="55"/>
      <c r="J836" s="53"/>
      <c r="K836" s="53"/>
      <c r="L836" s="53"/>
      <c r="M836" s="56"/>
      <c r="N836" s="53"/>
      <c r="O836" s="57"/>
      <c r="P836" s="57"/>
      <c r="Q836" s="53"/>
      <c r="R836" s="53"/>
      <c r="S836" s="53"/>
      <c r="T836" s="59"/>
      <c r="U836" s="59"/>
      <c r="V836" s="53"/>
      <c r="W836" s="53"/>
      <c r="X836" s="53"/>
      <c r="Y836" s="9" t="e">
        <f t="shared" si="13"/>
        <v>#DIV/0!</v>
      </c>
      <c r="Z836" s="60"/>
      <c r="AC836" s="61"/>
      <c r="AD836" s="53"/>
      <c r="AE836" s="56"/>
      <c r="AF836" s="62"/>
      <c r="AG836" s="63"/>
      <c r="AH836" s="61"/>
      <c r="AO836" s="64" t="s">
        <v>80</v>
      </c>
      <c r="AP836" s="65">
        <v>4.5999999999999996</v>
      </c>
      <c r="AQ836" s="65">
        <v>4.5999999999999996</v>
      </c>
      <c r="AR836" s="65"/>
      <c r="AS836" s="65"/>
      <c r="AT836" s="65"/>
      <c r="AU836" s="65"/>
      <c r="AV836" s="65"/>
      <c r="AW836" s="65"/>
      <c r="AX836" s="65"/>
      <c r="AY836" s="65"/>
      <c r="AZ836" s="65"/>
      <c r="BA836" s="65"/>
      <c r="BB836" s="65"/>
      <c r="BC836" s="65"/>
      <c r="BD836" s="65"/>
      <c r="BE836" s="65"/>
      <c r="BF836" s="65"/>
      <c r="BG836" s="65"/>
      <c r="BH836" s="65"/>
      <c r="BI836" s="65"/>
      <c r="BJ836" s="65"/>
      <c r="BK836" s="65"/>
      <c r="BL836" s="65"/>
      <c r="BM836" s="65"/>
      <c r="BN836" s="65"/>
      <c r="BO836" s="65"/>
    </row>
    <row r="837" spans="1:67" s="58" customFormat="1" x14ac:dyDescent="0.2">
      <c r="A837" s="49" t="s">
        <v>67</v>
      </c>
      <c r="B837" s="50">
        <v>43286</v>
      </c>
      <c r="C837" s="51">
        <v>0.55763888888888902</v>
      </c>
      <c r="D837" s="49" t="s">
        <v>173</v>
      </c>
      <c r="E837" s="49"/>
      <c r="F837" s="52">
        <v>62</v>
      </c>
      <c r="G837" s="53">
        <v>2</v>
      </c>
      <c r="H837" s="54">
        <v>3.2258064516129031E-2</v>
      </c>
      <c r="I837" s="55">
        <v>6.83E-2</v>
      </c>
      <c r="J837" s="53">
        <v>314.15899999999999</v>
      </c>
      <c r="K837" s="53">
        <v>0.68300000000000005</v>
      </c>
      <c r="L837" s="53">
        <v>10</v>
      </c>
      <c r="M837" s="56">
        <v>229.98462664714492</v>
      </c>
      <c r="N837" s="53">
        <v>1037</v>
      </c>
      <c r="O837" s="57" t="s">
        <v>86</v>
      </c>
      <c r="P837" s="57" t="s">
        <v>82</v>
      </c>
      <c r="Q837" s="53" t="s">
        <v>87</v>
      </c>
      <c r="R837" s="53" t="s">
        <v>84</v>
      </c>
      <c r="S837" s="53"/>
      <c r="T837" s="59">
        <v>40</v>
      </c>
      <c r="U837" s="59">
        <v>40</v>
      </c>
      <c r="V837" s="53">
        <v>2.8</v>
      </c>
      <c r="W837" s="53"/>
      <c r="X837" s="53"/>
      <c r="Y837" s="9">
        <f t="shared" si="13"/>
        <v>9199.3850658857973</v>
      </c>
      <c r="Z837" s="60" t="s">
        <v>73</v>
      </c>
      <c r="AA837" s="58" t="s">
        <v>325</v>
      </c>
      <c r="AB837" s="58" t="s">
        <v>75</v>
      </c>
      <c r="AC837" s="61" t="s">
        <v>221</v>
      </c>
      <c r="AD837" s="53" t="s">
        <v>85</v>
      </c>
      <c r="AE837" s="56">
        <v>7.2382233599999992</v>
      </c>
      <c r="AF837" s="62"/>
      <c r="AG837" s="63"/>
      <c r="AH837" s="61"/>
      <c r="AO837" s="66" t="s">
        <v>78</v>
      </c>
      <c r="AP837" s="65">
        <v>2.44</v>
      </c>
      <c r="AQ837" s="65">
        <v>1.9</v>
      </c>
      <c r="AR837" s="65">
        <v>1.9</v>
      </c>
      <c r="AS837" s="65">
        <v>2.8</v>
      </c>
      <c r="AT837" s="65">
        <v>2.8</v>
      </c>
      <c r="AU837" s="65">
        <v>2.8</v>
      </c>
      <c r="AV837" s="65"/>
      <c r="AW837" s="65"/>
      <c r="AX837" s="65"/>
      <c r="AY837" s="65"/>
      <c r="AZ837" s="65"/>
      <c r="BA837" s="65"/>
      <c r="BB837" s="65"/>
      <c r="BC837" s="65"/>
      <c r="BD837" s="65"/>
      <c r="BE837" s="65"/>
      <c r="BF837" s="65"/>
      <c r="BG837" s="65"/>
      <c r="BH837" s="65"/>
      <c r="BI837" s="65"/>
      <c r="BJ837" s="65"/>
      <c r="BK837" s="65"/>
      <c r="BL837" s="65"/>
      <c r="BM837" s="65"/>
      <c r="BN837" s="65"/>
      <c r="BO837" s="65"/>
    </row>
    <row r="838" spans="1:67" s="58" customFormat="1" x14ac:dyDescent="0.2">
      <c r="A838" s="49" t="s">
        <v>67</v>
      </c>
      <c r="B838" s="50">
        <v>43286</v>
      </c>
      <c r="C838" s="51">
        <v>0.55763888888888902</v>
      </c>
      <c r="D838" s="49" t="s">
        <v>173</v>
      </c>
      <c r="E838" s="49"/>
      <c r="F838" s="52">
        <v>62</v>
      </c>
      <c r="G838" s="53">
        <v>2</v>
      </c>
      <c r="H838" s="54">
        <v>3.2258064516129031E-2</v>
      </c>
      <c r="I838" s="55">
        <v>6.83E-2</v>
      </c>
      <c r="J838" s="53">
        <v>314.15899999999999</v>
      </c>
      <c r="K838" s="53">
        <v>0.68300000000000005</v>
      </c>
      <c r="L838" s="53">
        <v>10</v>
      </c>
      <c r="M838" s="56">
        <v>229.98462664714492</v>
      </c>
      <c r="N838" s="53">
        <v>1419</v>
      </c>
      <c r="O838" s="57" t="s">
        <v>94</v>
      </c>
      <c r="P838" s="57" t="s">
        <v>82</v>
      </c>
      <c r="Q838" s="53" t="s">
        <v>95</v>
      </c>
      <c r="R838" s="53" t="s">
        <v>96</v>
      </c>
      <c r="S838" s="53"/>
      <c r="T838" s="59">
        <v>369</v>
      </c>
      <c r="U838" s="59">
        <v>739</v>
      </c>
      <c r="V838" s="53">
        <v>0.8</v>
      </c>
      <c r="W838" s="53">
        <v>0.8</v>
      </c>
      <c r="X838" s="53">
        <v>0.8</v>
      </c>
      <c r="Y838" s="9">
        <f t="shared" si="13"/>
        <v>84864.327232796481</v>
      </c>
      <c r="Z838" s="60" t="s">
        <v>97</v>
      </c>
      <c r="AA838" s="58" t="s">
        <v>325</v>
      </c>
      <c r="AB838" s="58" t="s">
        <v>75</v>
      </c>
      <c r="AC838" s="61" t="s">
        <v>221</v>
      </c>
      <c r="AD838" s="53" t="s">
        <v>85</v>
      </c>
      <c r="AE838" s="56">
        <v>0.18</v>
      </c>
      <c r="AF838" s="56">
        <v>0.18</v>
      </c>
      <c r="AG838" s="56">
        <v>0.18</v>
      </c>
      <c r="AH838" s="56">
        <v>0.18</v>
      </c>
      <c r="AI838" s="56">
        <v>0.18</v>
      </c>
      <c r="AJ838" s="56">
        <v>0.18</v>
      </c>
      <c r="AK838" s="56">
        <v>0.18</v>
      </c>
      <c r="AL838" s="56">
        <v>0.18</v>
      </c>
      <c r="AM838" s="56">
        <v>0.18</v>
      </c>
      <c r="AN838" s="56">
        <v>0.18</v>
      </c>
      <c r="AO838" s="66" t="s">
        <v>78</v>
      </c>
      <c r="AP838" s="65">
        <v>0.75200000000000033</v>
      </c>
      <c r="AQ838" s="65">
        <v>0.7</v>
      </c>
      <c r="AR838" s="65">
        <v>0.7</v>
      </c>
      <c r="AS838" s="65">
        <v>0.7</v>
      </c>
      <c r="AT838" s="65">
        <v>0.7</v>
      </c>
      <c r="AU838" s="65">
        <v>0.7</v>
      </c>
      <c r="AV838" s="65">
        <v>0.7</v>
      </c>
      <c r="AW838" s="65">
        <v>0.7</v>
      </c>
      <c r="AX838" s="65">
        <v>0.7</v>
      </c>
      <c r="AY838" s="65">
        <v>0.7</v>
      </c>
      <c r="AZ838" s="65">
        <v>0.7</v>
      </c>
      <c r="BA838" s="65">
        <v>0.7</v>
      </c>
      <c r="BB838" s="65">
        <v>0.7</v>
      </c>
      <c r="BC838" s="65">
        <v>0.8</v>
      </c>
      <c r="BD838" s="65">
        <v>0.8</v>
      </c>
      <c r="BE838" s="65">
        <v>0.8</v>
      </c>
      <c r="BF838" s="65">
        <v>0.8</v>
      </c>
      <c r="BG838" s="65">
        <v>0.8</v>
      </c>
      <c r="BH838" s="65">
        <v>0.8</v>
      </c>
      <c r="BI838" s="65">
        <v>0.8</v>
      </c>
      <c r="BJ838" s="65">
        <v>0.8</v>
      </c>
      <c r="BK838" s="65">
        <v>0.8</v>
      </c>
      <c r="BL838" s="65">
        <v>0.8</v>
      </c>
      <c r="BM838" s="65">
        <v>0.8</v>
      </c>
      <c r="BN838" s="65">
        <v>0.8</v>
      </c>
      <c r="BO838" s="65">
        <v>0.8</v>
      </c>
    </row>
    <row r="839" spans="1:67" s="58" customFormat="1" x14ac:dyDescent="0.2">
      <c r="A839" s="49" t="s">
        <v>67</v>
      </c>
      <c r="B839" s="50">
        <v>43286</v>
      </c>
      <c r="C839" s="51">
        <v>0.55763888888888902</v>
      </c>
      <c r="D839" s="49" t="s">
        <v>173</v>
      </c>
      <c r="E839" s="49"/>
      <c r="F839" s="52">
        <v>62</v>
      </c>
      <c r="G839" s="53">
        <v>2</v>
      </c>
      <c r="H839" s="54">
        <v>3.2258064516129031E-2</v>
      </c>
      <c r="I839" s="55">
        <v>6.83E-2</v>
      </c>
      <c r="J839" s="53">
        <v>314.15899999999999</v>
      </c>
      <c r="K839" s="53">
        <v>0.68300000000000005</v>
      </c>
      <c r="L839" s="53">
        <v>10</v>
      </c>
      <c r="M839" s="56">
        <v>229.98462664714492</v>
      </c>
      <c r="N839" s="53">
        <v>1503</v>
      </c>
      <c r="O839" s="57" t="s">
        <v>312</v>
      </c>
      <c r="P839" s="57" t="s">
        <v>82</v>
      </c>
      <c r="Q839" s="53" t="s">
        <v>313</v>
      </c>
      <c r="R839" s="53" t="s">
        <v>84</v>
      </c>
      <c r="S839" s="53"/>
      <c r="T839" s="59">
        <v>1</v>
      </c>
      <c r="U839" s="59">
        <v>74</v>
      </c>
      <c r="V839" s="53">
        <v>2.8</v>
      </c>
      <c r="W839" s="53"/>
      <c r="X839" s="53"/>
      <c r="Y839" s="9">
        <f t="shared" si="13"/>
        <v>229.98462664714492</v>
      </c>
      <c r="Z839" s="60" t="s">
        <v>134</v>
      </c>
      <c r="AA839" s="58" t="s">
        <v>325</v>
      </c>
      <c r="AB839" s="58" t="s">
        <v>75</v>
      </c>
      <c r="AC839" s="61" t="s">
        <v>221</v>
      </c>
      <c r="AD839" s="53" t="s">
        <v>104</v>
      </c>
      <c r="AE839" s="56">
        <v>1.7812815299999998</v>
      </c>
      <c r="AF839" s="62"/>
      <c r="AG839" s="63"/>
      <c r="AH839" s="61"/>
      <c r="AO839" s="66" t="s">
        <v>78</v>
      </c>
      <c r="AP839" s="65">
        <v>2.8</v>
      </c>
      <c r="AQ839" s="65">
        <v>2.8</v>
      </c>
      <c r="AR839" s="65">
        <v>2.8</v>
      </c>
      <c r="AS839" s="65">
        <v>2.8</v>
      </c>
      <c r="AT839" s="65">
        <v>2.8</v>
      </c>
      <c r="AU839" s="65">
        <v>2.8</v>
      </c>
      <c r="AV839" s="65"/>
      <c r="AW839" s="65"/>
      <c r="AX839" s="65"/>
      <c r="AY839" s="65"/>
      <c r="AZ839" s="65"/>
      <c r="BA839" s="65"/>
      <c r="BB839" s="65"/>
      <c r="BC839" s="65"/>
      <c r="BD839" s="65"/>
      <c r="BE839" s="65"/>
      <c r="BF839" s="65"/>
      <c r="BG839" s="65"/>
      <c r="BH839" s="65"/>
      <c r="BI839" s="65"/>
      <c r="BJ839" s="65"/>
      <c r="BK839" s="65"/>
      <c r="BL839" s="65"/>
      <c r="BM839" s="65"/>
      <c r="BN839" s="65"/>
      <c r="BO839" s="65"/>
    </row>
    <row r="840" spans="1:67" s="58" customFormat="1" x14ac:dyDescent="0.2">
      <c r="A840" s="49"/>
      <c r="B840" s="50"/>
      <c r="C840" s="51"/>
      <c r="D840" s="49"/>
      <c r="E840" s="49"/>
      <c r="F840" s="52"/>
      <c r="G840" s="53"/>
      <c r="H840" s="54"/>
      <c r="I840" s="55"/>
      <c r="J840" s="53"/>
      <c r="K840" s="53"/>
      <c r="L840" s="53"/>
      <c r="M840" s="56"/>
      <c r="N840" s="53"/>
      <c r="O840" s="57"/>
      <c r="P840" s="57"/>
      <c r="Q840" s="53"/>
      <c r="R840" s="53"/>
      <c r="S840" s="53"/>
      <c r="T840" s="59"/>
      <c r="U840" s="59"/>
      <c r="V840" s="53"/>
      <c r="W840" s="53"/>
      <c r="X840" s="53"/>
      <c r="Y840" s="9" t="e">
        <f t="shared" si="13"/>
        <v>#DIV/0!</v>
      </c>
      <c r="Z840" s="60"/>
      <c r="AC840" s="61"/>
      <c r="AD840" s="53"/>
      <c r="AE840" s="56"/>
      <c r="AF840" s="62"/>
      <c r="AG840" s="63"/>
      <c r="AH840" s="61"/>
      <c r="AO840" s="64" t="s">
        <v>79</v>
      </c>
      <c r="AP840" s="65">
        <v>0.9</v>
      </c>
      <c r="AQ840" s="65">
        <v>0.9</v>
      </c>
      <c r="AR840" s="65">
        <v>0.9</v>
      </c>
      <c r="AS840" s="65">
        <v>0.9</v>
      </c>
      <c r="AT840" s="65">
        <v>0.9</v>
      </c>
      <c r="AU840" s="65">
        <v>0.9</v>
      </c>
      <c r="AV840" s="65"/>
      <c r="AW840" s="65"/>
      <c r="AX840" s="65"/>
      <c r="AY840" s="65"/>
      <c r="AZ840" s="65"/>
      <c r="BA840" s="65"/>
      <c r="BB840" s="65"/>
      <c r="BC840" s="65"/>
      <c r="BD840" s="65"/>
      <c r="BE840" s="65"/>
      <c r="BF840" s="65"/>
      <c r="BG840" s="65"/>
      <c r="BH840" s="65"/>
      <c r="BI840" s="65"/>
      <c r="BJ840" s="65"/>
      <c r="BK840" s="65"/>
      <c r="BL840" s="65"/>
      <c r="BM840" s="65"/>
      <c r="BN840" s="65"/>
      <c r="BO840" s="65"/>
    </row>
    <row r="841" spans="1:67" s="58" customFormat="1" x14ac:dyDescent="0.2">
      <c r="A841" s="49" t="s">
        <v>67</v>
      </c>
      <c r="B841" s="50">
        <v>43257</v>
      </c>
      <c r="C841" s="51">
        <v>0.45972222222222198</v>
      </c>
      <c r="D841" s="49" t="s">
        <v>108</v>
      </c>
      <c r="E841" s="49">
        <v>3</v>
      </c>
      <c r="F841" s="52">
        <v>60.1</v>
      </c>
      <c r="G841" s="53">
        <v>2</v>
      </c>
      <c r="H841" s="54">
        <v>3.3277870216306155E-2</v>
      </c>
      <c r="I841" s="55">
        <v>6.83E-2</v>
      </c>
      <c r="J841" s="53">
        <v>314.15899999999999</v>
      </c>
      <c r="K841" s="53">
        <v>0.68300000000000005</v>
      </c>
      <c r="L841" s="53">
        <v>10</v>
      </c>
      <c r="M841" s="56">
        <v>229.98462664714492</v>
      </c>
      <c r="N841" s="53">
        <v>145</v>
      </c>
      <c r="O841" s="57" t="s">
        <v>69</v>
      </c>
      <c r="P841" s="58" t="s">
        <v>70</v>
      </c>
      <c r="Q841" s="53" t="s">
        <v>71</v>
      </c>
      <c r="R841" s="53" t="s">
        <v>72</v>
      </c>
      <c r="S841" s="53"/>
      <c r="T841" s="59">
        <v>1</v>
      </c>
      <c r="U841" s="59">
        <v>1</v>
      </c>
      <c r="V841" s="53">
        <v>13</v>
      </c>
      <c r="W841" s="53"/>
      <c r="X841" s="53"/>
      <c r="Y841" s="9">
        <f t="shared" si="13"/>
        <v>229.98462664714492</v>
      </c>
      <c r="Z841" s="60" t="s">
        <v>73</v>
      </c>
      <c r="AA841" s="58" t="s">
        <v>326</v>
      </c>
      <c r="AB841" s="58" t="s">
        <v>75</v>
      </c>
      <c r="AC841" s="61" t="s">
        <v>76</v>
      </c>
      <c r="AD841" s="53" t="s">
        <v>77</v>
      </c>
      <c r="AE841" s="56">
        <v>211.55467059999998</v>
      </c>
      <c r="AF841" s="62"/>
      <c r="AG841" s="63"/>
      <c r="AH841" s="61"/>
      <c r="AO841" s="64" t="s">
        <v>78</v>
      </c>
      <c r="AP841" s="65">
        <v>13</v>
      </c>
      <c r="AQ841" s="65">
        <v>13</v>
      </c>
      <c r="AR841" s="65"/>
      <c r="AS841" s="65"/>
      <c r="AT841" s="65"/>
      <c r="AU841" s="65"/>
      <c r="AV841" s="65"/>
      <c r="AW841" s="65"/>
      <c r="AX841" s="65"/>
      <c r="AY841" s="65"/>
      <c r="AZ841" s="65"/>
      <c r="BA841" s="65"/>
      <c r="BB841" s="65"/>
      <c r="BC841" s="65"/>
      <c r="BD841" s="65"/>
      <c r="BE841" s="65"/>
      <c r="BF841" s="65"/>
      <c r="BG841" s="65"/>
      <c r="BH841" s="65"/>
      <c r="BI841" s="65"/>
      <c r="BJ841" s="65"/>
      <c r="BK841" s="65"/>
      <c r="BL841" s="65"/>
      <c r="BM841" s="65"/>
      <c r="BN841" s="65"/>
      <c r="BO841" s="65"/>
    </row>
    <row r="842" spans="1:67" s="58" customFormat="1" x14ac:dyDescent="0.2">
      <c r="A842" s="49"/>
      <c r="B842" s="50"/>
      <c r="C842" s="51"/>
      <c r="D842" s="49"/>
      <c r="E842" s="49"/>
      <c r="F842" s="52"/>
      <c r="G842" s="53"/>
      <c r="H842" s="54"/>
      <c r="I842" s="55"/>
      <c r="J842" s="53"/>
      <c r="K842" s="53"/>
      <c r="L842" s="53"/>
      <c r="M842" s="56"/>
      <c r="N842" s="53"/>
      <c r="O842" s="57"/>
      <c r="Q842" s="53"/>
      <c r="R842" s="53"/>
      <c r="S842" s="53"/>
      <c r="T842" s="59"/>
      <c r="U842" s="59"/>
      <c r="V842" s="53"/>
      <c r="W842" s="53"/>
      <c r="X842" s="53"/>
      <c r="Y842" s="9" t="e">
        <f t="shared" si="13"/>
        <v>#DIV/0!</v>
      </c>
      <c r="Z842" s="60"/>
      <c r="AC842" s="61"/>
      <c r="AD842" s="53"/>
      <c r="AE842" s="56"/>
      <c r="AF842" s="62"/>
      <c r="AG842" s="63"/>
      <c r="AH842" s="61"/>
      <c r="AO842" s="64" t="s">
        <v>79</v>
      </c>
      <c r="AP842" s="65">
        <v>7.4</v>
      </c>
      <c r="AQ842" s="65">
        <v>7.4</v>
      </c>
      <c r="AR842" s="65"/>
      <c r="AS842" s="65"/>
      <c r="AT842" s="65"/>
      <c r="AU842" s="65"/>
      <c r="AV842" s="65"/>
      <c r="AW842" s="65"/>
      <c r="AX842" s="65"/>
      <c r="AY842" s="65"/>
      <c r="AZ842" s="65"/>
      <c r="BA842" s="65"/>
      <c r="BB842" s="65"/>
      <c r="BC842" s="65"/>
      <c r="BD842" s="65"/>
      <c r="BE842" s="65"/>
      <c r="BF842" s="65"/>
      <c r="BG842" s="65"/>
      <c r="BH842" s="65"/>
      <c r="BI842" s="65"/>
      <c r="BJ842" s="65"/>
      <c r="BK842" s="65"/>
      <c r="BL842" s="65"/>
      <c r="BM842" s="65"/>
      <c r="BN842" s="65"/>
      <c r="BO842" s="65"/>
    </row>
    <row r="843" spans="1:67" s="58" customFormat="1" x14ac:dyDescent="0.2">
      <c r="A843" s="49"/>
      <c r="B843" s="50"/>
      <c r="C843" s="51"/>
      <c r="D843" s="49"/>
      <c r="E843" s="49"/>
      <c r="F843" s="52"/>
      <c r="G843" s="53"/>
      <c r="H843" s="54"/>
      <c r="I843" s="55"/>
      <c r="J843" s="53"/>
      <c r="K843" s="53"/>
      <c r="L843" s="53"/>
      <c r="M843" s="56"/>
      <c r="N843" s="53"/>
      <c r="O843" s="57"/>
      <c r="Q843" s="53"/>
      <c r="R843" s="53"/>
      <c r="S843" s="53"/>
      <c r="T843" s="59"/>
      <c r="U843" s="59"/>
      <c r="V843" s="53"/>
      <c r="W843" s="53"/>
      <c r="X843" s="53"/>
      <c r="Y843" s="9" t="e">
        <f t="shared" si="13"/>
        <v>#DIV/0!</v>
      </c>
      <c r="Z843" s="60"/>
      <c r="AC843" s="61"/>
      <c r="AD843" s="53"/>
      <c r="AE843" s="56"/>
      <c r="AF843" s="62"/>
      <c r="AG843" s="63"/>
      <c r="AH843" s="61"/>
      <c r="AO843" s="64" t="s">
        <v>80</v>
      </c>
      <c r="AP843" s="65">
        <v>2.8</v>
      </c>
      <c r="AQ843" s="65">
        <v>2.8</v>
      </c>
      <c r="AR843" s="65"/>
      <c r="AS843" s="65"/>
      <c r="AT843" s="65"/>
      <c r="AU843" s="65"/>
      <c r="AV843" s="65"/>
      <c r="AW843" s="65"/>
      <c r="AX843" s="65"/>
      <c r="AY843" s="65"/>
      <c r="AZ843" s="65"/>
      <c r="BA843" s="65"/>
      <c r="BB843" s="65"/>
      <c r="BC843" s="65"/>
      <c r="BD843" s="65"/>
      <c r="BE843" s="65"/>
      <c r="BF843" s="65"/>
      <c r="BG843" s="65"/>
      <c r="BH843" s="65"/>
      <c r="BI843" s="65"/>
      <c r="BJ843" s="65"/>
      <c r="BK843" s="65"/>
      <c r="BL843" s="65"/>
      <c r="BM843" s="65"/>
      <c r="BN843" s="65"/>
      <c r="BO843" s="65"/>
    </row>
    <row r="844" spans="1:67" s="58" customFormat="1" x14ac:dyDescent="0.2">
      <c r="A844" s="49" t="s">
        <v>67</v>
      </c>
      <c r="B844" s="50">
        <v>43257</v>
      </c>
      <c r="C844" s="51">
        <v>0.45972222222222198</v>
      </c>
      <c r="D844" s="49" t="s">
        <v>108</v>
      </c>
      <c r="E844" s="49">
        <v>3</v>
      </c>
      <c r="F844" s="52">
        <v>60.1</v>
      </c>
      <c r="G844" s="53">
        <v>2</v>
      </c>
      <c r="H844" s="54">
        <v>3.3277870216306155E-2</v>
      </c>
      <c r="I844" s="55">
        <v>6.83E-2</v>
      </c>
      <c r="J844" s="53">
        <v>314.15899999999999</v>
      </c>
      <c r="K844" s="53">
        <v>0.68300000000000005</v>
      </c>
      <c r="L844" s="53">
        <v>10</v>
      </c>
      <c r="M844" s="56">
        <v>229.98462664714492</v>
      </c>
      <c r="N844" s="53">
        <v>1031</v>
      </c>
      <c r="O844" s="57" t="s">
        <v>81</v>
      </c>
      <c r="P844" s="57" t="s">
        <v>82</v>
      </c>
      <c r="Q844" s="53" t="s">
        <v>83</v>
      </c>
      <c r="R844" s="53" t="s">
        <v>84</v>
      </c>
      <c r="S844" s="53"/>
      <c r="T844" s="59">
        <v>1</v>
      </c>
      <c r="U844" s="59">
        <v>1</v>
      </c>
      <c r="V844" s="53">
        <v>5.6</v>
      </c>
      <c r="W844" s="53"/>
      <c r="X844" s="53"/>
      <c r="Y844" s="9">
        <f t="shared" si="13"/>
        <v>229.98462664714492</v>
      </c>
      <c r="Z844" s="60" t="s">
        <v>73</v>
      </c>
      <c r="AA844" s="58" t="s">
        <v>326</v>
      </c>
      <c r="AB844" s="58" t="s">
        <v>75</v>
      </c>
      <c r="AC844" s="61" t="s">
        <v>76</v>
      </c>
      <c r="AD844" s="53" t="s">
        <v>85</v>
      </c>
      <c r="AE844" s="56">
        <v>75.532201173333306</v>
      </c>
      <c r="AF844" s="62"/>
      <c r="AG844" s="63"/>
      <c r="AH844" s="61"/>
      <c r="AO844" s="64" t="s">
        <v>78</v>
      </c>
      <c r="AP844" s="65">
        <v>5.6</v>
      </c>
      <c r="AQ844" s="65">
        <v>5.6</v>
      </c>
      <c r="AR844" s="65"/>
      <c r="AS844" s="65"/>
      <c r="AT844" s="65"/>
      <c r="AU844" s="65"/>
      <c r="AV844" s="65"/>
      <c r="AW844" s="65"/>
      <c r="AX844" s="65"/>
      <c r="AY844" s="65"/>
      <c r="AZ844" s="65"/>
      <c r="BA844" s="65"/>
      <c r="BB844" s="65"/>
      <c r="BC844" s="65"/>
      <c r="BD844" s="65"/>
      <c r="BE844" s="65"/>
      <c r="BF844" s="65"/>
      <c r="BG844" s="65"/>
      <c r="BH844" s="65"/>
      <c r="BI844" s="65"/>
      <c r="BJ844" s="65"/>
      <c r="BK844" s="65"/>
      <c r="BL844" s="65"/>
      <c r="BM844" s="65"/>
      <c r="BN844" s="65"/>
      <c r="BO844" s="65"/>
    </row>
    <row r="845" spans="1:67" s="58" customFormat="1" x14ac:dyDescent="0.2">
      <c r="A845" s="49"/>
      <c r="B845" s="50"/>
      <c r="C845" s="51"/>
      <c r="D845" s="49"/>
      <c r="E845" s="49"/>
      <c r="F845" s="52"/>
      <c r="G845" s="53"/>
      <c r="H845" s="54"/>
      <c r="I845" s="55"/>
      <c r="J845" s="53"/>
      <c r="K845" s="53"/>
      <c r="L845" s="53"/>
      <c r="M845" s="56"/>
      <c r="N845" s="53"/>
      <c r="O845" s="57"/>
      <c r="P845" s="57"/>
      <c r="Q845" s="53"/>
      <c r="R845" s="53"/>
      <c r="S845" s="53"/>
      <c r="T845" s="59"/>
      <c r="U845" s="59"/>
      <c r="V845" s="53"/>
      <c r="W845" s="53"/>
      <c r="X845" s="53"/>
      <c r="Y845" s="9" t="e">
        <f t="shared" si="13"/>
        <v>#DIV/0!</v>
      </c>
      <c r="Z845" s="60"/>
      <c r="AC845" s="61"/>
      <c r="AD845" s="53"/>
      <c r="AE845" s="56"/>
      <c r="AF845" s="62"/>
      <c r="AG845" s="63"/>
      <c r="AH845" s="61"/>
      <c r="AO845" s="64" t="s">
        <v>79</v>
      </c>
      <c r="AP845" s="65">
        <v>5.6</v>
      </c>
      <c r="AQ845" s="65">
        <v>5.6</v>
      </c>
      <c r="AR845" s="65"/>
      <c r="AS845" s="65"/>
      <c r="AT845" s="65"/>
      <c r="AU845" s="65"/>
      <c r="AV845" s="65"/>
      <c r="AW845" s="65"/>
      <c r="AX845" s="65"/>
      <c r="AY845" s="65"/>
      <c r="AZ845" s="65"/>
      <c r="BA845" s="65"/>
      <c r="BB845" s="65"/>
      <c r="BC845" s="65"/>
      <c r="BD845" s="65"/>
      <c r="BE845" s="65"/>
      <c r="BF845" s="65"/>
      <c r="BG845" s="65"/>
      <c r="BH845" s="65"/>
      <c r="BI845" s="65"/>
      <c r="BJ845" s="65"/>
      <c r="BK845" s="65"/>
      <c r="BL845" s="65"/>
      <c r="BM845" s="65"/>
      <c r="BN845" s="65"/>
      <c r="BO845" s="65"/>
    </row>
    <row r="846" spans="1:67" s="58" customFormat="1" x14ac:dyDescent="0.2">
      <c r="A846" s="49"/>
      <c r="B846" s="50"/>
      <c r="C846" s="51"/>
      <c r="D846" s="49"/>
      <c r="E846" s="49"/>
      <c r="F846" s="52"/>
      <c r="G846" s="53"/>
      <c r="H846" s="54"/>
      <c r="I846" s="55"/>
      <c r="J846" s="53"/>
      <c r="K846" s="53"/>
      <c r="L846" s="53"/>
      <c r="M846" s="56"/>
      <c r="N846" s="53"/>
      <c r="O846" s="57"/>
      <c r="P846" s="57"/>
      <c r="Q846" s="53"/>
      <c r="R846" s="53"/>
      <c r="S846" s="53"/>
      <c r="T846" s="59"/>
      <c r="U846" s="59"/>
      <c r="V846" s="53"/>
      <c r="W846" s="53"/>
      <c r="X846" s="53"/>
      <c r="Y846" s="9" t="e">
        <f t="shared" si="13"/>
        <v>#DIV/0!</v>
      </c>
      <c r="Z846" s="60"/>
      <c r="AC846" s="61"/>
      <c r="AD846" s="53"/>
      <c r="AE846" s="56"/>
      <c r="AF846" s="62"/>
      <c r="AG846" s="63"/>
      <c r="AH846" s="61"/>
      <c r="AO846" s="64" t="s">
        <v>80</v>
      </c>
      <c r="AP846" s="65">
        <v>4.5999999999999996</v>
      </c>
      <c r="AQ846" s="65">
        <v>4.5999999999999996</v>
      </c>
      <c r="AR846" s="65"/>
      <c r="AS846" s="65"/>
      <c r="AT846" s="65"/>
      <c r="AU846" s="65"/>
      <c r="AV846" s="65"/>
      <c r="AW846" s="65"/>
      <c r="AX846" s="65"/>
      <c r="AY846" s="65"/>
      <c r="AZ846" s="65"/>
      <c r="BA846" s="65"/>
      <c r="BB846" s="65"/>
      <c r="BC846" s="65"/>
      <c r="BD846" s="65"/>
      <c r="BE846" s="65"/>
      <c r="BF846" s="65"/>
      <c r="BG846" s="65"/>
      <c r="BH846" s="65"/>
      <c r="BI846" s="65"/>
      <c r="BJ846" s="65"/>
      <c r="BK846" s="65"/>
      <c r="BL846" s="65"/>
      <c r="BM846" s="65"/>
      <c r="BN846" s="65"/>
      <c r="BO846" s="65"/>
    </row>
    <row r="847" spans="1:67" s="58" customFormat="1" x14ac:dyDescent="0.2">
      <c r="A847" s="49" t="s">
        <v>67</v>
      </c>
      <c r="B847" s="50">
        <v>43257</v>
      </c>
      <c r="C847" s="51">
        <v>0.45972222222222198</v>
      </c>
      <c r="D847" s="49" t="s">
        <v>108</v>
      </c>
      <c r="E847" s="49">
        <v>3</v>
      </c>
      <c r="F847" s="52">
        <v>60.1</v>
      </c>
      <c r="G847" s="53">
        <v>2</v>
      </c>
      <c r="H847" s="54">
        <v>3.3277870216306155E-2</v>
      </c>
      <c r="I847" s="55">
        <v>6.83E-2</v>
      </c>
      <c r="J847" s="53">
        <v>314.15899999999999</v>
      </c>
      <c r="K847" s="53">
        <v>0.68300000000000005</v>
      </c>
      <c r="L847" s="53">
        <v>10</v>
      </c>
      <c r="M847" s="56">
        <v>229.98462664714492</v>
      </c>
      <c r="N847" s="53">
        <v>1037</v>
      </c>
      <c r="O847" s="57" t="s">
        <v>86</v>
      </c>
      <c r="P847" s="57" t="s">
        <v>82</v>
      </c>
      <c r="Q847" s="53" t="s">
        <v>87</v>
      </c>
      <c r="R847" s="53" t="s">
        <v>84</v>
      </c>
      <c r="S847" s="53"/>
      <c r="T847" s="59">
        <v>20</v>
      </c>
      <c r="U847" s="59">
        <v>20</v>
      </c>
      <c r="V847" s="53">
        <v>3.7</v>
      </c>
      <c r="W847" s="53"/>
      <c r="X847" s="53"/>
      <c r="Y847" s="9">
        <f t="shared" si="13"/>
        <v>4599.6925329428987</v>
      </c>
      <c r="Z847" s="60" t="s">
        <v>73</v>
      </c>
      <c r="AA847" s="58" t="s">
        <v>326</v>
      </c>
      <c r="AB847" s="58" t="s">
        <v>75</v>
      </c>
      <c r="AC847" s="61" t="s">
        <v>76</v>
      </c>
      <c r="AD847" s="53" t="s">
        <v>85</v>
      </c>
      <c r="AE847" s="56">
        <v>9.2027643066666673</v>
      </c>
      <c r="AF847" s="62"/>
      <c r="AG847" s="63"/>
      <c r="AH847" s="61"/>
      <c r="AO847" s="64" t="s">
        <v>78</v>
      </c>
      <c r="AP847" s="65">
        <v>2.62</v>
      </c>
      <c r="AQ847" s="65">
        <v>2.8</v>
      </c>
      <c r="AR847" s="65">
        <v>2.8</v>
      </c>
      <c r="AS847" s="65">
        <v>3.7</v>
      </c>
      <c r="AT847" s="65">
        <v>1.9</v>
      </c>
      <c r="AU847" s="65">
        <v>1.9</v>
      </c>
      <c r="AV847" s="65"/>
      <c r="AW847" s="65"/>
      <c r="AX847" s="65"/>
      <c r="AY847" s="65"/>
      <c r="AZ847" s="65"/>
      <c r="BA847" s="65"/>
      <c r="BB847" s="65"/>
      <c r="BC847" s="65"/>
      <c r="BD847" s="65"/>
      <c r="BE847" s="65"/>
      <c r="BF847" s="65"/>
      <c r="BG847" s="65"/>
      <c r="BH847" s="65"/>
      <c r="BI847" s="65"/>
      <c r="BJ847" s="65"/>
      <c r="BK847" s="65"/>
      <c r="BL847" s="65"/>
      <c r="BM847" s="65"/>
      <c r="BN847" s="65"/>
      <c r="BO847" s="65"/>
    </row>
    <row r="848" spans="1:67" s="58" customFormat="1" x14ac:dyDescent="0.2">
      <c r="A848" s="49" t="s">
        <v>67</v>
      </c>
      <c r="B848" s="50">
        <v>43257</v>
      </c>
      <c r="C848" s="51">
        <v>0.45972222222222198</v>
      </c>
      <c r="D848" s="49" t="s">
        <v>108</v>
      </c>
      <c r="E848" s="49">
        <v>3</v>
      </c>
      <c r="F848" s="52">
        <v>60.1</v>
      </c>
      <c r="G848" s="53">
        <v>2</v>
      </c>
      <c r="H848" s="54">
        <v>3.3277870216306155E-2</v>
      </c>
      <c r="I848" s="55">
        <v>6.83E-2</v>
      </c>
      <c r="J848" s="53">
        <v>314.15899999999999</v>
      </c>
      <c r="K848" s="53">
        <v>0.68300000000000005</v>
      </c>
      <c r="L848" s="53">
        <v>10</v>
      </c>
      <c r="M848" s="56">
        <v>229.98462664714492</v>
      </c>
      <c r="N848" s="53">
        <v>1135</v>
      </c>
      <c r="O848" s="58" t="s">
        <v>282</v>
      </c>
      <c r="P848" s="57" t="s">
        <v>82</v>
      </c>
      <c r="Q848" s="53" t="s">
        <v>127</v>
      </c>
      <c r="R848" s="53" t="s">
        <v>283</v>
      </c>
      <c r="S848" s="53"/>
      <c r="T848" s="59">
        <v>1</v>
      </c>
      <c r="U848" s="59">
        <v>1</v>
      </c>
      <c r="V848" s="53">
        <v>7.4</v>
      </c>
      <c r="W848" s="53"/>
      <c r="X848" s="53"/>
      <c r="Y848" s="9">
        <f t="shared" si="13"/>
        <v>229.98462664714492</v>
      </c>
      <c r="Z848" s="60" t="s">
        <v>73</v>
      </c>
      <c r="AA848" s="58" t="s">
        <v>326</v>
      </c>
      <c r="AB848" s="58" t="s">
        <v>75</v>
      </c>
      <c r="AC848" s="61" t="s">
        <v>76</v>
      </c>
      <c r="AD848" s="53" t="s">
        <v>129</v>
      </c>
      <c r="AE848" s="56">
        <v>13.987405876666664</v>
      </c>
      <c r="AF848" s="62"/>
      <c r="AG848" s="63"/>
      <c r="AH848" s="61"/>
      <c r="AO848" s="64" t="s">
        <v>78</v>
      </c>
      <c r="AP848" s="65">
        <v>7.4</v>
      </c>
      <c r="AQ848" s="65">
        <v>7.4</v>
      </c>
      <c r="AR848" s="65"/>
      <c r="AS848" s="65"/>
      <c r="AT848" s="65"/>
      <c r="AU848" s="65"/>
      <c r="AV848" s="65"/>
      <c r="AW848" s="65"/>
      <c r="AX848" s="65"/>
      <c r="AY848" s="65"/>
      <c r="AZ848" s="65"/>
      <c r="BA848" s="65"/>
      <c r="BB848" s="65"/>
      <c r="BC848" s="65"/>
      <c r="BD848" s="65"/>
      <c r="BE848" s="65"/>
      <c r="BF848" s="65"/>
      <c r="BG848" s="65"/>
      <c r="BH848" s="65"/>
      <c r="BI848" s="65"/>
      <c r="BJ848" s="65"/>
      <c r="BK848" s="65"/>
      <c r="BL848" s="65"/>
      <c r="BM848" s="65"/>
      <c r="BN848" s="65"/>
      <c r="BO848" s="65"/>
    </row>
    <row r="849" spans="1:67" s="58" customFormat="1" x14ac:dyDescent="0.2">
      <c r="A849" s="49"/>
      <c r="B849" s="50"/>
      <c r="C849" s="51"/>
      <c r="D849" s="49"/>
      <c r="E849" s="49"/>
      <c r="F849" s="52"/>
      <c r="G849" s="53"/>
      <c r="H849" s="54"/>
      <c r="I849" s="55"/>
      <c r="J849" s="53"/>
      <c r="K849" s="53"/>
      <c r="L849" s="53"/>
      <c r="M849" s="56"/>
      <c r="N849" s="53"/>
      <c r="P849" s="57"/>
      <c r="Q849" s="53"/>
      <c r="R849" s="53"/>
      <c r="S849" s="53"/>
      <c r="T849" s="59"/>
      <c r="U849" s="59"/>
      <c r="V849" s="53"/>
      <c r="W849" s="53"/>
      <c r="X849" s="53"/>
      <c r="Y849" s="9" t="e">
        <f t="shared" si="13"/>
        <v>#DIV/0!</v>
      </c>
      <c r="Z849" s="60"/>
      <c r="AC849" s="61"/>
      <c r="AD849" s="53"/>
      <c r="AE849" s="56"/>
      <c r="AF849" s="62"/>
      <c r="AG849" s="63"/>
      <c r="AH849" s="61"/>
      <c r="AO849" s="64" t="s">
        <v>79</v>
      </c>
      <c r="AP849" s="65">
        <v>1.9</v>
      </c>
      <c r="AQ849" s="65">
        <v>1.9</v>
      </c>
      <c r="AR849" s="65"/>
      <c r="AS849" s="65"/>
      <c r="AT849" s="65"/>
      <c r="AU849" s="65"/>
      <c r="AV849" s="65"/>
      <c r="AW849" s="65"/>
      <c r="AX849" s="65"/>
      <c r="AY849" s="65"/>
      <c r="AZ849" s="65"/>
      <c r="BA849" s="65"/>
      <c r="BB849" s="65"/>
      <c r="BC849" s="65"/>
      <c r="BD849" s="65"/>
      <c r="BE849" s="65"/>
      <c r="BF849" s="65"/>
      <c r="BG849" s="65"/>
      <c r="BH849" s="65"/>
      <c r="BI849" s="65"/>
      <c r="BJ849" s="65"/>
      <c r="BK849" s="65"/>
      <c r="BL849" s="65"/>
      <c r="BM849" s="65"/>
      <c r="BN849" s="65"/>
      <c r="BO849" s="65"/>
    </row>
    <row r="850" spans="1:67" s="58" customFormat="1" x14ac:dyDescent="0.2">
      <c r="A850" s="49" t="s">
        <v>67</v>
      </c>
      <c r="B850" s="50">
        <v>43257</v>
      </c>
      <c r="C850" s="51">
        <v>0.45972222222222198</v>
      </c>
      <c r="D850" s="49" t="s">
        <v>108</v>
      </c>
      <c r="E850" s="49">
        <v>3</v>
      </c>
      <c r="F850" s="52">
        <v>60.1</v>
      </c>
      <c r="G850" s="53">
        <v>2</v>
      </c>
      <c r="H850" s="54">
        <v>3.3277870216306155E-2</v>
      </c>
      <c r="I850" s="55">
        <v>6.83E-2</v>
      </c>
      <c r="J850" s="53">
        <v>314.15899999999999</v>
      </c>
      <c r="K850" s="53">
        <v>0.68300000000000005</v>
      </c>
      <c r="L850" s="53">
        <v>10</v>
      </c>
      <c r="M850" s="56">
        <v>229.98462664714492</v>
      </c>
      <c r="N850" s="53">
        <v>1733</v>
      </c>
      <c r="O850" s="57" t="s">
        <v>92</v>
      </c>
      <c r="P850" s="57" t="s">
        <v>82</v>
      </c>
      <c r="Q850" s="53" t="s">
        <v>89</v>
      </c>
      <c r="R850" s="53" t="s">
        <v>93</v>
      </c>
      <c r="S850" s="53"/>
      <c r="T850" s="59">
        <v>2</v>
      </c>
      <c r="U850" s="59">
        <v>2</v>
      </c>
      <c r="V850" s="53">
        <v>7.4</v>
      </c>
      <c r="W850" s="53"/>
      <c r="X850" s="53"/>
      <c r="Y850" s="9">
        <f t="shared" si="13"/>
        <v>459.96925329428984</v>
      </c>
      <c r="Z850" s="60" t="s">
        <v>73</v>
      </c>
      <c r="AA850" s="58" t="s">
        <v>326</v>
      </c>
      <c r="AB850" s="58" t="s">
        <v>75</v>
      </c>
      <c r="AC850" s="61" t="s">
        <v>76</v>
      </c>
      <c r="AD850" s="53" t="s">
        <v>91</v>
      </c>
      <c r="AE850" s="56">
        <v>117.24675679166666</v>
      </c>
      <c r="AF850" s="62"/>
      <c r="AG850" s="63"/>
      <c r="AH850" s="61"/>
      <c r="AO850" s="64" t="s">
        <v>78</v>
      </c>
      <c r="AP850" s="65">
        <v>6.5</v>
      </c>
      <c r="AQ850" s="65">
        <v>7.4</v>
      </c>
      <c r="AR850" s="65">
        <v>5.6</v>
      </c>
      <c r="AS850" s="65"/>
      <c r="AT850" s="65"/>
      <c r="AU850" s="65"/>
      <c r="AV850" s="65"/>
      <c r="AW850" s="65"/>
      <c r="AX850" s="65"/>
      <c r="AY850" s="65"/>
      <c r="AZ850" s="65"/>
      <c r="BA850" s="65"/>
      <c r="BB850" s="65"/>
      <c r="BC850" s="65"/>
      <c r="BD850" s="65"/>
      <c r="BE850" s="65"/>
      <c r="BF850" s="65"/>
      <c r="BG850" s="65"/>
      <c r="BH850" s="65"/>
      <c r="BI850" s="65"/>
      <c r="BJ850" s="65"/>
      <c r="BK850" s="65"/>
      <c r="BL850" s="65"/>
      <c r="BM850" s="65"/>
      <c r="BN850" s="65"/>
      <c r="BO850" s="65"/>
    </row>
    <row r="851" spans="1:67" s="58" customFormat="1" x14ac:dyDescent="0.2">
      <c r="A851" s="49"/>
      <c r="B851" s="50"/>
      <c r="C851" s="51"/>
      <c r="D851" s="49"/>
      <c r="E851" s="49"/>
      <c r="F851" s="52"/>
      <c r="G851" s="53"/>
      <c r="H851" s="54"/>
      <c r="I851" s="55"/>
      <c r="J851" s="53"/>
      <c r="K851" s="53"/>
      <c r="L851" s="53"/>
      <c r="M851" s="56"/>
      <c r="N851" s="53"/>
      <c r="O851" s="57"/>
      <c r="P851" s="57"/>
      <c r="Q851" s="53"/>
      <c r="R851" s="53"/>
      <c r="S851" s="53"/>
      <c r="T851" s="59"/>
      <c r="U851" s="59"/>
      <c r="V851" s="53"/>
      <c r="W851" s="53"/>
      <c r="X851" s="53"/>
      <c r="Y851" s="9" t="e">
        <f t="shared" si="13"/>
        <v>#DIV/0!</v>
      </c>
      <c r="Z851" s="60"/>
      <c r="AC851" s="61"/>
      <c r="AD851" s="53"/>
      <c r="AE851" s="56"/>
      <c r="AF851" s="62"/>
      <c r="AG851" s="63"/>
      <c r="AH851" s="61"/>
      <c r="AO851" s="64" t="s">
        <v>79</v>
      </c>
      <c r="AP851" s="65">
        <v>4.05</v>
      </c>
      <c r="AQ851" s="65">
        <v>4.5999999999999996</v>
      </c>
      <c r="AR851" s="65">
        <v>3.5</v>
      </c>
      <c r="AS851" s="65"/>
      <c r="AT851" s="65"/>
      <c r="AU851" s="65"/>
      <c r="AV851" s="65"/>
      <c r="AW851" s="65"/>
      <c r="AX851" s="65"/>
      <c r="AY851" s="65"/>
      <c r="AZ851" s="65"/>
      <c r="BA851" s="65"/>
      <c r="BB851" s="65"/>
      <c r="BC851" s="65"/>
      <c r="BD851" s="65"/>
      <c r="BE851" s="65"/>
      <c r="BF851" s="65"/>
      <c r="BG851" s="65"/>
      <c r="BH851" s="65"/>
      <c r="BI851" s="65"/>
      <c r="BJ851" s="65"/>
      <c r="BK851" s="65"/>
      <c r="BL851" s="65"/>
      <c r="BM851" s="65"/>
      <c r="BN851" s="65"/>
      <c r="BO851" s="65"/>
    </row>
    <row r="852" spans="1:67" s="58" customFormat="1" x14ac:dyDescent="0.2">
      <c r="A852" s="49" t="s">
        <v>67</v>
      </c>
      <c r="B852" s="50">
        <v>43257</v>
      </c>
      <c r="C852" s="51">
        <v>0.45972222222222198</v>
      </c>
      <c r="D852" s="49" t="s">
        <v>108</v>
      </c>
      <c r="E852" s="49">
        <v>3</v>
      </c>
      <c r="F852" s="52">
        <v>60.1</v>
      </c>
      <c r="G852" s="53">
        <v>2</v>
      </c>
      <c r="H852" s="54">
        <v>3.3277870216306155E-2</v>
      </c>
      <c r="I852" s="55">
        <v>6.83E-2</v>
      </c>
      <c r="J852" s="53">
        <v>314.15899999999999</v>
      </c>
      <c r="K852" s="53">
        <v>0.68300000000000005</v>
      </c>
      <c r="L852" s="53">
        <v>10</v>
      </c>
      <c r="M852" s="56">
        <v>229.98462664714492</v>
      </c>
      <c r="N852" s="53">
        <v>1419</v>
      </c>
      <c r="O852" s="57" t="s">
        <v>94</v>
      </c>
      <c r="P852" s="57" t="s">
        <v>82</v>
      </c>
      <c r="Q852" s="53" t="s">
        <v>95</v>
      </c>
      <c r="R852" s="53" t="s">
        <v>96</v>
      </c>
      <c r="S852" s="53"/>
      <c r="T852" s="59">
        <v>396</v>
      </c>
      <c r="U852" s="59">
        <v>795</v>
      </c>
      <c r="V852" s="53">
        <v>0.8</v>
      </c>
      <c r="W852" s="53">
        <v>0.8</v>
      </c>
      <c r="X852" s="53">
        <v>0.8</v>
      </c>
      <c r="Y852" s="9">
        <f t="shared" si="13"/>
        <v>91073.912152269389</v>
      </c>
      <c r="Z852" s="60" t="s">
        <v>97</v>
      </c>
      <c r="AA852" s="58" t="s">
        <v>326</v>
      </c>
      <c r="AB852" s="58" t="s">
        <v>75</v>
      </c>
      <c r="AC852" s="61" t="s">
        <v>76</v>
      </c>
      <c r="AD852" s="53" t="s">
        <v>85</v>
      </c>
      <c r="AE852" s="56">
        <v>0.18</v>
      </c>
      <c r="AF852" s="56">
        <v>0.18</v>
      </c>
      <c r="AG852" s="56">
        <v>0.18</v>
      </c>
      <c r="AH852" s="56">
        <v>0.18</v>
      </c>
      <c r="AI852" s="56">
        <v>0.18</v>
      </c>
      <c r="AJ852" s="56">
        <v>0.18</v>
      </c>
      <c r="AK852" s="56">
        <v>0.18</v>
      </c>
      <c r="AL852" s="56">
        <v>0.18</v>
      </c>
      <c r="AM852" s="56">
        <v>0.18</v>
      </c>
      <c r="AN852" s="56">
        <v>0.18</v>
      </c>
      <c r="AO852" s="66" t="s">
        <v>78</v>
      </c>
      <c r="AP852" s="65">
        <v>0.75200000000000033</v>
      </c>
      <c r="AQ852" s="65">
        <v>0.7</v>
      </c>
      <c r="AR852" s="65">
        <v>0.7</v>
      </c>
      <c r="AS852" s="65">
        <v>0.7</v>
      </c>
      <c r="AT852" s="65">
        <v>0.7</v>
      </c>
      <c r="AU852" s="65">
        <v>0.7</v>
      </c>
      <c r="AV852" s="65">
        <v>0.7</v>
      </c>
      <c r="AW852" s="65">
        <v>0.7</v>
      </c>
      <c r="AX852" s="65">
        <v>0.7</v>
      </c>
      <c r="AY852" s="65">
        <v>0.7</v>
      </c>
      <c r="AZ852" s="65">
        <v>0.7</v>
      </c>
      <c r="BA852" s="65">
        <v>0.7</v>
      </c>
      <c r="BB852" s="65">
        <v>0.7</v>
      </c>
      <c r="BC852" s="65">
        <v>0.8</v>
      </c>
      <c r="BD852" s="65">
        <v>0.8</v>
      </c>
      <c r="BE852" s="65">
        <v>0.8</v>
      </c>
      <c r="BF852" s="65">
        <v>0.8</v>
      </c>
      <c r="BG852" s="65">
        <v>0.8</v>
      </c>
      <c r="BH852" s="65">
        <v>0.8</v>
      </c>
      <c r="BI852" s="65">
        <v>0.8</v>
      </c>
      <c r="BJ852" s="65">
        <v>0.8</v>
      </c>
      <c r="BK852" s="65">
        <v>0.8</v>
      </c>
      <c r="BL852" s="65">
        <v>0.8</v>
      </c>
      <c r="BM852" s="65">
        <v>0.8</v>
      </c>
      <c r="BN852" s="65">
        <v>0.8</v>
      </c>
      <c r="BO852" s="65">
        <v>0.8</v>
      </c>
    </row>
    <row r="853" spans="1:67" s="58" customFormat="1" x14ac:dyDescent="0.2">
      <c r="A853" s="49" t="s">
        <v>67</v>
      </c>
      <c r="B853" s="50">
        <v>43257</v>
      </c>
      <c r="C853" s="51">
        <v>0.43402777777777801</v>
      </c>
      <c r="D853" s="49" t="s">
        <v>187</v>
      </c>
      <c r="E853" s="49">
        <v>3</v>
      </c>
      <c r="F853" s="52">
        <v>59</v>
      </c>
      <c r="G853" s="53">
        <v>2</v>
      </c>
      <c r="H853" s="54">
        <v>3.3898305084745763E-2</v>
      </c>
      <c r="I853" s="55">
        <v>6.83E-2</v>
      </c>
      <c r="J853" s="53">
        <v>314.15899999999999</v>
      </c>
      <c r="K853" s="53">
        <v>0.68300000000000005</v>
      </c>
      <c r="L853" s="53">
        <v>10</v>
      </c>
      <c r="M853" s="56">
        <v>229.98462664714492</v>
      </c>
      <c r="N853" s="53">
        <v>190</v>
      </c>
      <c r="O853" s="57" t="s">
        <v>102</v>
      </c>
      <c r="P853" s="58" t="s">
        <v>70</v>
      </c>
      <c r="Q853" s="53" t="s">
        <v>103</v>
      </c>
      <c r="R853" s="53" t="s">
        <v>84</v>
      </c>
      <c r="S853" s="53"/>
      <c r="T853" s="59">
        <v>1</v>
      </c>
      <c r="U853" s="59">
        <v>1</v>
      </c>
      <c r="V853" s="53">
        <v>5.6</v>
      </c>
      <c r="W853" s="53"/>
      <c r="X853" s="53"/>
      <c r="Y853" s="9">
        <f t="shared" si="13"/>
        <v>229.98462664714492</v>
      </c>
      <c r="Z853" s="60" t="s">
        <v>73</v>
      </c>
      <c r="AA853" s="58" t="s">
        <v>327</v>
      </c>
      <c r="AB853" s="58" t="s">
        <v>75</v>
      </c>
      <c r="AC853" s="61" t="s">
        <v>328</v>
      </c>
      <c r="AD853" s="53" t="s">
        <v>104</v>
      </c>
      <c r="AE853" s="56">
        <v>91.131242719999989</v>
      </c>
      <c r="AF853" s="62"/>
      <c r="AG853" s="63"/>
      <c r="AH853" s="61"/>
      <c r="AO853" s="64" t="s">
        <v>78</v>
      </c>
      <c r="AP853" s="65">
        <v>3.7</v>
      </c>
      <c r="AQ853" s="65">
        <v>3.7</v>
      </c>
      <c r="AR853" s="65"/>
      <c r="AS853" s="65"/>
      <c r="AT853" s="65"/>
      <c r="AU853" s="65"/>
      <c r="AV853" s="65"/>
      <c r="AW853" s="65"/>
      <c r="AX853" s="65"/>
      <c r="AY853" s="65"/>
      <c r="AZ853" s="65"/>
      <c r="BA853" s="65"/>
      <c r="BB853" s="65"/>
      <c r="BC853" s="65"/>
      <c r="BD853" s="65"/>
      <c r="BE853" s="65"/>
      <c r="BF853" s="65"/>
      <c r="BG853" s="65"/>
      <c r="BH853" s="65"/>
      <c r="BI853" s="65"/>
      <c r="BJ853" s="65"/>
      <c r="BK853" s="65"/>
      <c r="BL853" s="65"/>
      <c r="BM853" s="65"/>
      <c r="BN853" s="65"/>
      <c r="BO853" s="65"/>
    </row>
    <row r="854" spans="1:67" s="58" customFormat="1" x14ac:dyDescent="0.2">
      <c r="A854" s="49"/>
      <c r="B854" s="50"/>
      <c r="C854" s="51"/>
      <c r="D854" s="49"/>
      <c r="E854" s="49"/>
      <c r="F854" s="52"/>
      <c r="G854" s="53"/>
      <c r="H854" s="54"/>
      <c r="I854" s="55"/>
      <c r="J854" s="53"/>
      <c r="K854" s="53"/>
      <c r="L854" s="53"/>
      <c r="M854" s="56"/>
      <c r="N854" s="53"/>
      <c r="O854" s="57"/>
      <c r="Q854" s="53"/>
      <c r="R854" s="53"/>
      <c r="S854" s="53"/>
      <c r="T854" s="59"/>
      <c r="U854" s="59"/>
      <c r="V854" s="53"/>
      <c r="W854" s="53"/>
      <c r="X854" s="53"/>
      <c r="Y854" s="9" t="e">
        <f t="shared" si="13"/>
        <v>#DIV/0!</v>
      </c>
      <c r="Z854" s="60"/>
      <c r="AC854" s="61"/>
      <c r="AD854" s="53"/>
      <c r="AE854" s="56"/>
      <c r="AF854" s="62"/>
      <c r="AG854" s="63"/>
      <c r="AH854" s="61"/>
      <c r="AO854" s="64" t="s">
        <v>79</v>
      </c>
      <c r="AP854" s="65">
        <v>5.6</v>
      </c>
      <c r="AQ854" s="65">
        <v>5.6</v>
      </c>
      <c r="AR854" s="65"/>
      <c r="AS854" s="65"/>
      <c r="AT854" s="65"/>
      <c r="AU854" s="65"/>
      <c r="AV854" s="65"/>
      <c r="AW854" s="65"/>
      <c r="AX854" s="65"/>
      <c r="AY854" s="65"/>
      <c r="AZ854" s="65"/>
      <c r="BA854" s="65"/>
      <c r="BB854" s="65"/>
      <c r="BC854" s="65"/>
      <c r="BD854" s="65"/>
      <c r="BE854" s="65"/>
      <c r="BF854" s="65"/>
      <c r="BG854" s="65"/>
      <c r="BH854" s="65"/>
      <c r="BI854" s="65"/>
      <c r="BJ854" s="65"/>
      <c r="BK854" s="65"/>
      <c r="BL854" s="65"/>
      <c r="BM854" s="65"/>
      <c r="BN854" s="65"/>
      <c r="BO854" s="65"/>
    </row>
    <row r="855" spans="1:67" s="58" customFormat="1" x14ac:dyDescent="0.2">
      <c r="A855" s="49" t="s">
        <v>67</v>
      </c>
      <c r="B855" s="50">
        <v>43257</v>
      </c>
      <c r="C855" s="51">
        <v>0.43402777777777801</v>
      </c>
      <c r="D855" s="49" t="s">
        <v>187</v>
      </c>
      <c r="E855" s="49">
        <v>3</v>
      </c>
      <c r="F855" s="52">
        <v>59</v>
      </c>
      <c r="G855" s="53">
        <v>2</v>
      </c>
      <c r="H855" s="54">
        <v>3.3898305084745763E-2</v>
      </c>
      <c r="I855" s="55">
        <v>6.83E-2</v>
      </c>
      <c r="J855" s="53">
        <v>314.15899999999999</v>
      </c>
      <c r="K855" s="53">
        <v>0.68300000000000005</v>
      </c>
      <c r="L855" s="53">
        <v>10</v>
      </c>
      <c r="M855" s="56">
        <v>229.98462664714492</v>
      </c>
      <c r="N855" s="53">
        <v>1037</v>
      </c>
      <c r="O855" s="57" t="s">
        <v>86</v>
      </c>
      <c r="P855" s="57" t="s">
        <v>82</v>
      </c>
      <c r="Q855" s="53" t="s">
        <v>87</v>
      </c>
      <c r="R855" s="53" t="s">
        <v>84</v>
      </c>
      <c r="S855" s="53"/>
      <c r="T855" s="59">
        <v>19</v>
      </c>
      <c r="U855" s="59">
        <v>19</v>
      </c>
      <c r="V855" s="53">
        <v>2.8</v>
      </c>
      <c r="W855" s="53"/>
      <c r="X855" s="53"/>
      <c r="Y855" s="9">
        <f t="shared" si="13"/>
        <v>4369.7079062957537</v>
      </c>
      <c r="Z855" s="60" t="s">
        <v>73</v>
      </c>
      <c r="AA855" s="58" t="s">
        <v>327</v>
      </c>
      <c r="AB855" s="58" t="s">
        <v>75</v>
      </c>
      <c r="AC855" s="61" t="s">
        <v>328</v>
      </c>
      <c r="AD855" s="53" t="s">
        <v>85</v>
      </c>
      <c r="AE855" s="56">
        <v>7.2382233599999992</v>
      </c>
      <c r="AF855" s="62"/>
      <c r="AG855" s="63"/>
      <c r="AH855" s="61"/>
      <c r="AO855" s="64" t="s">
        <v>78</v>
      </c>
      <c r="AP855" s="65">
        <v>2.44</v>
      </c>
      <c r="AQ855" s="65">
        <v>1.9</v>
      </c>
      <c r="AR855" s="65">
        <v>1.9</v>
      </c>
      <c r="AS855" s="65">
        <v>2.8</v>
      </c>
      <c r="AT855" s="65">
        <v>2.8</v>
      </c>
      <c r="AU855" s="65">
        <v>2.8</v>
      </c>
      <c r="AV855" s="65"/>
      <c r="AW855" s="65"/>
      <c r="AX855" s="65"/>
      <c r="AY855" s="65"/>
      <c r="AZ855" s="65"/>
      <c r="BA855" s="65"/>
      <c r="BB855" s="65"/>
      <c r="BC855" s="65"/>
      <c r="BD855" s="65"/>
      <c r="BE855" s="65"/>
      <c r="BF855" s="65"/>
      <c r="BG855" s="65"/>
      <c r="BH855" s="65"/>
      <c r="BI855" s="65"/>
      <c r="BJ855" s="65"/>
      <c r="BK855" s="65"/>
      <c r="BL855" s="65"/>
      <c r="BM855" s="65"/>
      <c r="BN855" s="65"/>
      <c r="BO855" s="65"/>
    </row>
    <row r="856" spans="1:67" s="58" customFormat="1" x14ac:dyDescent="0.2">
      <c r="A856" s="49" t="s">
        <v>67</v>
      </c>
      <c r="B856" s="50">
        <v>43257</v>
      </c>
      <c r="C856" s="51">
        <v>0.43402777777777801</v>
      </c>
      <c r="D856" s="49" t="s">
        <v>187</v>
      </c>
      <c r="E856" s="49">
        <v>3</v>
      </c>
      <c r="F856" s="52">
        <v>59</v>
      </c>
      <c r="G856" s="53">
        <v>2</v>
      </c>
      <c r="H856" s="54">
        <v>3.3898305084745763E-2</v>
      </c>
      <c r="I856" s="55">
        <v>6.83E-2</v>
      </c>
      <c r="J856" s="53">
        <v>314.15899999999999</v>
      </c>
      <c r="K856" s="53">
        <v>0.68300000000000005</v>
      </c>
      <c r="L856" s="53">
        <v>10</v>
      </c>
      <c r="M856" s="56">
        <v>229.98462664714492</v>
      </c>
      <c r="N856" s="53">
        <v>1419</v>
      </c>
      <c r="O856" s="57" t="s">
        <v>94</v>
      </c>
      <c r="P856" s="57" t="s">
        <v>82</v>
      </c>
      <c r="Q856" s="53" t="s">
        <v>95</v>
      </c>
      <c r="R856" s="53" t="s">
        <v>96</v>
      </c>
      <c r="S856" s="53"/>
      <c r="T856" s="59">
        <v>393</v>
      </c>
      <c r="U856" s="59">
        <v>789</v>
      </c>
      <c r="V856" s="53">
        <v>0.8</v>
      </c>
      <c r="W856" s="53">
        <v>0.8</v>
      </c>
      <c r="X856" s="53">
        <v>0.8</v>
      </c>
      <c r="Y856" s="9">
        <f t="shared" si="13"/>
        <v>90383.95827232796</v>
      </c>
      <c r="Z856" s="60" t="s">
        <v>97</v>
      </c>
      <c r="AA856" s="58" t="s">
        <v>327</v>
      </c>
      <c r="AB856" s="58" t="s">
        <v>75</v>
      </c>
      <c r="AC856" s="61" t="s">
        <v>328</v>
      </c>
      <c r="AD856" s="53" t="s">
        <v>85</v>
      </c>
      <c r="AE856" s="56">
        <v>0.18</v>
      </c>
      <c r="AF856" s="56">
        <v>0.18</v>
      </c>
      <c r="AG856" s="56">
        <v>0.18</v>
      </c>
      <c r="AH856" s="56">
        <v>0.18</v>
      </c>
      <c r="AI856" s="56">
        <v>0.18</v>
      </c>
      <c r="AJ856" s="56">
        <v>0.18</v>
      </c>
      <c r="AK856" s="56">
        <v>0.18</v>
      </c>
      <c r="AL856" s="56">
        <v>0.18</v>
      </c>
      <c r="AM856" s="56">
        <v>0.18</v>
      </c>
      <c r="AN856" s="56">
        <v>0.18</v>
      </c>
      <c r="AO856" s="66" t="s">
        <v>78</v>
      </c>
      <c r="AP856" s="65">
        <v>0.75200000000000033</v>
      </c>
      <c r="AQ856" s="65">
        <v>0.7</v>
      </c>
      <c r="AR856" s="65">
        <v>0.7</v>
      </c>
      <c r="AS856" s="65">
        <v>0.7</v>
      </c>
      <c r="AT856" s="65">
        <v>0.7</v>
      </c>
      <c r="AU856" s="65">
        <v>0.7</v>
      </c>
      <c r="AV856" s="65">
        <v>0.7</v>
      </c>
      <c r="AW856" s="65">
        <v>0.7</v>
      </c>
      <c r="AX856" s="65">
        <v>0.7</v>
      </c>
      <c r="AY856" s="65">
        <v>0.7</v>
      </c>
      <c r="AZ856" s="65">
        <v>0.7</v>
      </c>
      <c r="BA856" s="65">
        <v>0.7</v>
      </c>
      <c r="BB856" s="65">
        <v>0.7</v>
      </c>
      <c r="BC856" s="65">
        <v>0.8</v>
      </c>
      <c r="BD856" s="65">
        <v>0.8</v>
      </c>
      <c r="BE856" s="65">
        <v>0.8</v>
      </c>
      <c r="BF856" s="65">
        <v>0.8</v>
      </c>
      <c r="BG856" s="65">
        <v>0.8</v>
      </c>
      <c r="BH856" s="65">
        <v>0.8</v>
      </c>
      <c r="BI856" s="65">
        <v>0.8</v>
      </c>
      <c r="BJ856" s="65">
        <v>0.8</v>
      </c>
      <c r="BK856" s="65">
        <v>0.8</v>
      </c>
      <c r="BL856" s="65">
        <v>0.8</v>
      </c>
      <c r="BM856" s="65">
        <v>0.8</v>
      </c>
      <c r="BN856" s="65">
        <v>0.8</v>
      </c>
      <c r="BO856" s="65">
        <v>0.8</v>
      </c>
    </row>
    <row r="857" spans="1:67" s="58" customFormat="1" x14ac:dyDescent="0.2">
      <c r="A857" s="49" t="s">
        <v>67</v>
      </c>
      <c r="B857" s="50">
        <v>43257</v>
      </c>
      <c r="C857" s="51">
        <v>0.43402777777777801</v>
      </c>
      <c r="D857" s="49" t="s">
        <v>187</v>
      </c>
      <c r="E857" s="49">
        <v>3</v>
      </c>
      <c r="F857" s="52">
        <v>59</v>
      </c>
      <c r="G857" s="53">
        <v>2</v>
      </c>
      <c r="H857" s="54">
        <v>3.3898305084745763E-2</v>
      </c>
      <c r="I857" s="55">
        <v>6.83E-2</v>
      </c>
      <c r="J857" s="53">
        <v>314.15899999999999</v>
      </c>
      <c r="K857" s="53">
        <v>0.68300000000000005</v>
      </c>
      <c r="L857" s="53">
        <v>10</v>
      </c>
      <c r="M857" s="56">
        <v>229.98462664714492</v>
      </c>
      <c r="N857" s="53">
        <v>1423</v>
      </c>
      <c r="O857" s="57" t="s">
        <v>163</v>
      </c>
      <c r="P857" s="57" t="s">
        <v>82</v>
      </c>
      <c r="Q857" s="53" t="s">
        <v>95</v>
      </c>
      <c r="R857" s="53" t="s">
        <v>84</v>
      </c>
      <c r="S857" s="53"/>
      <c r="T857" s="59">
        <v>1</v>
      </c>
      <c r="U857" s="59">
        <v>7</v>
      </c>
      <c r="V857" s="53">
        <v>1.9</v>
      </c>
      <c r="W857" s="53"/>
      <c r="X857" s="53"/>
      <c r="Y857" s="9">
        <f t="shared" si="13"/>
        <v>229.98462664714492</v>
      </c>
      <c r="Z857" s="60" t="s">
        <v>97</v>
      </c>
      <c r="AA857" s="58" t="s">
        <v>327</v>
      </c>
      <c r="AB857" s="58" t="s">
        <v>75</v>
      </c>
      <c r="AC857" s="61" t="s">
        <v>328</v>
      </c>
      <c r="AD857" s="53" t="s">
        <v>85</v>
      </c>
      <c r="AE857" s="56">
        <v>3.5913609683333325</v>
      </c>
      <c r="AF857" s="62"/>
      <c r="AG857" s="63"/>
      <c r="AH857" s="61"/>
      <c r="AO857" s="64" t="s">
        <v>78</v>
      </c>
      <c r="AP857" s="65">
        <v>1.9</v>
      </c>
      <c r="AQ857" s="65">
        <v>1.9</v>
      </c>
      <c r="AR857" s="65">
        <v>1.9</v>
      </c>
      <c r="AS857" s="65">
        <v>1.9</v>
      </c>
      <c r="AT857" s="65">
        <v>1.9</v>
      </c>
      <c r="AU857" s="65">
        <v>1.9</v>
      </c>
      <c r="AV857" s="65"/>
      <c r="AW857" s="65"/>
      <c r="AX857" s="65"/>
      <c r="AY857" s="65"/>
      <c r="AZ857" s="65"/>
      <c r="BA857" s="65"/>
      <c r="BB857" s="65"/>
      <c r="BC857" s="65"/>
      <c r="BD857" s="65"/>
      <c r="BE857" s="65"/>
      <c r="BF857" s="65"/>
      <c r="BG857" s="65"/>
      <c r="BH857" s="65"/>
      <c r="BI857" s="65"/>
      <c r="BJ857" s="65"/>
      <c r="BK857" s="65"/>
      <c r="BL857" s="65"/>
      <c r="BM857" s="65"/>
      <c r="BN857" s="65"/>
      <c r="BO857" s="65"/>
    </row>
    <row r="858" spans="1:67" s="58" customFormat="1" x14ac:dyDescent="0.2">
      <c r="A858" s="49" t="s">
        <v>67</v>
      </c>
      <c r="B858" s="50">
        <v>43257</v>
      </c>
      <c r="C858" s="51">
        <v>0.43402777777777801</v>
      </c>
      <c r="D858" s="49" t="s">
        <v>187</v>
      </c>
      <c r="E858" s="49">
        <v>3</v>
      </c>
      <c r="F858" s="52">
        <v>59</v>
      </c>
      <c r="G858" s="53">
        <v>2</v>
      </c>
      <c r="H858" s="54">
        <v>3.3898305084745763E-2</v>
      </c>
      <c r="I858" s="55">
        <v>6.83E-2</v>
      </c>
      <c r="J858" s="53">
        <v>314.15899999999999</v>
      </c>
      <c r="K858" s="53">
        <v>0.68300000000000005</v>
      </c>
      <c r="L858" s="53">
        <v>10</v>
      </c>
      <c r="M858" s="56">
        <v>229.98462664714492</v>
      </c>
      <c r="N858" s="53">
        <v>1519</v>
      </c>
      <c r="O858" s="58" t="s">
        <v>301</v>
      </c>
      <c r="P858" s="57" t="s">
        <v>82</v>
      </c>
      <c r="Q858" s="53" t="s">
        <v>302</v>
      </c>
      <c r="R858" s="53" t="s">
        <v>84</v>
      </c>
      <c r="S858" s="53"/>
      <c r="T858" s="59">
        <v>1</v>
      </c>
      <c r="U858" s="59">
        <v>5</v>
      </c>
      <c r="V858" s="53">
        <v>0.9</v>
      </c>
      <c r="W858" s="53"/>
      <c r="X858" s="53"/>
      <c r="Y858" s="9">
        <f t="shared" si="13"/>
        <v>229.98462664714492</v>
      </c>
      <c r="Z858" s="60" t="s">
        <v>97</v>
      </c>
      <c r="AA858" s="58" t="s">
        <v>327</v>
      </c>
      <c r="AB858" s="58" t="s">
        <v>75</v>
      </c>
      <c r="AC858" s="61" t="s">
        <v>328</v>
      </c>
      <c r="AD858" s="53" t="s">
        <v>85</v>
      </c>
      <c r="AE858" s="56">
        <v>0.381703185</v>
      </c>
      <c r="AF858" s="62"/>
      <c r="AG858" s="63"/>
      <c r="AH858" s="61"/>
      <c r="AO858" s="64" t="s">
        <v>78</v>
      </c>
      <c r="AP858" s="65">
        <v>0.9</v>
      </c>
      <c r="AQ858" s="65">
        <v>0.9</v>
      </c>
      <c r="AR858" s="65">
        <v>0.9</v>
      </c>
      <c r="AS858" s="65">
        <v>0.9</v>
      </c>
      <c r="AT858" s="65">
        <v>0.9</v>
      </c>
      <c r="AU858" s="65">
        <v>0.9</v>
      </c>
      <c r="AV858" s="65"/>
      <c r="AW858" s="65"/>
      <c r="AX858" s="65"/>
      <c r="AY858" s="65"/>
      <c r="AZ858" s="65"/>
      <c r="BA858" s="65"/>
      <c r="BB858" s="65"/>
      <c r="BC858" s="65"/>
      <c r="BD858" s="65"/>
      <c r="BE858" s="65"/>
      <c r="BF858" s="65"/>
      <c r="BG858" s="65"/>
      <c r="BH858" s="65"/>
      <c r="BI858" s="65"/>
      <c r="BJ858" s="65"/>
      <c r="BK858" s="65"/>
      <c r="BL858" s="65"/>
      <c r="BM858" s="65"/>
      <c r="BN858" s="65"/>
      <c r="BO858" s="65"/>
    </row>
    <row r="859" spans="1:67" s="58" customFormat="1" x14ac:dyDescent="0.2">
      <c r="A859" s="49" t="s">
        <v>67</v>
      </c>
      <c r="B859" s="50">
        <v>43257</v>
      </c>
      <c r="C859" s="51">
        <v>0.51041666666666696</v>
      </c>
      <c r="D859" s="49" t="s">
        <v>170</v>
      </c>
      <c r="E859" s="49">
        <v>3</v>
      </c>
      <c r="F859" s="52">
        <v>62</v>
      </c>
      <c r="G859" s="53">
        <v>2</v>
      </c>
      <c r="H859" s="54">
        <v>3.2258064516129031E-2</v>
      </c>
      <c r="I859" s="55">
        <v>6.83E-2</v>
      </c>
      <c r="J859" s="53">
        <v>314.15899999999999</v>
      </c>
      <c r="K859" s="53">
        <v>0.4098</v>
      </c>
      <c r="L859" s="53">
        <v>6</v>
      </c>
      <c r="M859" s="56">
        <v>383.30771107857493</v>
      </c>
      <c r="N859" s="53">
        <v>1037</v>
      </c>
      <c r="O859" s="57" t="s">
        <v>86</v>
      </c>
      <c r="P859" s="57" t="s">
        <v>82</v>
      </c>
      <c r="Q859" s="53" t="s">
        <v>87</v>
      </c>
      <c r="R859" s="53" t="s">
        <v>84</v>
      </c>
      <c r="S859" s="53"/>
      <c r="T859" s="59">
        <v>16</v>
      </c>
      <c r="U859" s="59">
        <v>16</v>
      </c>
      <c r="V859" s="53">
        <v>2.8</v>
      </c>
      <c r="W859" s="53"/>
      <c r="X859" s="53"/>
      <c r="Y859" s="9">
        <f t="shared" si="13"/>
        <v>6132.9233772571988</v>
      </c>
      <c r="Z859" s="60" t="s">
        <v>73</v>
      </c>
      <c r="AA859" s="58" t="s">
        <v>329</v>
      </c>
      <c r="AB859" s="58" t="s">
        <v>75</v>
      </c>
      <c r="AC859" s="61" t="s">
        <v>330</v>
      </c>
      <c r="AD859" s="53" t="s">
        <v>85</v>
      </c>
      <c r="AE859" s="56">
        <v>7.2382233599999992</v>
      </c>
      <c r="AF859" s="62"/>
      <c r="AG859" s="63"/>
      <c r="AH859" s="61"/>
      <c r="AO859" s="64" t="s">
        <v>78</v>
      </c>
      <c r="AP859" s="65">
        <v>2.44</v>
      </c>
      <c r="AQ859" s="65">
        <v>1.9</v>
      </c>
      <c r="AR859" s="65">
        <v>1.9</v>
      </c>
      <c r="AS859" s="65">
        <v>2.8</v>
      </c>
      <c r="AT859" s="65">
        <v>2.8</v>
      </c>
      <c r="AU859" s="65">
        <v>2.8</v>
      </c>
      <c r="AV859" s="65"/>
      <c r="AW859" s="65"/>
      <c r="AX859" s="65"/>
      <c r="AY859" s="65"/>
      <c r="AZ859" s="65"/>
      <c r="BA859" s="65"/>
      <c r="BB859" s="65"/>
      <c r="BC859" s="65"/>
      <c r="BD859" s="65"/>
      <c r="BE859" s="65"/>
      <c r="BF859" s="65"/>
      <c r="BG859" s="65"/>
      <c r="BH859" s="65"/>
      <c r="BI859" s="65"/>
      <c r="BJ859" s="65"/>
      <c r="BK859" s="65"/>
      <c r="BL859" s="65"/>
      <c r="BM859" s="65"/>
      <c r="BN859" s="65"/>
      <c r="BO859" s="65"/>
    </row>
    <row r="860" spans="1:67" s="58" customFormat="1" x14ac:dyDescent="0.2">
      <c r="A860" s="49" t="s">
        <v>67</v>
      </c>
      <c r="B860" s="50">
        <v>43257</v>
      </c>
      <c r="C860" s="51">
        <v>0.51041666666666696</v>
      </c>
      <c r="D860" s="49" t="s">
        <v>170</v>
      </c>
      <c r="E860" s="49">
        <v>3</v>
      </c>
      <c r="F860" s="52">
        <v>62</v>
      </c>
      <c r="G860" s="53">
        <v>2</v>
      </c>
      <c r="H860" s="54">
        <v>3.2258064516129031E-2</v>
      </c>
      <c r="I860" s="55">
        <v>6.83E-2</v>
      </c>
      <c r="J860" s="53">
        <v>314.15899999999999</v>
      </c>
      <c r="K860" s="53">
        <v>0.4098</v>
      </c>
      <c r="L860" s="53">
        <v>6</v>
      </c>
      <c r="M860" s="56">
        <v>383.30771107857493</v>
      </c>
      <c r="N860" s="53">
        <v>1140</v>
      </c>
      <c r="O860" s="57" t="s">
        <v>126</v>
      </c>
      <c r="P860" s="57" t="s">
        <v>82</v>
      </c>
      <c r="Q860" s="53" t="s">
        <v>127</v>
      </c>
      <c r="R860" s="53" t="s">
        <v>128</v>
      </c>
      <c r="S860" s="53"/>
      <c r="T860" s="59">
        <v>1</v>
      </c>
      <c r="U860" s="59">
        <v>1</v>
      </c>
      <c r="V860" s="53">
        <v>11.1</v>
      </c>
      <c r="W860" s="53"/>
      <c r="X860" s="53"/>
      <c r="Y860" s="9">
        <f t="shared" si="13"/>
        <v>383.30771107857493</v>
      </c>
      <c r="Z860" s="60" t="s">
        <v>73</v>
      </c>
      <c r="AA860" s="58" t="s">
        <v>329</v>
      </c>
      <c r="AB860" s="58" t="s">
        <v>75</v>
      </c>
      <c r="AC860" s="61" t="s">
        <v>330</v>
      </c>
      <c r="AD860" s="53" t="s">
        <v>129</v>
      </c>
      <c r="AE860" s="56">
        <v>20.981108814999995</v>
      </c>
      <c r="AF860" s="62"/>
      <c r="AG860" s="63"/>
      <c r="AH860" s="61"/>
      <c r="AO860" s="64" t="s">
        <v>78</v>
      </c>
      <c r="AP860" s="65">
        <v>11.1</v>
      </c>
      <c r="AQ860" s="65">
        <v>11.1</v>
      </c>
      <c r="AR860" s="65"/>
      <c r="AS860" s="65"/>
      <c r="AT860" s="65"/>
      <c r="AU860" s="65"/>
      <c r="AV860" s="65"/>
      <c r="AW860" s="65"/>
      <c r="AX860" s="65"/>
      <c r="AY860" s="65"/>
      <c r="AZ860" s="65"/>
      <c r="BA860" s="65"/>
      <c r="BB860" s="65"/>
      <c r="BC860" s="65"/>
      <c r="BD860" s="65"/>
      <c r="BE860" s="65"/>
      <c r="BF860" s="65"/>
      <c r="BG860" s="65"/>
      <c r="BH860" s="65"/>
      <c r="BI860" s="65"/>
      <c r="BJ860" s="65"/>
      <c r="BK860" s="65"/>
      <c r="BL860" s="65"/>
      <c r="BM860" s="65"/>
      <c r="BN860" s="65"/>
      <c r="BO860" s="65"/>
    </row>
    <row r="861" spans="1:67" s="58" customFormat="1" x14ac:dyDescent="0.2">
      <c r="A861" s="49"/>
      <c r="B861" s="50"/>
      <c r="C861" s="51"/>
      <c r="D861" s="49"/>
      <c r="E861" s="49"/>
      <c r="F861" s="52"/>
      <c r="G861" s="53"/>
      <c r="H861" s="54"/>
      <c r="I861" s="55"/>
      <c r="J861" s="53"/>
      <c r="K861" s="53"/>
      <c r="L861" s="53"/>
      <c r="M861" s="56"/>
      <c r="N861" s="53"/>
      <c r="O861" s="57"/>
      <c r="P861" s="57"/>
      <c r="Q861" s="53"/>
      <c r="R861" s="53"/>
      <c r="S861" s="53"/>
      <c r="T861" s="59"/>
      <c r="U861" s="59"/>
      <c r="V861" s="53"/>
      <c r="W861" s="53"/>
      <c r="X861" s="53"/>
      <c r="Y861" s="9" t="e">
        <f t="shared" si="13"/>
        <v>#DIV/0!</v>
      </c>
      <c r="Z861" s="60"/>
      <c r="AC861" s="61"/>
      <c r="AD861" s="53"/>
      <c r="AE861" s="56"/>
      <c r="AF861" s="62"/>
      <c r="AG861" s="63"/>
      <c r="AH861" s="61"/>
      <c r="AO861" s="64" t="s">
        <v>79</v>
      </c>
      <c r="AP861" s="65">
        <v>1.9</v>
      </c>
      <c r="AQ861" s="65">
        <v>1.9</v>
      </c>
      <c r="AR861" s="65"/>
      <c r="AS861" s="65"/>
      <c r="AT861" s="65"/>
      <c r="AU861" s="65"/>
      <c r="AV861" s="65"/>
      <c r="AW861" s="65"/>
      <c r="AX861" s="65"/>
      <c r="AY861" s="65"/>
      <c r="AZ861" s="65"/>
      <c r="BA861" s="65"/>
      <c r="BB861" s="65"/>
      <c r="BC861" s="65"/>
      <c r="BD861" s="65"/>
      <c r="BE861" s="65"/>
      <c r="BF861" s="65"/>
      <c r="BG861" s="65"/>
      <c r="BH861" s="65"/>
      <c r="BI861" s="65"/>
      <c r="BJ861" s="65"/>
      <c r="BK861" s="65"/>
      <c r="BL861" s="65"/>
      <c r="BM861" s="65"/>
      <c r="BN861" s="65"/>
      <c r="BO861" s="65"/>
    </row>
    <row r="862" spans="1:67" s="58" customFormat="1" x14ac:dyDescent="0.2">
      <c r="A862" s="49" t="s">
        <v>67</v>
      </c>
      <c r="B862" s="50">
        <v>43257</v>
      </c>
      <c r="C862" s="51">
        <v>0.51041666666666696</v>
      </c>
      <c r="D862" s="49" t="s">
        <v>170</v>
      </c>
      <c r="E862" s="49">
        <v>3</v>
      </c>
      <c r="F862" s="52">
        <v>62</v>
      </c>
      <c r="G862" s="53">
        <v>2</v>
      </c>
      <c r="H862" s="54">
        <v>3.2258064516129031E-2</v>
      </c>
      <c r="I862" s="55">
        <v>6.83E-2</v>
      </c>
      <c r="J862" s="53">
        <v>314.15899999999999</v>
      </c>
      <c r="K862" s="53">
        <v>0.4098</v>
      </c>
      <c r="L862" s="53">
        <v>6</v>
      </c>
      <c r="M862" s="56">
        <v>383.30771107857493</v>
      </c>
      <c r="N862" s="53">
        <v>1419</v>
      </c>
      <c r="O862" s="57" t="s">
        <v>94</v>
      </c>
      <c r="P862" s="57" t="s">
        <v>82</v>
      </c>
      <c r="Q862" s="53" t="s">
        <v>95</v>
      </c>
      <c r="R862" s="53" t="s">
        <v>96</v>
      </c>
      <c r="S862" s="53"/>
      <c r="T862" s="59">
        <v>393</v>
      </c>
      <c r="U862" s="59">
        <v>789</v>
      </c>
      <c r="V862" s="53">
        <v>0.8</v>
      </c>
      <c r="W862" s="53">
        <v>0.8</v>
      </c>
      <c r="X862" s="53">
        <v>0.8</v>
      </c>
      <c r="Y862" s="9">
        <f t="shared" si="13"/>
        <v>150639.93045387993</v>
      </c>
      <c r="Z862" s="60" t="s">
        <v>97</v>
      </c>
      <c r="AA862" s="58" t="s">
        <v>329</v>
      </c>
      <c r="AB862" s="58" t="s">
        <v>75</v>
      </c>
      <c r="AC862" s="61" t="s">
        <v>330</v>
      </c>
      <c r="AD862" s="53" t="s">
        <v>85</v>
      </c>
      <c r="AE862" s="56">
        <v>0.18</v>
      </c>
      <c r="AF862" s="56">
        <v>0.18</v>
      </c>
      <c r="AG862" s="56">
        <v>0.18</v>
      </c>
      <c r="AH862" s="56">
        <v>0.18</v>
      </c>
      <c r="AI862" s="56">
        <v>0.18</v>
      </c>
      <c r="AJ862" s="56">
        <v>0.18</v>
      </c>
      <c r="AK862" s="56">
        <v>0.18</v>
      </c>
      <c r="AL862" s="56">
        <v>0.18</v>
      </c>
      <c r="AM862" s="56">
        <v>0.18</v>
      </c>
      <c r="AN862" s="56">
        <v>0.18</v>
      </c>
      <c r="AO862" s="66" t="s">
        <v>78</v>
      </c>
      <c r="AP862" s="65">
        <v>0.75200000000000033</v>
      </c>
      <c r="AQ862" s="65">
        <v>0.7</v>
      </c>
      <c r="AR862" s="65">
        <v>0.7</v>
      </c>
      <c r="AS862" s="65">
        <v>0.7</v>
      </c>
      <c r="AT862" s="65">
        <v>0.7</v>
      </c>
      <c r="AU862" s="65">
        <v>0.7</v>
      </c>
      <c r="AV862" s="65">
        <v>0.7</v>
      </c>
      <c r="AW862" s="65">
        <v>0.7</v>
      </c>
      <c r="AX862" s="65">
        <v>0.7</v>
      </c>
      <c r="AY862" s="65">
        <v>0.7</v>
      </c>
      <c r="AZ862" s="65">
        <v>0.7</v>
      </c>
      <c r="BA862" s="65">
        <v>0.7</v>
      </c>
      <c r="BB862" s="65">
        <v>0.7</v>
      </c>
      <c r="BC862" s="65">
        <v>0.8</v>
      </c>
      <c r="BD862" s="65">
        <v>0.8</v>
      </c>
      <c r="BE862" s="65">
        <v>0.8</v>
      </c>
      <c r="BF862" s="65">
        <v>0.8</v>
      </c>
      <c r="BG862" s="65">
        <v>0.8</v>
      </c>
      <c r="BH862" s="65">
        <v>0.8</v>
      </c>
      <c r="BI862" s="65">
        <v>0.8</v>
      </c>
      <c r="BJ862" s="65">
        <v>0.8</v>
      </c>
      <c r="BK862" s="65">
        <v>0.8</v>
      </c>
      <c r="BL862" s="65">
        <v>0.8</v>
      </c>
      <c r="BM862" s="65">
        <v>0.8</v>
      </c>
      <c r="BN862" s="65">
        <v>0.8</v>
      </c>
      <c r="BO862" s="65">
        <v>0.8</v>
      </c>
    </row>
    <row r="863" spans="1:67" s="58" customFormat="1" x14ac:dyDescent="0.2">
      <c r="A863" s="49" t="s">
        <v>67</v>
      </c>
      <c r="B863" s="50">
        <v>43228</v>
      </c>
      <c r="C863" s="51">
        <v>0.56944444444444398</v>
      </c>
      <c r="D863" s="49" t="s">
        <v>144</v>
      </c>
      <c r="E863" s="49"/>
      <c r="F863" s="52">
        <v>59</v>
      </c>
      <c r="G863" s="53">
        <v>2</v>
      </c>
      <c r="H863" s="54">
        <v>3.3898305084745763E-2</v>
      </c>
      <c r="I863" s="55">
        <v>6.83E-2</v>
      </c>
      <c r="J863" s="53">
        <v>314.15899999999999</v>
      </c>
      <c r="K863" s="53">
        <v>0.61470000000000002</v>
      </c>
      <c r="L863" s="53">
        <v>9</v>
      </c>
      <c r="M863" s="56">
        <v>255.53847405238326</v>
      </c>
      <c r="N863" s="53">
        <v>145</v>
      </c>
      <c r="O863" s="57" t="s">
        <v>69</v>
      </c>
      <c r="P863" s="58" t="s">
        <v>70</v>
      </c>
      <c r="Q863" s="53" t="s">
        <v>71</v>
      </c>
      <c r="R863" s="53" t="s">
        <v>72</v>
      </c>
      <c r="S863" s="53"/>
      <c r="T863" s="59">
        <v>2</v>
      </c>
      <c r="U863" s="59">
        <v>2</v>
      </c>
      <c r="V863" s="53">
        <v>22.2</v>
      </c>
      <c r="W863" s="53"/>
      <c r="X863" s="53"/>
      <c r="Y863" s="9">
        <f t="shared" si="13"/>
        <v>511.07694810476653</v>
      </c>
      <c r="Z863" s="60" t="s">
        <v>73</v>
      </c>
      <c r="AA863" s="58" t="s">
        <v>331</v>
      </c>
      <c r="AB863" s="58" t="s">
        <v>75</v>
      </c>
      <c r="AC863" s="61" t="s">
        <v>76</v>
      </c>
      <c r="AD863" s="53" t="s">
        <v>77</v>
      </c>
      <c r="AE863" s="56">
        <v>928.98072935999994</v>
      </c>
      <c r="AF863" s="62"/>
      <c r="AG863" s="63"/>
      <c r="AH863" s="61"/>
      <c r="AO863" s="64" t="s">
        <v>78</v>
      </c>
      <c r="AP863" s="65">
        <v>22.2</v>
      </c>
      <c r="AQ863" s="65">
        <v>22.2</v>
      </c>
      <c r="AR863" s="65">
        <v>22.2</v>
      </c>
      <c r="AS863" s="65"/>
      <c r="AT863" s="65"/>
      <c r="AU863" s="65"/>
      <c r="AV863" s="65"/>
      <c r="AW863" s="65"/>
      <c r="AX863" s="65"/>
      <c r="AY863" s="65"/>
      <c r="AZ863" s="65"/>
      <c r="BA863" s="65"/>
      <c r="BB863" s="65"/>
      <c r="BC863" s="65"/>
      <c r="BD863" s="65"/>
      <c r="BE863" s="65"/>
      <c r="BF863" s="65"/>
      <c r="BG863" s="65"/>
      <c r="BH863" s="65"/>
      <c r="BI863" s="65"/>
      <c r="BJ863" s="65"/>
      <c r="BK863" s="65"/>
      <c r="BL863" s="65"/>
      <c r="BM863" s="65"/>
      <c r="BN863" s="65"/>
      <c r="BO863" s="65"/>
    </row>
    <row r="864" spans="1:67" s="58" customFormat="1" x14ac:dyDescent="0.2">
      <c r="A864" s="49"/>
      <c r="B864" s="50"/>
      <c r="C864" s="51"/>
      <c r="D864" s="49"/>
      <c r="E864" s="49"/>
      <c r="F864" s="52"/>
      <c r="G864" s="53"/>
      <c r="H864" s="54"/>
      <c r="I864" s="55"/>
      <c r="J864" s="53"/>
      <c r="K864" s="53"/>
      <c r="L864" s="53"/>
      <c r="M864" s="56"/>
      <c r="N864" s="53"/>
      <c r="O864" s="57"/>
      <c r="Q864" s="53"/>
      <c r="R864" s="53"/>
      <c r="S864" s="53"/>
      <c r="T864" s="59"/>
      <c r="U864" s="59"/>
      <c r="V864" s="53"/>
      <c r="W864" s="53"/>
      <c r="X864" s="53"/>
      <c r="Y864" s="9" t="e">
        <f t="shared" si="13"/>
        <v>#DIV/0!</v>
      </c>
      <c r="Z864" s="60"/>
      <c r="AC864" s="61"/>
      <c r="AD864" s="53"/>
      <c r="AE864" s="56"/>
      <c r="AF864" s="62"/>
      <c r="AG864" s="63"/>
      <c r="AH864" s="61"/>
      <c r="AO864" s="64" t="s">
        <v>79</v>
      </c>
      <c r="AP864" s="65">
        <v>14.350000000000001</v>
      </c>
      <c r="AQ864" s="65">
        <v>14.8</v>
      </c>
      <c r="AR864" s="65">
        <v>13.9</v>
      </c>
      <c r="AS864" s="65"/>
      <c r="AT864" s="65"/>
      <c r="AU864" s="65"/>
      <c r="AV864" s="65"/>
      <c r="AW864" s="65"/>
      <c r="AX864" s="65"/>
      <c r="AY864" s="65"/>
      <c r="AZ864" s="65"/>
      <c r="BA864" s="65"/>
      <c r="BB864" s="65"/>
      <c r="BC864" s="65"/>
      <c r="BD864" s="65"/>
      <c r="BE864" s="65"/>
      <c r="BF864" s="65"/>
      <c r="BG864" s="65"/>
      <c r="BH864" s="65"/>
      <c r="BI864" s="65"/>
      <c r="BJ864" s="65"/>
      <c r="BK864" s="65"/>
      <c r="BL864" s="65"/>
      <c r="BM864" s="65"/>
      <c r="BN864" s="65"/>
      <c r="BO864" s="65"/>
    </row>
    <row r="865" spans="1:67" s="58" customFormat="1" x14ac:dyDescent="0.2">
      <c r="A865" s="49"/>
      <c r="B865" s="50"/>
      <c r="C865" s="51"/>
      <c r="D865" s="49"/>
      <c r="E865" s="49"/>
      <c r="F865" s="52"/>
      <c r="G865" s="53"/>
      <c r="H865" s="54"/>
      <c r="I865" s="55"/>
      <c r="J865" s="53"/>
      <c r="K865" s="53"/>
      <c r="L865" s="53"/>
      <c r="M865" s="56"/>
      <c r="N865" s="53"/>
      <c r="O865" s="57"/>
      <c r="Q865" s="53"/>
      <c r="R865" s="53"/>
      <c r="S865" s="53"/>
      <c r="T865" s="59"/>
      <c r="U865" s="59"/>
      <c r="V865" s="53"/>
      <c r="W865" s="53"/>
      <c r="X865" s="53"/>
      <c r="Y865" s="9" t="e">
        <f t="shared" si="13"/>
        <v>#DIV/0!</v>
      </c>
      <c r="Z865" s="60"/>
      <c r="AC865" s="61"/>
      <c r="AD865" s="53"/>
      <c r="AE865" s="56"/>
      <c r="AF865" s="62"/>
      <c r="AG865" s="63"/>
      <c r="AH865" s="61"/>
      <c r="AO865" s="64" t="s">
        <v>80</v>
      </c>
      <c r="AP865" s="65">
        <v>3.7</v>
      </c>
      <c r="AQ865" s="65">
        <v>3.7</v>
      </c>
      <c r="AR865" s="65">
        <v>3.7</v>
      </c>
      <c r="AS865" s="65"/>
      <c r="AT865" s="65"/>
      <c r="AU865" s="65"/>
      <c r="AV865" s="65"/>
      <c r="AW865" s="65"/>
      <c r="AX865" s="65"/>
      <c r="AY865" s="65"/>
      <c r="AZ865" s="65"/>
      <c r="BA865" s="65"/>
      <c r="BB865" s="65"/>
      <c r="BC865" s="65"/>
      <c r="BD865" s="65"/>
      <c r="BE865" s="65"/>
      <c r="BF865" s="65"/>
      <c r="BG865" s="65"/>
      <c r="BH865" s="65"/>
      <c r="BI865" s="65"/>
      <c r="BJ865" s="65"/>
      <c r="BK865" s="65"/>
      <c r="BL865" s="65"/>
      <c r="BM865" s="65"/>
      <c r="BN865" s="65"/>
      <c r="BO865" s="65"/>
    </row>
    <row r="866" spans="1:67" s="58" customFormat="1" x14ac:dyDescent="0.2">
      <c r="A866" s="49" t="s">
        <v>67</v>
      </c>
      <c r="B866" s="50">
        <v>43228</v>
      </c>
      <c r="C866" s="51">
        <v>0.56944444444444398</v>
      </c>
      <c r="D866" s="49" t="s">
        <v>144</v>
      </c>
      <c r="E866" s="49"/>
      <c r="F866" s="52">
        <v>59</v>
      </c>
      <c r="G866" s="53">
        <v>2</v>
      </c>
      <c r="H866" s="54">
        <v>3.3898305084745763E-2</v>
      </c>
      <c r="I866" s="55">
        <v>6.83E-2</v>
      </c>
      <c r="J866" s="53">
        <v>314.15899999999999</v>
      </c>
      <c r="K866" s="53">
        <v>0.61470000000000002</v>
      </c>
      <c r="L866" s="53">
        <v>9</v>
      </c>
      <c r="M866" s="56">
        <v>255.53847405238326</v>
      </c>
      <c r="N866" s="53">
        <v>1031</v>
      </c>
      <c r="O866" s="57" t="s">
        <v>81</v>
      </c>
      <c r="P866" s="57" t="s">
        <v>82</v>
      </c>
      <c r="Q866" s="53" t="s">
        <v>83</v>
      </c>
      <c r="R866" s="53" t="s">
        <v>84</v>
      </c>
      <c r="S866" s="53"/>
      <c r="T866" s="59">
        <v>2</v>
      </c>
      <c r="U866" s="59">
        <v>2</v>
      </c>
      <c r="V866" s="53">
        <v>5.6</v>
      </c>
      <c r="W866" s="53"/>
      <c r="X866" s="53"/>
      <c r="Y866" s="9">
        <f t="shared" si="13"/>
        <v>511.07694810476653</v>
      </c>
      <c r="Z866" s="60" t="s">
        <v>73</v>
      </c>
      <c r="AA866" s="58" t="s">
        <v>331</v>
      </c>
      <c r="AB866" s="58" t="s">
        <v>75</v>
      </c>
      <c r="AC866" s="61" t="s">
        <v>76</v>
      </c>
      <c r="AD866" s="53" t="s">
        <v>85</v>
      </c>
      <c r="AE866" s="56">
        <v>47.105000459999992</v>
      </c>
      <c r="AF866" s="62"/>
      <c r="AG866" s="63"/>
      <c r="AH866" s="61"/>
      <c r="AO866" s="64" t="s">
        <v>78</v>
      </c>
      <c r="AP866" s="65">
        <v>5.0999999999999996</v>
      </c>
      <c r="AQ866" s="65">
        <v>4.5999999999999996</v>
      </c>
      <c r="AR866" s="65">
        <v>5.6</v>
      </c>
      <c r="AS866" s="65"/>
      <c r="AT866" s="65"/>
      <c r="AU866" s="65"/>
      <c r="AV866" s="65"/>
      <c r="AW866" s="65"/>
      <c r="AX866" s="65"/>
      <c r="AY866" s="65"/>
      <c r="AZ866" s="65"/>
      <c r="BA866" s="65"/>
      <c r="BB866" s="65"/>
      <c r="BC866" s="65"/>
      <c r="BD866" s="65"/>
      <c r="BE866" s="65"/>
      <c r="BF866" s="65"/>
      <c r="BG866" s="65"/>
      <c r="BH866" s="65"/>
      <c r="BI866" s="65"/>
      <c r="BJ866" s="65"/>
      <c r="BK866" s="65"/>
      <c r="BL866" s="65"/>
      <c r="BM866" s="65"/>
      <c r="BN866" s="65"/>
      <c r="BO866" s="65"/>
    </row>
    <row r="867" spans="1:67" s="58" customFormat="1" x14ac:dyDescent="0.2">
      <c r="A867" s="49"/>
      <c r="B867" s="50"/>
      <c r="C867" s="51"/>
      <c r="D867" s="49"/>
      <c r="E867" s="49"/>
      <c r="F867" s="52"/>
      <c r="G867" s="53"/>
      <c r="H867" s="54"/>
      <c r="I867" s="55"/>
      <c r="J867" s="53"/>
      <c r="K867" s="53"/>
      <c r="L867" s="53"/>
      <c r="M867" s="56"/>
      <c r="N867" s="53"/>
      <c r="O867" s="57"/>
      <c r="P867" s="57"/>
      <c r="Q867" s="53"/>
      <c r="R867" s="53"/>
      <c r="S867" s="53"/>
      <c r="T867" s="59"/>
      <c r="U867" s="59"/>
      <c r="V867" s="53"/>
      <c r="W867" s="53"/>
      <c r="X867" s="53"/>
      <c r="Y867" s="9" t="e">
        <f t="shared" si="13"/>
        <v>#DIV/0!</v>
      </c>
      <c r="Z867" s="60"/>
      <c r="AC867" s="61"/>
      <c r="AD867" s="53"/>
      <c r="AE867" s="56"/>
      <c r="AF867" s="62"/>
      <c r="AG867" s="63"/>
      <c r="AH867" s="61"/>
      <c r="AO867" s="64" t="s">
        <v>79</v>
      </c>
      <c r="AP867" s="65">
        <v>4.1500000000000004</v>
      </c>
      <c r="AQ867" s="65">
        <v>3.7</v>
      </c>
      <c r="AR867" s="65">
        <v>4.5999999999999996</v>
      </c>
      <c r="AS867" s="65"/>
      <c r="AT867" s="65"/>
      <c r="AU867" s="65"/>
      <c r="AV867" s="65"/>
      <c r="AW867" s="65"/>
      <c r="AX867" s="65"/>
      <c r="AY867" s="65"/>
      <c r="AZ867" s="65"/>
      <c r="BA867" s="65"/>
      <c r="BB867" s="65"/>
      <c r="BC867" s="65"/>
      <c r="BD867" s="65"/>
      <c r="BE867" s="65"/>
      <c r="BF867" s="65"/>
      <c r="BG867" s="65"/>
      <c r="BH867" s="65"/>
      <c r="BI867" s="65"/>
      <c r="BJ867" s="65"/>
      <c r="BK867" s="65"/>
      <c r="BL867" s="65"/>
      <c r="BM867" s="65"/>
      <c r="BN867" s="65"/>
      <c r="BO867" s="65"/>
    </row>
    <row r="868" spans="1:67" s="58" customFormat="1" x14ac:dyDescent="0.2">
      <c r="A868" s="49"/>
      <c r="B868" s="50"/>
      <c r="C868" s="51"/>
      <c r="D868" s="49"/>
      <c r="E868" s="49"/>
      <c r="F868" s="52"/>
      <c r="G868" s="53"/>
      <c r="H868" s="54"/>
      <c r="I868" s="55"/>
      <c r="J868" s="53"/>
      <c r="K868" s="53"/>
      <c r="L868" s="53"/>
      <c r="M868" s="56"/>
      <c r="N868" s="53"/>
      <c r="O868" s="57"/>
      <c r="P868" s="57"/>
      <c r="Q868" s="53"/>
      <c r="R868" s="53"/>
      <c r="S868" s="53"/>
      <c r="T868" s="59"/>
      <c r="U868" s="59"/>
      <c r="V868" s="53"/>
      <c r="W868" s="53"/>
      <c r="X868" s="53"/>
      <c r="Y868" s="9" t="e">
        <f t="shared" si="13"/>
        <v>#DIV/0!</v>
      </c>
      <c r="Z868" s="60"/>
      <c r="AC868" s="61"/>
      <c r="AD868" s="53"/>
      <c r="AE868" s="56"/>
      <c r="AF868" s="62"/>
      <c r="AG868" s="63"/>
      <c r="AH868" s="61"/>
      <c r="AO868" s="64" t="s">
        <v>80</v>
      </c>
      <c r="AP868" s="65">
        <v>4.1500000000000004</v>
      </c>
      <c r="AQ868" s="65">
        <v>3.7</v>
      </c>
      <c r="AR868" s="65">
        <v>4.5999999999999996</v>
      </c>
      <c r="AS868" s="65"/>
      <c r="AT868" s="65"/>
      <c r="AU868" s="65"/>
      <c r="AV868" s="65"/>
      <c r="AW868" s="65"/>
      <c r="AX868" s="65"/>
      <c r="AY868" s="65"/>
      <c r="AZ868" s="65"/>
      <c r="BA868" s="65"/>
      <c r="BB868" s="65"/>
      <c r="BC868" s="65"/>
      <c r="BD868" s="65"/>
      <c r="BE868" s="65"/>
      <c r="BF868" s="65"/>
      <c r="BG868" s="65"/>
      <c r="BH868" s="65"/>
      <c r="BI868" s="65"/>
      <c r="BJ868" s="65"/>
      <c r="BK868" s="65"/>
      <c r="BL868" s="65"/>
      <c r="BM868" s="65"/>
      <c r="BN868" s="65"/>
      <c r="BO868" s="65"/>
    </row>
    <row r="869" spans="1:67" s="58" customFormat="1" x14ac:dyDescent="0.2">
      <c r="A869" s="49" t="s">
        <v>67</v>
      </c>
      <c r="B869" s="50">
        <v>43228</v>
      </c>
      <c r="C869" s="51">
        <v>0.56944444444444398</v>
      </c>
      <c r="D869" s="49" t="s">
        <v>144</v>
      </c>
      <c r="E869" s="49"/>
      <c r="F869" s="52">
        <v>59</v>
      </c>
      <c r="G869" s="53">
        <v>2</v>
      </c>
      <c r="H869" s="54">
        <v>3.3898305084745763E-2</v>
      </c>
      <c r="I869" s="55">
        <v>6.83E-2</v>
      </c>
      <c r="J869" s="53">
        <v>314.15899999999999</v>
      </c>
      <c r="K869" s="53">
        <v>0.61470000000000002</v>
      </c>
      <c r="L869" s="53">
        <v>9</v>
      </c>
      <c r="M869" s="56">
        <v>255.53847405238326</v>
      </c>
      <c r="N869" s="53">
        <v>1037</v>
      </c>
      <c r="O869" s="57" t="s">
        <v>86</v>
      </c>
      <c r="P869" s="57" t="s">
        <v>82</v>
      </c>
      <c r="Q869" s="53" t="s">
        <v>87</v>
      </c>
      <c r="R869" s="53" t="s">
        <v>84</v>
      </c>
      <c r="S869" s="53"/>
      <c r="T869" s="59">
        <v>9</v>
      </c>
      <c r="U869" s="59">
        <v>9</v>
      </c>
      <c r="V869" s="53">
        <v>3.7</v>
      </c>
      <c r="W869" s="53"/>
      <c r="X869" s="53"/>
      <c r="Y869" s="9">
        <f t="shared" si="13"/>
        <v>2299.8462664714493</v>
      </c>
      <c r="Z869" s="60" t="s">
        <v>73</v>
      </c>
      <c r="AA869" s="58" t="s">
        <v>331</v>
      </c>
      <c r="AB869" s="58" t="s">
        <v>75</v>
      </c>
      <c r="AC869" s="61" t="s">
        <v>76</v>
      </c>
      <c r="AD869" s="53" t="s">
        <v>85</v>
      </c>
      <c r="AE869" s="56">
        <v>11.494030613333329</v>
      </c>
      <c r="AF869" s="62"/>
      <c r="AG869" s="63"/>
      <c r="AH869" s="61"/>
      <c r="AO869" s="64" t="s">
        <v>78</v>
      </c>
      <c r="AP869" s="65">
        <v>2.8000000000000003</v>
      </c>
      <c r="AQ869" s="65">
        <v>2.8</v>
      </c>
      <c r="AR869" s="65">
        <v>3.7</v>
      </c>
      <c r="AS869" s="65">
        <v>2.8</v>
      </c>
      <c r="AT869" s="65">
        <v>2.8</v>
      </c>
      <c r="AU869" s="65">
        <v>1.9</v>
      </c>
      <c r="AV869" s="65"/>
      <c r="AW869" s="65"/>
      <c r="AX869" s="65"/>
      <c r="AY869" s="65"/>
      <c r="AZ869" s="65"/>
      <c r="BA869" s="65"/>
      <c r="BB869" s="65"/>
      <c r="BC869" s="65"/>
      <c r="BD869" s="65"/>
      <c r="BE869" s="65"/>
      <c r="BF869" s="65"/>
      <c r="BG869" s="65"/>
      <c r="BH869" s="65"/>
      <c r="BI869" s="65"/>
      <c r="BJ869" s="65"/>
      <c r="BK869" s="65"/>
      <c r="BL869" s="65"/>
      <c r="BM869" s="65"/>
      <c r="BN869" s="65"/>
      <c r="BO869" s="65"/>
    </row>
    <row r="870" spans="1:67" s="58" customFormat="1" x14ac:dyDescent="0.2">
      <c r="A870" s="49" t="s">
        <v>67</v>
      </c>
      <c r="B870" s="50">
        <v>43228</v>
      </c>
      <c r="C870" s="51">
        <v>0.56944444444444398</v>
      </c>
      <c r="D870" s="49" t="s">
        <v>144</v>
      </c>
      <c r="E870" s="49"/>
      <c r="F870" s="52">
        <v>59</v>
      </c>
      <c r="G870" s="53">
        <v>2</v>
      </c>
      <c r="H870" s="54">
        <v>3.3898305084745763E-2</v>
      </c>
      <c r="I870" s="55">
        <v>6.83E-2</v>
      </c>
      <c r="J870" s="53">
        <v>314.15899999999999</v>
      </c>
      <c r="K870" s="53">
        <v>0.61470000000000002</v>
      </c>
      <c r="L870" s="53">
        <v>9</v>
      </c>
      <c r="M870" s="56">
        <v>255.53847405238326</v>
      </c>
      <c r="N870" s="53">
        <v>1806</v>
      </c>
      <c r="O870" s="57" t="s">
        <v>206</v>
      </c>
      <c r="P870" s="57" t="s">
        <v>82</v>
      </c>
      <c r="Q870" s="53" t="s">
        <v>207</v>
      </c>
      <c r="R870" s="53" t="s">
        <v>84</v>
      </c>
      <c r="S870" s="53"/>
      <c r="T870" s="59">
        <v>1</v>
      </c>
      <c r="U870" s="59">
        <v>1</v>
      </c>
      <c r="V870" s="53">
        <v>3.7</v>
      </c>
      <c r="W870" s="53"/>
      <c r="X870" s="53"/>
      <c r="Y870" s="9">
        <f t="shared" si="13"/>
        <v>255.53847405238326</v>
      </c>
      <c r="Z870" s="60" t="s">
        <v>73</v>
      </c>
      <c r="AA870" s="58" t="s">
        <v>331</v>
      </c>
      <c r="AB870" s="58" t="s">
        <v>75</v>
      </c>
      <c r="AC870" s="61" t="s">
        <v>76</v>
      </c>
      <c r="AD870" s="53" t="s">
        <v>120</v>
      </c>
      <c r="AE870" s="56">
        <v>26.521826378333333</v>
      </c>
      <c r="AF870" s="62"/>
      <c r="AG870" s="63"/>
      <c r="AH870" s="61"/>
      <c r="AO870" s="64" t="s">
        <v>78</v>
      </c>
      <c r="AP870" s="65">
        <v>3.7</v>
      </c>
      <c r="AQ870" s="65">
        <v>3.7</v>
      </c>
      <c r="AR870" s="65"/>
      <c r="AS870" s="65"/>
      <c r="AT870" s="65"/>
      <c r="AU870" s="65"/>
      <c r="AV870" s="65"/>
      <c r="AW870" s="65"/>
      <c r="AX870" s="65"/>
      <c r="AY870" s="65"/>
      <c r="AZ870" s="65"/>
      <c r="BA870" s="65"/>
      <c r="BB870" s="65"/>
      <c r="BC870" s="65"/>
      <c r="BD870" s="65"/>
      <c r="BE870" s="65"/>
      <c r="BF870" s="65"/>
      <c r="BG870" s="65"/>
      <c r="BH870" s="65"/>
      <c r="BI870" s="65"/>
      <c r="BJ870" s="65"/>
      <c r="BK870" s="65"/>
      <c r="BL870" s="65"/>
      <c r="BM870" s="65"/>
      <c r="BN870" s="65"/>
      <c r="BO870" s="65"/>
    </row>
    <row r="871" spans="1:67" s="58" customFormat="1" x14ac:dyDescent="0.2">
      <c r="A871" s="49"/>
      <c r="B871" s="50"/>
      <c r="C871" s="51"/>
      <c r="D871" s="49"/>
      <c r="E871" s="49"/>
      <c r="F871" s="52"/>
      <c r="G871" s="53"/>
      <c r="H871" s="54"/>
      <c r="I871" s="55"/>
      <c r="J871" s="53"/>
      <c r="K871" s="53"/>
      <c r="L871" s="53"/>
      <c r="M871" s="56"/>
      <c r="N871" s="53"/>
      <c r="O871" s="57"/>
      <c r="P871" s="57"/>
      <c r="Q871" s="53"/>
      <c r="R871" s="53"/>
      <c r="S871" s="53"/>
      <c r="T871" s="59"/>
      <c r="U871" s="59"/>
      <c r="V871" s="53"/>
      <c r="W871" s="53"/>
      <c r="X871" s="53"/>
      <c r="Y871" s="9" t="e">
        <f t="shared" si="13"/>
        <v>#DIV/0!</v>
      </c>
      <c r="Z871" s="60"/>
      <c r="AC871" s="61"/>
      <c r="AD871" s="53"/>
      <c r="AE871" s="56"/>
      <c r="AF871" s="62"/>
      <c r="AG871" s="63"/>
      <c r="AH871" s="61"/>
      <c r="AO871" s="64" t="s">
        <v>79</v>
      </c>
      <c r="AP871" s="65">
        <v>3.7</v>
      </c>
      <c r="AQ871" s="65">
        <v>3.7</v>
      </c>
      <c r="AR871" s="65"/>
      <c r="AS871" s="65"/>
      <c r="AT871" s="65"/>
      <c r="AU871" s="65"/>
      <c r="AV871" s="65"/>
      <c r="AW871" s="65"/>
      <c r="AX871" s="65"/>
      <c r="AY871" s="65"/>
      <c r="AZ871" s="65"/>
      <c r="BA871" s="65"/>
      <c r="BB871" s="65"/>
      <c r="BC871" s="65"/>
      <c r="BD871" s="65"/>
      <c r="BE871" s="65"/>
      <c r="BF871" s="65"/>
      <c r="BG871" s="65"/>
      <c r="BH871" s="65"/>
      <c r="BI871" s="65"/>
      <c r="BJ871" s="65"/>
      <c r="BK871" s="65"/>
      <c r="BL871" s="65"/>
      <c r="BM871" s="65"/>
      <c r="BN871" s="65"/>
      <c r="BO871" s="65"/>
    </row>
    <row r="872" spans="1:67" s="58" customFormat="1" x14ac:dyDescent="0.2">
      <c r="A872" s="49" t="s">
        <v>67</v>
      </c>
      <c r="B872" s="50">
        <v>43228</v>
      </c>
      <c r="C872" s="51">
        <v>0.56944444444444398</v>
      </c>
      <c r="D872" s="49" t="s">
        <v>144</v>
      </c>
      <c r="E872" s="49"/>
      <c r="F872" s="52">
        <v>59</v>
      </c>
      <c r="G872" s="53">
        <v>2</v>
      </c>
      <c r="H872" s="54">
        <v>3.3898305084745763E-2</v>
      </c>
      <c r="I872" s="55">
        <v>6.83E-2</v>
      </c>
      <c r="J872" s="53">
        <v>314.15899999999999</v>
      </c>
      <c r="K872" s="53">
        <v>0.61470000000000002</v>
      </c>
      <c r="L872" s="53">
        <v>9</v>
      </c>
      <c r="M872" s="56">
        <v>255.53847405238326</v>
      </c>
      <c r="N872" s="53">
        <v>1692</v>
      </c>
      <c r="O872" s="58" t="s">
        <v>179</v>
      </c>
      <c r="P872" s="57" t="s">
        <v>82</v>
      </c>
      <c r="Q872" s="53" t="s">
        <v>180</v>
      </c>
      <c r="R872" s="53" t="s">
        <v>84</v>
      </c>
      <c r="S872" s="53"/>
      <c r="T872" s="59">
        <v>1</v>
      </c>
      <c r="U872" s="59">
        <v>1</v>
      </c>
      <c r="V872" s="53">
        <v>7.4</v>
      </c>
      <c r="W872" s="53"/>
      <c r="X872" s="53"/>
      <c r="Y872" s="9">
        <f t="shared" si="13"/>
        <v>255.53847405238326</v>
      </c>
      <c r="Z872" s="60" t="s">
        <v>73</v>
      </c>
      <c r="AA872" s="58" t="s">
        <v>331</v>
      </c>
      <c r="AB872" s="58" t="s">
        <v>75</v>
      </c>
      <c r="AC872" s="61" t="s">
        <v>76</v>
      </c>
      <c r="AD872" s="53" t="s">
        <v>120</v>
      </c>
      <c r="AE872" s="56">
        <v>81.987121426666647</v>
      </c>
      <c r="AF872" s="62"/>
      <c r="AG872" s="63"/>
      <c r="AH872" s="61"/>
      <c r="AO872" s="64" t="s">
        <v>78</v>
      </c>
      <c r="AP872" s="65">
        <v>7.4</v>
      </c>
      <c r="AQ872" s="65">
        <v>7.4</v>
      </c>
      <c r="AR872" s="65"/>
      <c r="AS872" s="65"/>
      <c r="AT872" s="65"/>
      <c r="AU872" s="65"/>
      <c r="AV872" s="65"/>
      <c r="AW872" s="65"/>
      <c r="AX872" s="65"/>
      <c r="AY872" s="65"/>
      <c r="AZ872" s="65"/>
      <c r="BA872" s="65"/>
      <c r="BB872" s="65"/>
      <c r="BC872" s="65"/>
      <c r="BD872" s="65"/>
      <c r="BE872" s="65"/>
      <c r="BF872" s="65"/>
      <c r="BG872" s="65"/>
      <c r="BH872" s="65"/>
      <c r="BI872" s="65"/>
      <c r="BJ872" s="65"/>
      <c r="BK872" s="65"/>
      <c r="BL872" s="65"/>
      <c r="BM872" s="65"/>
      <c r="BN872" s="65"/>
      <c r="BO872" s="65"/>
    </row>
    <row r="873" spans="1:67" s="58" customFormat="1" x14ac:dyDescent="0.2">
      <c r="A873" s="49"/>
      <c r="B873" s="50"/>
      <c r="C873" s="51"/>
      <c r="D873" s="49"/>
      <c r="E873" s="49"/>
      <c r="F873" s="52"/>
      <c r="G873" s="53"/>
      <c r="H873" s="54"/>
      <c r="I873" s="55"/>
      <c r="J873" s="53"/>
      <c r="K873" s="53"/>
      <c r="L873" s="53"/>
      <c r="M873" s="56"/>
      <c r="N873" s="53"/>
      <c r="P873" s="57"/>
      <c r="Q873" s="53"/>
      <c r="R873" s="53"/>
      <c r="S873" s="53"/>
      <c r="T873" s="59"/>
      <c r="U873" s="59"/>
      <c r="V873" s="53"/>
      <c r="W873" s="53"/>
      <c r="X873" s="53"/>
      <c r="Y873" s="9" t="e">
        <f t="shared" si="13"/>
        <v>#DIV/0!</v>
      </c>
      <c r="Z873" s="60"/>
      <c r="AC873" s="61"/>
      <c r="AD873" s="53"/>
      <c r="AE873" s="56"/>
      <c r="AF873" s="62"/>
      <c r="AG873" s="63"/>
      <c r="AH873" s="61"/>
      <c r="AO873" s="64" t="s">
        <v>79</v>
      </c>
      <c r="AP873" s="65">
        <v>4.5999999999999996</v>
      </c>
      <c r="AQ873" s="65">
        <v>4.5999999999999996</v>
      </c>
      <c r="AR873" s="65"/>
      <c r="AS873" s="65"/>
      <c r="AT873" s="65"/>
      <c r="AU873" s="65"/>
      <c r="AV873" s="65"/>
      <c r="AW873" s="65"/>
      <c r="AX873" s="65"/>
      <c r="AY873" s="65"/>
      <c r="AZ873" s="65"/>
      <c r="BA873" s="65"/>
      <c r="BB873" s="65"/>
      <c r="BC873" s="65"/>
      <c r="BD873" s="65"/>
      <c r="BE873" s="65"/>
      <c r="BF873" s="65"/>
      <c r="BG873" s="65"/>
      <c r="BH873" s="65"/>
      <c r="BI873" s="65"/>
      <c r="BJ873" s="65"/>
      <c r="BK873" s="65"/>
      <c r="BL873" s="65"/>
      <c r="BM873" s="65"/>
      <c r="BN873" s="65"/>
      <c r="BO873" s="65"/>
    </row>
    <row r="874" spans="1:67" s="58" customFormat="1" x14ac:dyDescent="0.2">
      <c r="A874" s="49" t="s">
        <v>67</v>
      </c>
      <c r="B874" s="50">
        <v>43228</v>
      </c>
      <c r="C874" s="51">
        <v>0.56944444444444398</v>
      </c>
      <c r="D874" s="49" t="s">
        <v>144</v>
      </c>
      <c r="E874" s="49"/>
      <c r="F874" s="52">
        <v>59</v>
      </c>
      <c r="G874" s="53">
        <v>2</v>
      </c>
      <c r="H874" s="54">
        <v>3.3898305084745763E-2</v>
      </c>
      <c r="I874" s="55">
        <v>6.83E-2</v>
      </c>
      <c r="J874" s="53">
        <v>314.15899999999999</v>
      </c>
      <c r="K874" s="53">
        <v>0.61470000000000002</v>
      </c>
      <c r="L874" s="53">
        <v>9</v>
      </c>
      <c r="M874" s="56">
        <v>255.53847405238326</v>
      </c>
      <c r="N874" s="53">
        <v>1364</v>
      </c>
      <c r="O874" s="57" t="s">
        <v>88</v>
      </c>
      <c r="P874" s="57" t="s">
        <v>82</v>
      </c>
      <c r="Q874" s="53" t="s">
        <v>89</v>
      </c>
      <c r="R874" s="53" t="s">
        <v>90</v>
      </c>
      <c r="S874" s="53"/>
      <c r="T874" s="59">
        <v>1</v>
      </c>
      <c r="U874" s="59">
        <v>1</v>
      </c>
      <c r="V874" s="53">
        <v>9.3000000000000007</v>
      </c>
      <c r="W874" s="53"/>
      <c r="X874" s="53"/>
      <c r="Y874" s="9">
        <f t="shared" si="13"/>
        <v>255.53847405238326</v>
      </c>
      <c r="Z874" s="60" t="s">
        <v>73</v>
      </c>
      <c r="AA874" s="58" t="s">
        <v>331</v>
      </c>
      <c r="AB874" s="58" t="s">
        <v>75</v>
      </c>
      <c r="AC874" s="61" t="s">
        <v>76</v>
      </c>
      <c r="AD874" s="53" t="s">
        <v>91</v>
      </c>
      <c r="AE874" s="56">
        <v>337.38084788249995</v>
      </c>
      <c r="AF874" s="62"/>
      <c r="AG874" s="63"/>
      <c r="AH874" s="61"/>
      <c r="AO874" s="64" t="s">
        <v>78</v>
      </c>
      <c r="AP874" s="65">
        <v>9.3000000000000007</v>
      </c>
      <c r="AQ874" s="65">
        <v>9.3000000000000007</v>
      </c>
      <c r="AR874" s="65"/>
      <c r="AS874" s="65"/>
      <c r="AT874" s="65"/>
      <c r="AU874" s="65"/>
      <c r="AV874" s="65"/>
      <c r="AW874" s="65"/>
      <c r="AX874" s="65"/>
      <c r="AY874" s="65"/>
      <c r="AZ874" s="65"/>
      <c r="BA874" s="65"/>
      <c r="BB874" s="65"/>
      <c r="BC874" s="65"/>
      <c r="BD874" s="65"/>
      <c r="BE874" s="65"/>
      <c r="BF874" s="65"/>
      <c r="BG874" s="65"/>
      <c r="BH874" s="65"/>
      <c r="BI874" s="65"/>
      <c r="BJ874" s="65"/>
      <c r="BK874" s="65"/>
      <c r="BL874" s="65"/>
      <c r="BM874" s="65"/>
      <c r="BN874" s="65"/>
      <c r="BO874" s="65"/>
    </row>
    <row r="875" spans="1:67" s="58" customFormat="1" x14ac:dyDescent="0.2">
      <c r="A875" s="49"/>
      <c r="B875" s="50"/>
      <c r="C875" s="51"/>
      <c r="D875" s="49"/>
      <c r="E875" s="49"/>
      <c r="F875" s="52"/>
      <c r="G875" s="53"/>
      <c r="H875" s="54"/>
      <c r="I875" s="55"/>
      <c r="J875" s="53"/>
      <c r="K875" s="53"/>
      <c r="L875" s="53"/>
      <c r="M875" s="56"/>
      <c r="N875" s="53"/>
      <c r="O875" s="57"/>
      <c r="P875" s="57"/>
      <c r="Q875" s="53"/>
      <c r="R875" s="53"/>
      <c r="S875" s="53"/>
      <c r="T875" s="59"/>
      <c r="U875" s="59"/>
      <c r="V875" s="53"/>
      <c r="W875" s="53"/>
      <c r="X875" s="53"/>
      <c r="Y875" s="9" t="e">
        <f t="shared" si="13"/>
        <v>#DIV/0!</v>
      </c>
      <c r="Z875" s="60"/>
      <c r="AC875" s="61"/>
      <c r="AD875" s="53"/>
      <c r="AE875" s="56"/>
      <c r="AF875" s="62"/>
      <c r="AG875" s="63"/>
      <c r="AH875" s="61"/>
      <c r="AO875" s="64" t="s">
        <v>79</v>
      </c>
      <c r="AP875" s="65">
        <v>5.6</v>
      </c>
      <c r="AQ875" s="65">
        <v>5.6</v>
      </c>
      <c r="AR875" s="65"/>
      <c r="AS875" s="65"/>
      <c r="AT875" s="65"/>
      <c r="AU875" s="65"/>
      <c r="AV875" s="65"/>
      <c r="AW875" s="65"/>
      <c r="AX875" s="65"/>
      <c r="AY875" s="65"/>
      <c r="AZ875" s="65"/>
      <c r="BA875" s="65"/>
      <c r="BB875" s="65"/>
      <c r="BC875" s="65"/>
      <c r="BD875" s="65"/>
      <c r="BE875" s="65"/>
      <c r="BF875" s="65"/>
      <c r="BG875" s="65"/>
      <c r="BH875" s="65"/>
      <c r="BI875" s="65"/>
      <c r="BJ875" s="65"/>
      <c r="BK875" s="65"/>
      <c r="BL875" s="65"/>
      <c r="BM875" s="65"/>
      <c r="BN875" s="65"/>
      <c r="BO875" s="65"/>
    </row>
    <row r="876" spans="1:67" s="58" customFormat="1" x14ac:dyDescent="0.2">
      <c r="A876" s="49" t="s">
        <v>67</v>
      </c>
      <c r="B876" s="50">
        <v>43228</v>
      </c>
      <c r="C876" s="51">
        <v>0.56944444444444398</v>
      </c>
      <c r="D876" s="49" t="s">
        <v>144</v>
      </c>
      <c r="E876" s="49"/>
      <c r="F876" s="52">
        <v>59</v>
      </c>
      <c r="G876" s="53">
        <v>2</v>
      </c>
      <c r="H876" s="54">
        <v>3.3898305084745763E-2</v>
      </c>
      <c r="I876" s="55">
        <v>6.83E-2</v>
      </c>
      <c r="J876" s="53">
        <v>314.15899999999999</v>
      </c>
      <c r="K876" s="53">
        <v>0.61470000000000002</v>
      </c>
      <c r="L876" s="53">
        <v>9</v>
      </c>
      <c r="M876" s="56">
        <v>255.53847405238326</v>
      </c>
      <c r="N876" s="53">
        <v>1733</v>
      </c>
      <c r="O876" s="57" t="s">
        <v>92</v>
      </c>
      <c r="P876" s="57" t="s">
        <v>82</v>
      </c>
      <c r="Q876" s="53" t="s">
        <v>89</v>
      </c>
      <c r="R876" s="53" t="s">
        <v>93</v>
      </c>
      <c r="S876" s="53"/>
      <c r="T876" s="59">
        <v>4</v>
      </c>
      <c r="U876" s="59">
        <v>4</v>
      </c>
      <c r="V876" s="53">
        <v>5.6</v>
      </c>
      <c r="W876" s="53"/>
      <c r="X876" s="53"/>
      <c r="Y876" s="9">
        <f t="shared" si="13"/>
        <v>1022.1538962095331</v>
      </c>
      <c r="Z876" s="60" t="s">
        <v>73</v>
      </c>
      <c r="AA876" s="58" t="s">
        <v>331</v>
      </c>
      <c r="AB876" s="58" t="s">
        <v>75</v>
      </c>
      <c r="AC876" s="61" t="s">
        <v>76</v>
      </c>
      <c r="AD876" s="53" t="s">
        <v>91</v>
      </c>
      <c r="AE876" s="56">
        <v>76.353203359999995</v>
      </c>
      <c r="AF876" s="62"/>
      <c r="AG876" s="63"/>
      <c r="AH876" s="61"/>
      <c r="AO876" s="64" t="s">
        <v>78</v>
      </c>
      <c r="AP876" s="65">
        <v>5.6</v>
      </c>
      <c r="AQ876" s="65">
        <v>5.6</v>
      </c>
      <c r="AR876" s="65">
        <v>5.6</v>
      </c>
      <c r="AS876" s="65">
        <v>5.6</v>
      </c>
      <c r="AT876" s="65">
        <v>5.6</v>
      </c>
      <c r="AU876" s="65"/>
      <c r="AV876" s="65"/>
      <c r="AW876" s="65"/>
      <c r="AX876" s="65"/>
      <c r="AY876" s="65"/>
      <c r="AZ876" s="65"/>
      <c r="BA876" s="65"/>
      <c r="BB876" s="65"/>
      <c r="BC876" s="65"/>
      <c r="BD876" s="65"/>
      <c r="BE876" s="65"/>
      <c r="BF876" s="65"/>
      <c r="BG876" s="65"/>
      <c r="BH876" s="65"/>
      <c r="BI876" s="65"/>
      <c r="BJ876" s="65"/>
      <c r="BK876" s="65"/>
      <c r="BL876" s="65"/>
      <c r="BM876" s="65"/>
      <c r="BN876" s="65"/>
      <c r="BO876" s="65"/>
    </row>
    <row r="877" spans="1:67" s="58" customFormat="1" x14ac:dyDescent="0.2">
      <c r="A877" s="49"/>
      <c r="B877" s="50"/>
      <c r="C877" s="51"/>
      <c r="D877" s="49"/>
      <c r="E877" s="49"/>
      <c r="F877" s="52"/>
      <c r="G877" s="53"/>
      <c r="H877" s="54"/>
      <c r="I877" s="55"/>
      <c r="J877" s="53"/>
      <c r="K877" s="53"/>
      <c r="L877" s="53"/>
      <c r="M877" s="56"/>
      <c r="N877" s="53"/>
      <c r="O877" s="57"/>
      <c r="P877" s="57"/>
      <c r="Q877" s="53"/>
      <c r="R877" s="53"/>
      <c r="S877" s="53"/>
      <c r="T877" s="59"/>
      <c r="U877" s="59"/>
      <c r="V877" s="53"/>
      <c r="W877" s="53"/>
      <c r="X877" s="53"/>
      <c r="Y877" s="9" t="e">
        <f t="shared" si="13"/>
        <v>#DIV/0!</v>
      </c>
      <c r="Z877" s="60"/>
      <c r="AC877" s="61"/>
      <c r="AD877" s="53"/>
      <c r="AE877" s="56"/>
      <c r="AF877" s="62"/>
      <c r="AG877" s="63"/>
      <c r="AH877" s="61"/>
      <c r="AO877" s="64" t="s">
        <v>79</v>
      </c>
      <c r="AP877" s="65">
        <v>3.7</v>
      </c>
      <c r="AQ877" s="65">
        <v>3.7</v>
      </c>
      <c r="AR877" s="65">
        <v>3.7</v>
      </c>
      <c r="AS877" s="65">
        <v>3.7</v>
      </c>
      <c r="AT877" s="65">
        <v>3.7</v>
      </c>
      <c r="AU877" s="65"/>
      <c r="AV877" s="65"/>
      <c r="AW877" s="65"/>
      <c r="AX877" s="65"/>
      <c r="AY877" s="65"/>
      <c r="AZ877" s="65"/>
      <c r="BA877" s="65"/>
      <c r="BB877" s="65"/>
      <c r="BC877" s="65"/>
      <c r="BD877" s="65"/>
      <c r="BE877" s="65"/>
      <c r="BF877" s="65"/>
      <c r="BG877" s="65"/>
      <c r="BH877" s="65"/>
      <c r="BI877" s="65"/>
      <c r="BJ877" s="65"/>
      <c r="BK877" s="65"/>
      <c r="BL877" s="65"/>
      <c r="BM877" s="65"/>
      <c r="BN877" s="65"/>
      <c r="BO877" s="65"/>
    </row>
    <row r="878" spans="1:67" s="58" customFormat="1" x14ac:dyDescent="0.2">
      <c r="A878" s="49" t="s">
        <v>67</v>
      </c>
      <c r="B878" s="50">
        <v>43228</v>
      </c>
      <c r="C878" s="51">
        <v>0.56944444444444398</v>
      </c>
      <c r="D878" s="49" t="s">
        <v>144</v>
      </c>
      <c r="E878" s="49"/>
      <c r="F878" s="52">
        <v>59</v>
      </c>
      <c r="G878" s="53">
        <v>2</v>
      </c>
      <c r="H878" s="54">
        <v>3.3898305084745763E-2</v>
      </c>
      <c r="I878" s="55">
        <v>6.83E-2</v>
      </c>
      <c r="J878" s="53">
        <v>314.15899999999999</v>
      </c>
      <c r="K878" s="53">
        <v>0.61470000000000002</v>
      </c>
      <c r="L878" s="53">
        <v>9</v>
      </c>
      <c r="M878" s="56">
        <v>255.53847405238326</v>
      </c>
      <c r="N878" s="53">
        <v>1419</v>
      </c>
      <c r="O878" s="57" t="s">
        <v>94</v>
      </c>
      <c r="P878" s="57" t="s">
        <v>82</v>
      </c>
      <c r="Q878" s="53" t="s">
        <v>95</v>
      </c>
      <c r="R878" s="53" t="s">
        <v>96</v>
      </c>
      <c r="S878" s="53"/>
      <c r="T878" s="59">
        <v>380</v>
      </c>
      <c r="U878" s="59">
        <v>762</v>
      </c>
      <c r="V878" s="53">
        <v>0.8</v>
      </c>
      <c r="W878" s="53">
        <v>0.8</v>
      </c>
      <c r="X878" s="53">
        <v>0.8</v>
      </c>
      <c r="Y878" s="9">
        <f t="shared" si="13"/>
        <v>97104.620139905644</v>
      </c>
      <c r="Z878" s="60" t="s">
        <v>97</v>
      </c>
      <c r="AA878" s="58" t="s">
        <v>331</v>
      </c>
      <c r="AB878" s="58" t="s">
        <v>75</v>
      </c>
      <c r="AC878" s="61" t="s">
        <v>76</v>
      </c>
      <c r="AD878" s="53" t="s">
        <v>85</v>
      </c>
      <c r="AE878" s="56">
        <v>0.18</v>
      </c>
      <c r="AF878" s="56">
        <v>0.18</v>
      </c>
      <c r="AG878" s="56">
        <v>0.18</v>
      </c>
      <c r="AH878" s="56">
        <v>0.18</v>
      </c>
      <c r="AI878" s="56">
        <v>0.18</v>
      </c>
      <c r="AJ878" s="56">
        <v>0.18</v>
      </c>
      <c r="AK878" s="56">
        <v>0.18</v>
      </c>
      <c r="AL878" s="56">
        <v>0.18</v>
      </c>
      <c r="AM878" s="56">
        <v>0.18</v>
      </c>
      <c r="AN878" s="56">
        <v>0.18</v>
      </c>
      <c r="AO878" s="66" t="s">
        <v>78</v>
      </c>
      <c r="AP878" s="65">
        <v>0.75200000000000033</v>
      </c>
      <c r="AQ878" s="65">
        <v>0.7</v>
      </c>
      <c r="AR878" s="65">
        <v>0.7</v>
      </c>
      <c r="AS878" s="65">
        <v>0.7</v>
      </c>
      <c r="AT878" s="65">
        <v>0.7</v>
      </c>
      <c r="AU878" s="65">
        <v>0.7</v>
      </c>
      <c r="AV878" s="65">
        <v>0.7</v>
      </c>
      <c r="AW878" s="65">
        <v>0.7</v>
      </c>
      <c r="AX878" s="65">
        <v>0.7</v>
      </c>
      <c r="AY878" s="65">
        <v>0.7</v>
      </c>
      <c r="AZ878" s="65">
        <v>0.7</v>
      </c>
      <c r="BA878" s="65">
        <v>0.7</v>
      </c>
      <c r="BB878" s="65">
        <v>0.7</v>
      </c>
      <c r="BC878" s="65">
        <v>0.8</v>
      </c>
      <c r="BD878" s="65">
        <v>0.8</v>
      </c>
      <c r="BE878" s="65">
        <v>0.8</v>
      </c>
      <c r="BF878" s="65">
        <v>0.8</v>
      </c>
      <c r="BG878" s="65">
        <v>0.8</v>
      </c>
      <c r="BH878" s="65">
        <v>0.8</v>
      </c>
      <c r="BI878" s="65">
        <v>0.8</v>
      </c>
      <c r="BJ878" s="65">
        <v>0.8</v>
      </c>
      <c r="BK878" s="65">
        <v>0.8</v>
      </c>
      <c r="BL878" s="65">
        <v>0.8</v>
      </c>
      <c r="BM878" s="65">
        <v>0.8</v>
      </c>
      <c r="BN878" s="65">
        <v>0.8</v>
      </c>
      <c r="BO878" s="65">
        <v>0.8</v>
      </c>
    </row>
    <row r="879" spans="1:67" s="58" customFormat="1" x14ac:dyDescent="0.2">
      <c r="A879" s="49" t="s">
        <v>67</v>
      </c>
      <c r="B879" s="50">
        <v>43257</v>
      </c>
      <c r="C879" s="51">
        <v>0.52222222222222203</v>
      </c>
      <c r="D879" s="49" t="s">
        <v>173</v>
      </c>
      <c r="E879" s="49"/>
      <c r="F879" s="52">
        <v>62</v>
      </c>
      <c r="G879" s="53">
        <v>2</v>
      </c>
      <c r="H879" s="54">
        <v>3.2258064516129031E-2</v>
      </c>
      <c r="I879" s="55">
        <v>6.83E-2</v>
      </c>
      <c r="J879" s="53">
        <v>314.15899999999999</v>
      </c>
      <c r="K879" s="53">
        <v>0.75129999999999997</v>
      </c>
      <c r="L879" s="53">
        <v>11</v>
      </c>
      <c r="M879" s="56">
        <v>209.07693331558633</v>
      </c>
      <c r="N879" s="53">
        <v>145</v>
      </c>
      <c r="O879" s="57" t="s">
        <v>69</v>
      </c>
      <c r="P879" s="58" t="s">
        <v>70</v>
      </c>
      <c r="Q879" s="53" t="s">
        <v>71</v>
      </c>
      <c r="R879" s="53" t="s">
        <v>72</v>
      </c>
      <c r="S879" s="53"/>
      <c r="T879" s="59">
        <v>1</v>
      </c>
      <c r="U879" s="59">
        <v>1</v>
      </c>
      <c r="V879" s="53">
        <v>22.2</v>
      </c>
      <c r="W879" s="53"/>
      <c r="X879" s="53"/>
      <c r="Y879" s="9">
        <f t="shared" si="13"/>
        <v>209.07693331558633</v>
      </c>
      <c r="Z879" s="60" t="s">
        <v>73</v>
      </c>
      <c r="AA879" s="58" t="s">
        <v>332</v>
      </c>
      <c r="AB879" s="58" t="s">
        <v>75</v>
      </c>
      <c r="AC879" s="61" t="s">
        <v>112</v>
      </c>
      <c r="AD879" s="53" t="s">
        <v>77</v>
      </c>
      <c r="AE879" s="56">
        <v>954.78574961999993</v>
      </c>
      <c r="AF879" s="62"/>
      <c r="AG879" s="63"/>
      <c r="AH879" s="61"/>
      <c r="AO879" s="66" t="s">
        <v>78</v>
      </c>
      <c r="AP879" s="65">
        <v>22.2</v>
      </c>
      <c r="AQ879" s="65">
        <v>22.2</v>
      </c>
      <c r="AR879" s="65"/>
      <c r="AS879" s="65"/>
      <c r="AT879" s="65"/>
      <c r="AU879" s="65"/>
      <c r="AV879" s="65"/>
      <c r="AW879" s="65"/>
      <c r="AX879" s="65"/>
      <c r="AY879" s="65"/>
      <c r="AZ879" s="65"/>
      <c r="BA879" s="65"/>
      <c r="BB879" s="65"/>
      <c r="BC879" s="65"/>
      <c r="BD879" s="65"/>
      <c r="BE879" s="65"/>
      <c r="BF879" s="65"/>
      <c r="BG879" s="65"/>
      <c r="BH879" s="65"/>
      <c r="BI879" s="65"/>
      <c r="BJ879" s="65"/>
      <c r="BK879" s="65"/>
      <c r="BL879" s="65"/>
      <c r="BM879" s="65"/>
      <c r="BN879" s="65"/>
      <c r="BO879" s="65"/>
    </row>
    <row r="880" spans="1:67" s="58" customFormat="1" x14ac:dyDescent="0.2">
      <c r="A880" s="49"/>
      <c r="B880" s="50"/>
      <c r="C880" s="51"/>
      <c r="D880" s="49"/>
      <c r="E880" s="49"/>
      <c r="F880" s="52"/>
      <c r="G880" s="53"/>
      <c r="H880" s="54"/>
      <c r="I880" s="55"/>
      <c r="J880" s="53"/>
      <c r="K880" s="53"/>
      <c r="L880" s="53"/>
      <c r="M880" s="56"/>
      <c r="N880" s="53"/>
      <c r="O880" s="57"/>
      <c r="Q880" s="53"/>
      <c r="R880" s="53"/>
      <c r="S880" s="53"/>
      <c r="T880" s="59"/>
      <c r="U880" s="59"/>
      <c r="V880" s="53"/>
      <c r="W880" s="53"/>
      <c r="X880" s="53"/>
      <c r="Y880" s="9" t="e">
        <f t="shared" si="13"/>
        <v>#DIV/0!</v>
      </c>
      <c r="Z880" s="60"/>
      <c r="AC880" s="61"/>
      <c r="AD880" s="53"/>
      <c r="AE880" s="56"/>
      <c r="AF880" s="62"/>
      <c r="AG880" s="63"/>
      <c r="AH880" s="61"/>
      <c r="AO880" s="64" t="s">
        <v>79</v>
      </c>
      <c r="AP880" s="65">
        <v>14.8</v>
      </c>
      <c r="AQ880" s="65">
        <v>14.8</v>
      </c>
      <c r="AR880" s="65"/>
      <c r="AS880" s="65"/>
      <c r="AT880" s="65"/>
      <c r="AU880" s="65"/>
      <c r="AV880" s="65"/>
      <c r="AW880" s="65"/>
      <c r="AX880" s="65"/>
      <c r="AY880" s="65"/>
      <c r="AZ880" s="65"/>
      <c r="BA880" s="65"/>
      <c r="BB880" s="65"/>
      <c r="BC880" s="65"/>
      <c r="BD880" s="65"/>
      <c r="BE880" s="65"/>
      <c r="BF880" s="65"/>
      <c r="BG880" s="65"/>
      <c r="BH880" s="65"/>
      <c r="BI880" s="65"/>
      <c r="BJ880" s="65"/>
      <c r="BK880" s="65"/>
      <c r="BL880" s="65"/>
      <c r="BM880" s="65"/>
      <c r="BN880" s="65"/>
      <c r="BO880" s="65"/>
    </row>
    <row r="881" spans="1:67" s="58" customFormat="1" x14ac:dyDescent="0.2">
      <c r="A881" s="49"/>
      <c r="B881" s="50"/>
      <c r="C881" s="51"/>
      <c r="D881" s="49"/>
      <c r="E881" s="49"/>
      <c r="F881" s="52"/>
      <c r="G881" s="53"/>
      <c r="H881" s="54"/>
      <c r="I881" s="55"/>
      <c r="J881" s="53"/>
      <c r="K881" s="53"/>
      <c r="L881" s="53"/>
      <c r="M881" s="56"/>
      <c r="N881" s="53"/>
      <c r="O881" s="57"/>
      <c r="Q881" s="53"/>
      <c r="R881" s="53"/>
      <c r="S881" s="53"/>
      <c r="T881" s="59"/>
      <c r="U881" s="59"/>
      <c r="V881" s="53"/>
      <c r="W881" s="53"/>
      <c r="X881" s="53"/>
      <c r="Y881" s="9" t="e">
        <f t="shared" si="13"/>
        <v>#DIV/0!</v>
      </c>
      <c r="Z881" s="60"/>
      <c r="AC881" s="61"/>
      <c r="AD881" s="53"/>
      <c r="AE881" s="56"/>
      <c r="AF881" s="62"/>
      <c r="AG881" s="63"/>
      <c r="AH881" s="61"/>
      <c r="AO881" s="64" t="s">
        <v>80</v>
      </c>
      <c r="AP881" s="65">
        <v>3.7</v>
      </c>
      <c r="AQ881" s="65">
        <v>3.7</v>
      </c>
      <c r="AR881" s="65"/>
      <c r="AS881" s="65"/>
      <c r="AT881" s="65"/>
      <c r="AU881" s="65"/>
      <c r="AV881" s="65"/>
      <c r="AW881" s="65"/>
      <c r="AX881" s="65"/>
      <c r="AY881" s="65"/>
      <c r="AZ881" s="65"/>
      <c r="BA881" s="65"/>
      <c r="BB881" s="65"/>
      <c r="BC881" s="65"/>
      <c r="BD881" s="65"/>
      <c r="BE881" s="65"/>
      <c r="BF881" s="65"/>
      <c r="BG881" s="65"/>
      <c r="BH881" s="65"/>
      <c r="BI881" s="65"/>
      <c r="BJ881" s="65"/>
      <c r="BK881" s="65"/>
      <c r="BL881" s="65"/>
      <c r="BM881" s="65"/>
      <c r="BN881" s="65"/>
      <c r="BO881" s="65"/>
    </row>
    <row r="882" spans="1:67" s="58" customFormat="1" x14ac:dyDescent="0.2">
      <c r="A882" s="49" t="s">
        <v>67</v>
      </c>
      <c r="B882" s="50">
        <v>43257</v>
      </c>
      <c r="C882" s="51">
        <v>0.52222222222222203</v>
      </c>
      <c r="D882" s="49" t="s">
        <v>173</v>
      </c>
      <c r="E882" s="49"/>
      <c r="F882" s="52">
        <v>62</v>
      </c>
      <c r="G882" s="53">
        <v>2</v>
      </c>
      <c r="H882" s="54">
        <v>3.2258064516129031E-2</v>
      </c>
      <c r="I882" s="55">
        <v>6.83E-2</v>
      </c>
      <c r="J882" s="53">
        <v>314.15899999999999</v>
      </c>
      <c r="K882" s="53">
        <v>0.75129999999999997</v>
      </c>
      <c r="L882" s="53">
        <v>11</v>
      </c>
      <c r="M882" s="56">
        <v>209.07693331558633</v>
      </c>
      <c r="N882" s="53">
        <v>749</v>
      </c>
      <c r="O882" s="57" t="s">
        <v>190</v>
      </c>
      <c r="P882" s="58" t="s">
        <v>70</v>
      </c>
      <c r="Q882" s="53" t="s">
        <v>191</v>
      </c>
      <c r="R882" s="53" t="s">
        <v>84</v>
      </c>
      <c r="S882" s="53"/>
      <c r="T882" s="59">
        <v>1</v>
      </c>
      <c r="U882" s="59">
        <v>1</v>
      </c>
      <c r="V882" s="53">
        <v>20.399999999999999</v>
      </c>
      <c r="W882" s="53"/>
      <c r="X882" s="53"/>
      <c r="Y882" s="9">
        <f t="shared" si="13"/>
        <v>209.07693331558633</v>
      </c>
      <c r="Z882" s="60" t="s">
        <v>73</v>
      </c>
      <c r="AA882" s="58" t="s">
        <v>332</v>
      </c>
      <c r="AB882" s="58" t="s">
        <v>75</v>
      </c>
      <c r="AC882" s="61" t="s">
        <v>112</v>
      </c>
      <c r="AD882" s="53" t="s">
        <v>193</v>
      </c>
      <c r="AE882" s="56">
        <v>79.967999999999975</v>
      </c>
      <c r="AF882" s="62"/>
      <c r="AG882" s="63"/>
      <c r="AH882" s="61"/>
      <c r="AO882" s="66" t="s">
        <v>78</v>
      </c>
      <c r="AP882" s="65">
        <v>20.399999999999999</v>
      </c>
      <c r="AQ882" s="65">
        <v>20.399999999999999</v>
      </c>
      <c r="AR882" s="65"/>
      <c r="AS882" s="65"/>
      <c r="AT882" s="65"/>
      <c r="AU882" s="65"/>
      <c r="AV882" s="65"/>
      <c r="AW882" s="65"/>
      <c r="AX882" s="65"/>
      <c r="AY882" s="65"/>
      <c r="AZ882" s="65"/>
      <c r="BA882" s="65"/>
      <c r="BB882" s="65"/>
      <c r="BC882" s="65"/>
      <c r="BD882" s="65"/>
      <c r="BE882" s="65"/>
      <c r="BF882" s="65"/>
      <c r="BG882" s="65"/>
      <c r="BH882" s="65"/>
      <c r="BI882" s="65"/>
      <c r="BJ882" s="65"/>
      <c r="BK882" s="65"/>
      <c r="BL882" s="65"/>
      <c r="BM882" s="65"/>
      <c r="BN882" s="65"/>
      <c r="BO882" s="65"/>
    </row>
    <row r="883" spans="1:67" s="58" customFormat="1" x14ac:dyDescent="0.2">
      <c r="A883" s="49"/>
      <c r="B883" s="50"/>
      <c r="C883" s="51"/>
      <c r="D883" s="49"/>
      <c r="E883" s="49"/>
      <c r="F883" s="52"/>
      <c r="G883" s="53"/>
      <c r="H883" s="54"/>
      <c r="I883" s="55"/>
      <c r="J883" s="53"/>
      <c r="K883" s="53"/>
      <c r="L883" s="53"/>
      <c r="M883" s="56"/>
      <c r="N883" s="53"/>
      <c r="O883" s="57"/>
      <c r="Q883" s="53"/>
      <c r="R883" s="53"/>
      <c r="S883" s="53"/>
      <c r="T883" s="59"/>
      <c r="U883" s="59"/>
      <c r="V883" s="53"/>
      <c r="W883" s="53"/>
      <c r="X883" s="53"/>
      <c r="Y883" s="9" t="e">
        <f t="shared" si="13"/>
        <v>#DIV/0!</v>
      </c>
      <c r="Z883" s="60"/>
      <c r="AC883" s="61"/>
      <c r="AD883" s="53"/>
      <c r="AE883" s="56"/>
      <c r="AF883" s="62"/>
      <c r="AG883" s="63"/>
      <c r="AH883" s="61"/>
      <c r="AO883" s="64" t="s">
        <v>79</v>
      </c>
      <c r="AP883" s="65">
        <v>2.8</v>
      </c>
      <c r="AQ883" s="65">
        <v>2.8</v>
      </c>
      <c r="AR883" s="65"/>
      <c r="AS883" s="65"/>
      <c r="AT883" s="65"/>
      <c r="AU883" s="65"/>
      <c r="AV883" s="65"/>
      <c r="AW883" s="65"/>
      <c r="AX883" s="65"/>
      <c r="AY883" s="65"/>
      <c r="AZ883" s="65"/>
      <c r="BA883" s="65"/>
      <c r="BB883" s="65"/>
      <c r="BC883" s="65"/>
      <c r="BD883" s="65"/>
      <c r="BE883" s="65"/>
      <c r="BF883" s="65"/>
      <c r="BG883" s="65"/>
      <c r="BH883" s="65"/>
      <c r="BI883" s="65"/>
      <c r="BJ883" s="65"/>
      <c r="BK883" s="65"/>
      <c r="BL883" s="65"/>
      <c r="BM883" s="65"/>
      <c r="BN883" s="65"/>
      <c r="BO883" s="65"/>
    </row>
    <row r="884" spans="1:67" s="58" customFormat="1" x14ac:dyDescent="0.2">
      <c r="A884" s="49"/>
      <c r="B884" s="50"/>
      <c r="C884" s="51"/>
      <c r="D884" s="49"/>
      <c r="E884" s="49"/>
      <c r="F884" s="52"/>
      <c r="G884" s="53"/>
      <c r="H884" s="54"/>
      <c r="I884" s="55"/>
      <c r="J884" s="53"/>
      <c r="K884" s="53"/>
      <c r="L884" s="53"/>
      <c r="M884" s="56"/>
      <c r="N884" s="53"/>
      <c r="O884" s="57"/>
      <c r="Q884" s="53"/>
      <c r="R884" s="53"/>
      <c r="S884" s="53"/>
      <c r="T884" s="59"/>
      <c r="U884" s="59"/>
      <c r="V884" s="53"/>
      <c r="W884" s="53"/>
      <c r="X884" s="53"/>
      <c r="Y884" s="9" t="e">
        <f t="shared" si="13"/>
        <v>#DIV/0!</v>
      </c>
      <c r="Z884" s="60"/>
      <c r="AC884" s="61"/>
      <c r="AD884" s="53"/>
      <c r="AE884" s="56"/>
      <c r="AF884" s="62"/>
      <c r="AG884" s="63"/>
      <c r="AH884" s="61"/>
      <c r="AO884" s="64" t="s">
        <v>80</v>
      </c>
      <c r="AP884" s="65">
        <v>2.8</v>
      </c>
      <c r="AQ884" s="65">
        <v>2.8</v>
      </c>
      <c r="AR884" s="65"/>
      <c r="AS884" s="65"/>
      <c r="AT884" s="65"/>
      <c r="AU884" s="65"/>
      <c r="AV884" s="65"/>
      <c r="AW884" s="65"/>
      <c r="AX884" s="65"/>
      <c r="AY884" s="65"/>
      <c r="AZ884" s="65"/>
      <c r="BA884" s="65"/>
      <c r="BB884" s="65"/>
      <c r="BC884" s="65"/>
      <c r="BD884" s="65"/>
      <c r="BE884" s="65"/>
      <c r="BF884" s="65"/>
      <c r="BG884" s="65"/>
      <c r="BH884" s="65"/>
      <c r="BI884" s="65"/>
      <c r="BJ884" s="65"/>
      <c r="BK884" s="65"/>
      <c r="BL884" s="65"/>
      <c r="BM884" s="65"/>
      <c r="BN884" s="65"/>
      <c r="BO884" s="65"/>
    </row>
    <row r="885" spans="1:67" s="58" customFormat="1" x14ac:dyDescent="0.2">
      <c r="A885" s="49" t="s">
        <v>67</v>
      </c>
      <c r="B885" s="50">
        <v>43257</v>
      </c>
      <c r="C885" s="51">
        <v>0.52222222222222203</v>
      </c>
      <c r="D885" s="49" t="s">
        <v>173</v>
      </c>
      <c r="E885" s="49"/>
      <c r="F885" s="52">
        <v>62</v>
      </c>
      <c r="G885" s="53">
        <v>2</v>
      </c>
      <c r="H885" s="54">
        <v>3.2258064516129031E-2</v>
      </c>
      <c r="I885" s="55">
        <v>6.83E-2</v>
      </c>
      <c r="J885" s="53">
        <v>314.15899999999999</v>
      </c>
      <c r="K885" s="53">
        <v>0.75129999999999997</v>
      </c>
      <c r="L885" s="53">
        <v>11</v>
      </c>
      <c r="M885" s="56">
        <v>209.07693331558633</v>
      </c>
      <c r="N885" s="53">
        <v>1037</v>
      </c>
      <c r="O885" s="57" t="s">
        <v>86</v>
      </c>
      <c r="P885" s="57" t="s">
        <v>82</v>
      </c>
      <c r="Q885" s="53" t="s">
        <v>87</v>
      </c>
      <c r="R885" s="53" t="s">
        <v>84</v>
      </c>
      <c r="S885" s="53"/>
      <c r="T885" s="59">
        <v>26</v>
      </c>
      <c r="U885" s="59">
        <v>26</v>
      </c>
      <c r="V885" s="53">
        <v>2.8</v>
      </c>
      <c r="W885" s="53"/>
      <c r="X885" s="53"/>
      <c r="Y885" s="9">
        <f t="shared" si="13"/>
        <v>5436.0002662052448</v>
      </c>
      <c r="Z885" s="60" t="s">
        <v>73</v>
      </c>
      <c r="AA885" s="58" t="s">
        <v>332</v>
      </c>
      <c r="AB885" s="58" t="s">
        <v>75</v>
      </c>
      <c r="AC885" s="61" t="s">
        <v>112</v>
      </c>
      <c r="AD885" s="53" t="s">
        <v>85</v>
      </c>
      <c r="AE885" s="56">
        <v>6.3706209216666645</v>
      </c>
      <c r="AF885" s="62"/>
      <c r="AG885" s="63"/>
      <c r="AH885" s="61"/>
      <c r="AO885" s="66" t="s">
        <v>78</v>
      </c>
      <c r="AP885" s="65">
        <v>2.2600000000000002</v>
      </c>
      <c r="AQ885" s="65">
        <v>1.9</v>
      </c>
      <c r="AR885" s="65">
        <v>2.8</v>
      </c>
      <c r="AS885" s="65">
        <v>1.9</v>
      </c>
      <c r="AT885" s="65">
        <v>1.9</v>
      </c>
      <c r="AU885" s="65">
        <v>2.8</v>
      </c>
      <c r="AV885" s="65"/>
      <c r="AW885" s="65"/>
      <c r="AX885" s="65"/>
      <c r="AY885" s="65"/>
      <c r="AZ885" s="65"/>
      <c r="BA885" s="65"/>
      <c r="BB885" s="65"/>
      <c r="BC885" s="65"/>
      <c r="BD885" s="65"/>
      <c r="BE885" s="65"/>
      <c r="BF885" s="65"/>
      <c r="BG885" s="65"/>
      <c r="BH885" s="65"/>
      <c r="BI885" s="65"/>
      <c r="BJ885" s="65"/>
      <c r="BK885" s="65"/>
      <c r="BL885" s="65"/>
      <c r="BM885" s="65"/>
      <c r="BN885" s="65"/>
      <c r="BO885" s="65"/>
    </row>
    <row r="886" spans="1:67" s="58" customFormat="1" x14ac:dyDescent="0.2">
      <c r="A886" s="49" t="s">
        <v>67</v>
      </c>
      <c r="B886" s="50">
        <v>43257</v>
      </c>
      <c r="C886" s="51">
        <v>0.52222222222222203</v>
      </c>
      <c r="D886" s="49" t="s">
        <v>173</v>
      </c>
      <c r="E886" s="49"/>
      <c r="F886" s="52">
        <v>62</v>
      </c>
      <c r="G886" s="53">
        <v>2</v>
      </c>
      <c r="H886" s="54">
        <v>3.2258064516129031E-2</v>
      </c>
      <c r="I886" s="55">
        <v>6.83E-2</v>
      </c>
      <c r="J886" s="53">
        <v>314.15899999999999</v>
      </c>
      <c r="K886" s="53">
        <v>0.75129999999999997</v>
      </c>
      <c r="L886" s="53">
        <v>11</v>
      </c>
      <c r="M886" s="56">
        <v>209.07693331558633</v>
      </c>
      <c r="N886" s="53">
        <v>1119</v>
      </c>
      <c r="O886" s="58" t="s">
        <v>197</v>
      </c>
      <c r="P886" s="57" t="s">
        <v>82</v>
      </c>
      <c r="Q886" s="53" t="s">
        <v>198</v>
      </c>
      <c r="R886" s="53" t="s">
        <v>199</v>
      </c>
      <c r="S886" s="53"/>
      <c r="T886" s="59">
        <v>1</v>
      </c>
      <c r="U886" s="59">
        <v>1</v>
      </c>
      <c r="V886" s="53">
        <v>5.6</v>
      </c>
      <c r="W886" s="53"/>
      <c r="X886" s="53"/>
      <c r="Y886" s="9">
        <f t="shared" si="13"/>
        <v>209.07693331558633</v>
      </c>
      <c r="Z886" s="60" t="s">
        <v>73</v>
      </c>
      <c r="AA886" s="58" t="s">
        <v>332</v>
      </c>
      <c r="AB886" s="58" t="s">
        <v>75</v>
      </c>
      <c r="AC886" s="61" t="s">
        <v>112</v>
      </c>
      <c r="AD886" s="53" t="s">
        <v>150</v>
      </c>
      <c r="AE886" s="56">
        <v>30.377080906666663</v>
      </c>
      <c r="AF886" s="62"/>
      <c r="AG886" s="63"/>
      <c r="AH886" s="61"/>
      <c r="AO886" s="66" t="s">
        <v>78</v>
      </c>
      <c r="AP886" s="65">
        <v>5.6</v>
      </c>
      <c r="AQ886" s="65">
        <v>5.6</v>
      </c>
      <c r="AR886" s="65"/>
      <c r="AS886" s="65"/>
      <c r="AT886" s="65"/>
      <c r="AU886" s="65"/>
      <c r="AV886" s="65"/>
      <c r="AW886" s="65"/>
      <c r="AX886" s="65"/>
      <c r="AY886" s="65"/>
      <c r="AZ886" s="65"/>
      <c r="BA886" s="65"/>
      <c r="BB886" s="65"/>
      <c r="BC886" s="65"/>
      <c r="BD886" s="65"/>
      <c r="BE886" s="65"/>
      <c r="BF886" s="65"/>
      <c r="BG886" s="65"/>
      <c r="BH886" s="65"/>
      <c r="BI886" s="65"/>
      <c r="BJ886" s="65"/>
      <c r="BK886" s="65"/>
      <c r="BL886" s="65"/>
      <c r="BM886" s="65"/>
      <c r="BN886" s="65"/>
      <c r="BO886" s="65"/>
    </row>
    <row r="887" spans="1:67" s="58" customFormat="1" x14ac:dyDescent="0.2">
      <c r="A887" s="49"/>
      <c r="B887" s="50"/>
      <c r="C887" s="51"/>
      <c r="D887" s="49"/>
      <c r="E887" s="49"/>
      <c r="F887" s="52"/>
      <c r="G887" s="53"/>
      <c r="H887" s="54"/>
      <c r="I887" s="55"/>
      <c r="J887" s="53"/>
      <c r="K887" s="53"/>
      <c r="L887" s="53"/>
      <c r="M887" s="56"/>
      <c r="N887" s="53"/>
      <c r="P887" s="57"/>
      <c r="Q887" s="53"/>
      <c r="R887" s="53"/>
      <c r="S887" s="53"/>
      <c r="T887" s="59"/>
      <c r="U887" s="59"/>
      <c r="V887" s="53"/>
      <c r="W887" s="53"/>
      <c r="X887" s="53"/>
      <c r="Y887" s="9" t="e">
        <f t="shared" si="13"/>
        <v>#DIV/0!</v>
      </c>
      <c r="Z887" s="60"/>
      <c r="AC887" s="61"/>
      <c r="AD887" s="53"/>
      <c r="AE887" s="56"/>
      <c r="AF887" s="62"/>
      <c r="AG887" s="63"/>
      <c r="AH887" s="61"/>
      <c r="AO887" s="64" t="s">
        <v>79</v>
      </c>
      <c r="AP887" s="65">
        <v>3.7</v>
      </c>
      <c r="AQ887" s="65">
        <v>3.7</v>
      </c>
      <c r="AR887" s="65"/>
      <c r="AS887" s="65"/>
      <c r="AT887" s="65"/>
      <c r="AU887" s="65"/>
      <c r="AV887" s="65"/>
      <c r="AW887" s="65"/>
      <c r="AX887" s="65"/>
      <c r="AY887" s="65"/>
      <c r="AZ887" s="65"/>
      <c r="BA887" s="65"/>
      <c r="BB887" s="65"/>
      <c r="BC887" s="65"/>
      <c r="BD887" s="65"/>
      <c r="BE887" s="65"/>
      <c r="BF887" s="65"/>
      <c r="BG887" s="65"/>
      <c r="BH887" s="65"/>
      <c r="BI887" s="65"/>
      <c r="BJ887" s="65"/>
      <c r="BK887" s="65"/>
      <c r="BL887" s="65"/>
      <c r="BM887" s="65"/>
      <c r="BN887" s="65"/>
      <c r="BO887" s="65"/>
    </row>
    <row r="888" spans="1:67" s="58" customFormat="1" x14ac:dyDescent="0.2">
      <c r="A888" s="49"/>
      <c r="B888" s="50"/>
      <c r="C888" s="51"/>
      <c r="D888" s="49"/>
      <c r="E888" s="49"/>
      <c r="F888" s="52"/>
      <c r="G888" s="53"/>
      <c r="H888" s="54"/>
      <c r="I888" s="55"/>
      <c r="J888" s="53"/>
      <c r="K888" s="53"/>
      <c r="L888" s="53"/>
      <c r="M888" s="56"/>
      <c r="N888" s="53"/>
      <c r="P888" s="57"/>
      <c r="Q888" s="53"/>
      <c r="R888" s="53"/>
      <c r="S888" s="53"/>
      <c r="T888" s="59"/>
      <c r="U888" s="59"/>
      <c r="V888" s="53"/>
      <c r="W888" s="53"/>
      <c r="X888" s="53"/>
      <c r="Y888" s="9" t="e">
        <f t="shared" si="13"/>
        <v>#DIV/0!</v>
      </c>
      <c r="Z888" s="60"/>
      <c r="AC888" s="61"/>
      <c r="AD888" s="53"/>
      <c r="AE888" s="56"/>
      <c r="AF888" s="62"/>
      <c r="AG888" s="63"/>
      <c r="AH888" s="61"/>
      <c r="AO888" s="64" t="s">
        <v>80</v>
      </c>
      <c r="AP888" s="65">
        <v>2.8</v>
      </c>
      <c r="AQ888" s="65">
        <v>2.8</v>
      </c>
      <c r="AR888" s="65"/>
      <c r="AS888" s="65"/>
      <c r="AT888" s="65"/>
      <c r="AU888" s="65"/>
      <c r="AV888" s="65"/>
      <c r="AW888" s="65"/>
      <c r="AX888" s="65"/>
      <c r="AY888" s="65"/>
      <c r="AZ888" s="65"/>
      <c r="BA888" s="65"/>
      <c r="BB888" s="65"/>
      <c r="BC888" s="65"/>
      <c r="BD888" s="65"/>
      <c r="BE888" s="65"/>
      <c r="BF888" s="65"/>
      <c r="BG888" s="65"/>
      <c r="BH888" s="65"/>
      <c r="BI888" s="65"/>
      <c r="BJ888" s="65"/>
      <c r="BK888" s="65"/>
      <c r="BL888" s="65"/>
      <c r="BM888" s="65"/>
      <c r="BN888" s="65"/>
      <c r="BO888" s="65"/>
    </row>
    <row r="889" spans="1:67" s="58" customFormat="1" x14ac:dyDescent="0.2">
      <c r="A889" s="49" t="s">
        <v>67</v>
      </c>
      <c r="B889" s="50">
        <v>43257</v>
      </c>
      <c r="C889" s="51">
        <v>0.52222222222222203</v>
      </c>
      <c r="D889" s="49" t="s">
        <v>173</v>
      </c>
      <c r="E889" s="49"/>
      <c r="F889" s="52">
        <v>62</v>
      </c>
      <c r="G889" s="53">
        <v>2</v>
      </c>
      <c r="H889" s="54">
        <v>3.2258064516129031E-2</v>
      </c>
      <c r="I889" s="55">
        <v>6.83E-2</v>
      </c>
      <c r="J889" s="53">
        <v>314.15899999999999</v>
      </c>
      <c r="K889" s="53">
        <v>0.75129999999999997</v>
      </c>
      <c r="L889" s="53">
        <v>11</v>
      </c>
      <c r="M889" s="56">
        <v>209.07693331558633</v>
      </c>
      <c r="N889" s="53">
        <v>1419</v>
      </c>
      <c r="O889" s="57" t="s">
        <v>94</v>
      </c>
      <c r="P889" s="57" t="s">
        <v>82</v>
      </c>
      <c r="Q889" s="53" t="s">
        <v>95</v>
      </c>
      <c r="R889" s="53" t="s">
        <v>96</v>
      </c>
      <c r="S889" s="53"/>
      <c r="T889" s="59">
        <v>377</v>
      </c>
      <c r="U889" s="59">
        <v>759</v>
      </c>
      <c r="V889" s="53">
        <v>0.8</v>
      </c>
      <c r="W889" s="53">
        <v>0.8</v>
      </c>
      <c r="X889" s="53">
        <v>0.8</v>
      </c>
      <c r="Y889" s="9">
        <f t="shared" si="13"/>
        <v>78822.003859976045</v>
      </c>
      <c r="Z889" s="60" t="s">
        <v>97</v>
      </c>
      <c r="AA889" s="58" t="s">
        <v>332</v>
      </c>
      <c r="AB889" s="58" t="s">
        <v>75</v>
      </c>
      <c r="AC889" s="61" t="s">
        <v>112</v>
      </c>
      <c r="AD889" s="53" t="s">
        <v>85</v>
      </c>
      <c r="AE889" s="56">
        <v>0.18</v>
      </c>
      <c r="AF889" s="56">
        <v>0.18</v>
      </c>
      <c r="AG889" s="56">
        <v>0.18</v>
      </c>
      <c r="AH889" s="56">
        <v>0.18</v>
      </c>
      <c r="AI889" s="56">
        <v>0.18</v>
      </c>
      <c r="AJ889" s="56">
        <v>0.18</v>
      </c>
      <c r="AK889" s="56">
        <v>0.18</v>
      </c>
      <c r="AL889" s="56">
        <v>0.18</v>
      </c>
      <c r="AM889" s="56">
        <v>0.18</v>
      </c>
      <c r="AN889" s="56">
        <v>0.18</v>
      </c>
      <c r="AO889" s="66" t="s">
        <v>78</v>
      </c>
      <c r="AP889" s="65">
        <v>0.75200000000000033</v>
      </c>
      <c r="AQ889" s="65">
        <v>0.7</v>
      </c>
      <c r="AR889" s="65">
        <v>0.7</v>
      </c>
      <c r="AS889" s="65">
        <v>0.7</v>
      </c>
      <c r="AT889" s="65">
        <v>0.7</v>
      </c>
      <c r="AU889" s="65">
        <v>0.7</v>
      </c>
      <c r="AV889" s="65">
        <v>0.7</v>
      </c>
      <c r="AW889" s="65">
        <v>0.7</v>
      </c>
      <c r="AX889" s="65">
        <v>0.7</v>
      </c>
      <c r="AY889" s="65">
        <v>0.7</v>
      </c>
      <c r="AZ889" s="65">
        <v>0.7</v>
      </c>
      <c r="BA889" s="65">
        <v>0.7</v>
      </c>
      <c r="BB889" s="65">
        <v>0.7</v>
      </c>
      <c r="BC889" s="65">
        <v>0.8</v>
      </c>
      <c r="BD889" s="65">
        <v>0.8</v>
      </c>
      <c r="BE889" s="65">
        <v>0.8</v>
      </c>
      <c r="BF889" s="65">
        <v>0.8</v>
      </c>
      <c r="BG889" s="65">
        <v>0.8</v>
      </c>
      <c r="BH889" s="65">
        <v>0.8</v>
      </c>
      <c r="BI889" s="65">
        <v>0.8</v>
      </c>
      <c r="BJ889" s="65">
        <v>0.8</v>
      </c>
      <c r="BK889" s="65">
        <v>0.8</v>
      </c>
      <c r="BL889" s="65">
        <v>0.8</v>
      </c>
      <c r="BM889" s="65">
        <v>0.8</v>
      </c>
      <c r="BN889" s="65">
        <v>0.8</v>
      </c>
      <c r="BO889" s="65">
        <v>0.8</v>
      </c>
    </row>
    <row r="890" spans="1:67" s="58" customFormat="1" x14ac:dyDescent="0.2">
      <c r="A890" s="49" t="s">
        <v>67</v>
      </c>
      <c r="B890" s="50">
        <v>43257</v>
      </c>
      <c r="C890" s="51">
        <v>0.530555555555556</v>
      </c>
      <c r="D890" s="51" t="s">
        <v>194</v>
      </c>
      <c r="E890" s="49"/>
      <c r="F890" s="52">
        <v>63</v>
      </c>
      <c r="G890" s="53">
        <v>2</v>
      </c>
      <c r="H890" s="54">
        <v>3.1746031746031744E-2</v>
      </c>
      <c r="I890" s="55">
        <v>6.83E-2</v>
      </c>
      <c r="J890" s="53">
        <v>314.15899999999999</v>
      </c>
      <c r="K890" s="53">
        <v>0.88790000000000002</v>
      </c>
      <c r="L890" s="53">
        <v>13</v>
      </c>
      <c r="M890" s="56">
        <v>176.91125126703457</v>
      </c>
      <c r="N890" s="53">
        <v>145</v>
      </c>
      <c r="O890" s="57" t="s">
        <v>69</v>
      </c>
      <c r="P890" s="58" t="s">
        <v>70</v>
      </c>
      <c r="Q890" s="53" t="s">
        <v>71</v>
      </c>
      <c r="R890" s="53" t="s">
        <v>72</v>
      </c>
      <c r="S890" s="53"/>
      <c r="T890" s="59">
        <v>2</v>
      </c>
      <c r="U890" s="59">
        <v>2</v>
      </c>
      <c r="V890" s="53">
        <v>40.700000000000003</v>
      </c>
      <c r="W890" s="53"/>
      <c r="X890" s="53"/>
      <c r="Y890" s="9">
        <f t="shared" si="13"/>
        <v>353.82250253406914</v>
      </c>
      <c r="Z890" s="60" t="s">
        <v>73</v>
      </c>
      <c r="AA890" s="58" t="s">
        <v>333</v>
      </c>
      <c r="AB890" s="58" t="s">
        <v>75</v>
      </c>
      <c r="AC890" s="61" t="s">
        <v>281</v>
      </c>
      <c r="AD890" s="53" t="s">
        <v>77</v>
      </c>
      <c r="AE890" s="56">
        <v>1467.86394524</v>
      </c>
      <c r="AF890" s="62"/>
      <c r="AG890" s="63"/>
      <c r="AH890" s="61"/>
      <c r="AO890" s="64" t="s">
        <v>78</v>
      </c>
      <c r="AP890" s="65">
        <v>28.700000000000003</v>
      </c>
      <c r="AQ890" s="65">
        <v>40.700000000000003</v>
      </c>
      <c r="AR890" s="65">
        <v>16.7</v>
      </c>
      <c r="AS890" s="65"/>
      <c r="AT890" s="65"/>
      <c r="AU890" s="65"/>
      <c r="AV890" s="65"/>
      <c r="AW890" s="65"/>
      <c r="AX890" s="65"/>
      <c r="AY890" s="65"/>
      <c r="AZ890" s="65"/>
      <c r="BA890" s="65"/>
      <c r="BB890" s="65"/>
      <c r="BC890" s="65"/>
      <c r="BD890" s="65"/>
      <c r="BE890" s="65"/>
      <c r="BF890" s="65"/>
      <c r="BG890" s="65"/>
      <c r="BH890" s="65"/>
      <c r="BI890" s="65"/>
      <c r="BJ890" s="65"/>
      <c r="BK890" s="65"/>
      <c r="BL890" s="65"/>
      <c r="BM890" s="65"/>
      <c r="BN890" s="65"/>
      <c r="BO890" s="65"/>
    </row>
    <row r="891" spans="1:67" s="58" customFormat="1" x14ac:dyDescent="0.2">
      <c r="A891" s="49"/>
      <c r="B891" s="50"/>
      <c r="C891" s="51"/>
      <c r="D891" s="51"/>
      <c r="E891" s="49"/>
      <c r="F891" s="52"/>
      <c r="G891" s="53"/>
      <c r="H891" s="54"/>
      <c r="I891" s="55"/>
      <c r="J891" s="53"/>
      <c r="K891" s="53"/>
      <c r="L891" s="53"/>
      <c r="M891" s="56"/>
      <c r="N891" s="53"/>
      <c r="O891" s="57"/>
      <c r="Q891" s="53"/>
      <c r="R891" s="53"/>
      <c r="S891" s="53"/>
      <c r="T891" s="59"/>
      <c r="U891" s="59"/>
      <c r="V891" s="53"/>
      <c r="W891" s="53"/>
      <c r="X891" s="53"/>
      <c r="Y891" s="9" t="e">
        <f t="shared" si="13"/>
        <v>#DIV/0!</v>
      </c>
      <c r="Z891" s="60"/>
      <c r="AC891" s="61"/>
      <c r="AD891" s="53"/>
      <c r="AE891" s="56"/>
      <c r="AF891" s="62"/>
      <c r="AG891" s="63"/>
      <c r="AH891" s="61"/>
      <c r="AO891" s="64" t="s">
        <v>79</v>
      </c>
      <c r="AP891" s="65">
        <v>17.600000000000001</v>
      </c>
      <c r="AQ891" s="65">
        <v>24.1</v>
      </c>
      <c r="AR891" s="65">
        <v>11.1</v>
      </c>
      <c r="AS891" s="65"/>
      <c r="AT891" s="65"/>
      <c r="AU891" s="65"/>
      <c r="AV891" s="65"/>
      <c r="AW891" s="65"/>
      <c r="AX891" s="65"/>
      <c r="AY891" s="65"/>
      <c r="AZ891" s="65"/>
      <c r="BA891" s="65"/>
      <c r="BB891" s="65"/>
      <c r="BC891" s="65"/>
      <c r="BD891" s="65"/>
      <c r="BE891" s="65"/>
      <c r="BF891" s="65"/>
      <c r="BG891" s="65"/>
      <c r="BH891" s="65"/>
      <c r="BI891" s="65"/>
      <c r="BJ891" s="65"/>
      <c r="BK891" s="65"/>
      <c r="BL891" s="65"/>
      <c r="BM891" s="65"/>
      <c r="BN891" s="65"/>
      <c r="BO891" s="65"/>
    </row>
    <row r="892" spans="1:67" s="58" customFormat="1" x14ac:dyDescent="0.2">
      <c r="A892" s="49"/>
      <c r="B892" s="50"/>
      <c r="C892" s="51"/>
      <c r="D892" s="51"/>
      <c r="E892" s="49"/>
      <c r="F892" s="52"/>
      <c r="G892" s="53"/>
      <c r="H892" s="54"/>
      <c r="I892" s="55"/>
      <c r="J892" s="53"/>
      <c r="K892" s="53"/>
      <c r="L892" s="53"/>
      <c r="M892" s="56"/>
      <c r="N892" s="53"/>
      <c r="O892" s="57"/>
      <c r="Q892" s="53"/>
      <c r="R892" s="53"/>
      <c r="S892" s="53"/>
      <c r="T892" s="59"/>
      <c r="U892" s="59"/>
      <c r="V892" s="53"/>
      <c r="W892" s="53"/>
      <c r="X892" s="53"/>
      <c r="Y892" s="9" t="e">
        <f t="shared" si="13"/>
        <v>#DIV/0!</v>
      </c>
      <c r="Z892" s="60"/>
      <c r="AC892" s="61"/>
      <c r="AD892" s="53"/>
      <c r="AE892" s="56"/>
      <c r="AF892" s="62"/>
      <c r="AG892" s="63"/>
      <c r="AH892" s="61"/>
      <c r="AO892" s="64" t="s">
        <v>80</v>
      </c>
      <c r="AP892" s="65">
        <v>3.7</v>
      </c>
      <c r="AQ892" s="65">
        <v>3.7</v>
      </c>
      <c r="AR892" s="65">
        <v>3.7</v>
      </c>
      <c r="AS892" s="65"/>
      <c r="AT892" s="65"/>
      <c r="AU892" s="65"/>
      <c r="AV892" s="65"/>
      <c r="AW892" s="65"/>
      <c r="AX892" s="65"/>
      <c r="AY892" s="65"/>
      <c r="AZ892" s="65"/>
      <c r="BA892" s="65"/>
      <c r="BB892" s="65"/>
      <c r="BC892" s="65"/>
      <c r="BD892" s="65"/>
      <c r="BE892" s="65"/>
      <c r="BF892" s="65"/>
      <c r="BG892" s="65"/>
      <c r="BH892" s="65"/>
      <c r="BI892" s="65"/>
      <c r="BJ892" s="65"/>
      <c r="BK892" s="65"/>
      <c r="BL892" s="65"/>
      <c r="BM892" s="65"/>
      <c r="BN892" s="65"/>
      <c r="BO892" s="65"/>
    </row>
    <row r="893" spans="1:67" s="58" customFormat="1" x14ac:dyDescent="0.2">
      <c r="A893" s="49" t="s">
        <v>67</v>
      </c>
      <c r="B893" s="50">
        <v>43257</v>
      </c>
      <c r="C893" s="51">
        <v>0.530555555555556</v>
      </c>
      <c r="D893" s="51" t="s">
        <v>194</v>
      </c>
      <c r="E893" s="49"/>
      <c r="F893" s="52">
        <v>63</v>
      </c>
      <c r="G893" s="53">
        <v>2</v>
      </c>
      <c r="H893" s="54">
        <v>3.1746031746031744E-2</v>
      </c>
      <c r="I893" s="55">
        <v>6.83E-2</v>
      </c>
      <c r="J893" s="53">
        <v>314.15899999999999</v>
      </c>
      <c r="K893" s="53">
        <v>0.88790000000000002</v>
      </c>
      <c r="L893" s="53">
        <v>13</v>
      </c>
      <c r="M893" s="56">
        <v>176.91125126703457</v>
      </c>
      <c r="N893" s="53">
        <v>749</v>
      </c>
      <c r="O893" s="57" t="s">
        <v>190</v>
      </c>
      <c r="P893" s="58" t="s">
        <v>70</v>
      </c>
      <c r="Q893" s="53" t="s">
        <v>191</v>
      </c>
      <c r="R893" s="53" t="s">
        <v>84</v>
      </c>
      <c r="S893" s="53"/>
      <c r="T893" s="59">
        <v>1</v>
      </c>
      <c r="U893" s="59">
        <v>1</v>
      </c>
      <c r="V893" s="53">
        <v>16.7</v>
      </c>
      <c r="W893" s="53"/>
      <c r="X893" s="53"/>
      <c r="Y893" s="9">
        <f t="shared" si="13"/>
        <v>176.91125126703457</v>
      </c>
      <c r="Z893" s="60" t="s">
        <v>73</v>
      </c>
      <c r="AA893" s="58" t="s">
        <v>333</v>
      </c>
      <c r="AB893" s="58" t="s">
        <v>75</v>
      </c>
      <c r="AC893" s="61" t="s">
        <v>281</v>
      </c>
      <c r="AD893" s="53" t="s">
        <v>193</v>
      </c>
      <c r="AE893" s="56">
        <v>65.463999999999999</v>
      </c>
      <c r="AF893" s="62"/>
      <c r="AG893" s="63"/>
      <c r="AH893" s="61"/>
      <c r="AO893" s="64" t="s">
        <v>78</v>
      </c>
      <c r="AP893" s="65">
        <v>16.7</v>
      </c>
      <c r="AQ893" s="65">
        <v>16.7</v>
      </c>
      <c r="AR893" s="65"/>
      <c r="AS893" s="65"/>
      <c r="AT893" s="65"/>
      <c r="AU893" s="65"/>
      <c r="AV893" s="65"/>
      <c r="AW893" s="65"/>
      <c r="AX893" s="65"/>
      <c r="AY893" s="65"/>
      <c r="AZ893" s="65"/>
      <c r="BA893" s="65"/>
      <c r="BB893" s="65"/>
      <c r="BC893" s="65"/>
      <c r="BD893" s="65"/>
      <c r="BE893" s="65"/>
      <c r="BF893" s="65"/>
      <c r="BG893" s="65"/>
      <c r="BH893" s="65"/>
      <c r="BI893" s="65"/>
      <c r="BJ893" s="65"/>
      <c r="BK893" s="65"/>
      <c r="BL893" s="65"/>
      <c r="BM893" s="65"/>
      <c r="BN893" s="65"/>
      <c r="BO893" s="65"/>
    </row>
    <row r="894" spans="1:67" s="58" customFormat="1" x14ac:dyDescent="0.2">
      <c r="A894" s="49"/>
      <c r="B894" s="50"/>
      <c r="C894" s="51"/>
      <c r="D894" s="51"/>
      <c r="E894" s="49"/>
      <c r="F894" s="52"/>
      <c r="G894" s="53"/>
      <c r="H894" s="54"/>
      <c r="I894" s="55"/>
      <c r="J894" s="53"/>
      <c r="K894" s="53"/>
      <c r="L894" s="53"/>
      <c r="M894" s="56"/>
      <c r="N894" s="53"/>
      <c r="O894" s="57"/>
      <c r="Q894" s="53"/>
      <c r="R894" s="53"/>
      <c r="S894" s="53"/>
      <c r="T894" s="59"/>
      <c r="U894" s="59"/>
      <c r="V894" s="53"/>
      <c r="W894" s="53"/>
      <c r="X894" s="53"/>
      <c r="Y894" s="9" t="e">
        <f t="shared" si="13"/>
        <v>#DIV/0!</v>
      </c>
      <c r="Z894" s="60"/>
      <c r="AC894" s="61"/>
      <c r="AD894" s="53"/>
      <c r="AE894" s="56"/>
      <c r="AF894" s="62"/>
      <c r="AG894" s="63"/>
      <c r="AH894" s="61"/>
      <c r="AO894" s="64" t="s">
        <v>79</v>
      </c>
      <c r="AP894" s="65">
        <v>2.8</v>
      </c>
      <c r="AQ894" s="65">
        <v>2.8</v>
      </c>
      <c r="AR894" s="65"/>
      <c r="AS894" s="65"/>
      <c r="AT894" s="65"/>
      <c r="AU894" s="65"/>
      <c r="AV894" s="65"/>
      <c r="AW894" s="65"/>
      <c r="AX894" s="65"/>
      <c r="AY894" s="65"/>
      <c r="AZ894" s="65"/>
      <c r="BA894" s="65"/>
      <c r="BB894" s="65"/>
      <c r="BC894" s="65"/>
      <c r="BD894" s="65"/>
      <c r="BE894" s="65"/>
      <c r="BF894" s="65"/>
      <c r="BG894" s="65"/>
      <c r="BH894" s="65"/>
      <c r="BI894" s="65"/>
      <c r="BJ894" s="65"/>
      <c r="BK894" s="65"/>
      <c r="BL894" s="65"/>
      <c r="BM894" s="65"/>
      <c r="BN894" s="65"/>
      <c r="BO894" s="65"/>
    </row>
    <row r="895" spans="1:67" s="58" customFormat="1" x14ac:dyDescent="0.2">
      <c r="A895" s="49"/>
      <c r="B895" s="50"/>
      <c r="C895" s="51"/>
      <c r="D895" s="51"/>
      <c r="E895" s="49"/>
      <c r="F895" s="52"/>
      <c r="G895" s="53"/>
      <c r="H895" s="54"/>
      <c r="I895" s="55"/>
      <c r="J895" s="53"/>
      <c r="K895" s="53"/>
      <c r="L895" s="53"/>
      <c r="M895" s="56"/>
      <c r="N895" s="53"/>
      <c r="O895" s="57"/>
      <c r="Q895" s="53"/>
      <c r="R895" s="53"/>
      <c r="S895" s="53"/>
      <c r="T895" s="59"/>
      <c r="U895" s="59"/>
      <c r="V895" s="53"/>
      <c r="W895" s="53"/>
      <c r="X895" s="53"/>
      <c r="Y895" s="9" t="e">
        <f t="shared" si="13"/>
        <v>#DIV/0!</v>
      </c>
      <c r="Z895" s="60"/>
      <c r="AC895" s="61"/>
      <c r="AD895" s="53"/>
      <c r="AE895" s="56"/>
      <c r="AF895" s="62"/>
      <c r="AG895" s="63"/>
      <c r="AH895" s="61"/>
      <c r="AO895" s="64" t="s">
        <v>80</v>
      </c>
      <c r="AP895" s="65">
        <v>2.8</v>
      </c>
      <c r="AQ895" s="65">
        <v>2.8</v>
      </c>
      <c r="AR895" s="65"/>
      <c r="AS895" s="65"/>
      <c r="AT895" s="65"/>
      <c r="AU895" s="65"/>
      <c r="AV895" s="65"/>
      <c r="AW895" s="65"/>
      <c r="AX895" s="65"/>
      <c r="AY895" s="65"/>
      <c r="AZ895" s="65"/>
      <c r="BA895" s="65"/>
      <c r="BB895" s="65"/>
      <c r="BC895" s="65"/>
      <c r="BD895" s="65"/>
      <c r="BE895" s="65"/>
      <c r="BF895" s="65"/>
      <c r="BG895" s="65"/>
      <c r="BH895" s="65"/>
      <c r="BI895" s="65"/>
      <c r="BJ895" s="65"/>
      <c r="BK895" s="65"/>
      <c r="BL895" s="65"/>
      <c r="BM895" s="65"/>
      <c r="BN895" s="65"/>
      <c r="BO895" s="65"/>
    </row>
    <row r="896" spans="1:67" s="58" customFormat="1" x14ac:dyDescent="0.2">
      <c r="A896" s="49" t="s">
        <v>67</v>
      </c>
      <c r="B896" s="50">
        <v>43257</v>
      </c>
      <c r="C896" s="51">
        <v>0.530555555555556</v>
      </c>
      <c r="D896" s="51" t="s">
        <v>194</v>
      </c>
      <c r="E896" s="49"/>
      <c r="F896" s="52">
        <v>63</v>
      </c>
      <c r="G896" s="53">
        <v>2</v>
      </c>
      <c r="H896" s="54">
        <v>3.1746031746031744E-2</v>
      </c>
      <c r="I896" s="55">
        <v>6.83E-2</v>
      </c>
      <c r="J896" s="53">
        <v>314.15899999999999</v>
      </c>
      <c r="K896" s="53">
        <v>0.88790000000000002</v>
      </c>
      <c r="L896" s="53">
        <v>13</v>
      </c>
      <c r="M896" s="56">
        <v>176.91125126703457</v>
      </c>
      <c r="N896" s="53">
        <v>1037</v>
      </c>
      <c r="O896" s="57" t="s">
        <v>86</v>
      </c>
      <c r="P896" s="57" t="s">
        <v>82</v>
      </c>
      <c r="Q896" s="53" t="s">
        <v>87</v>
      </c>
      <c r="R896" s="53" t="s">
        <v>84</v>
      </c>
      <c r="S896" s="53"/>
      <c r="T896" s="59">
        <v>28</v>
      </c>
      <c r="U896" s="59">
        <v>28</v>
      </c>
      <c r="V896" s="53">
        <v>3.7</v>
      </c>
      <c r="W896" s="53"/>
      <c r="X896" s="53"/>
      <c r="Y896" s="9">
        <f t="shared" si="13"/>
        <v>4953.5150354769676</v>
      </c>
      <c r="Z896" s="60" t="s">
        <v>73</v>
      </c>
      <c r="AA896" s="58" t="s">
        <v>333</v>
      </c>
      <c r="AB896" s="58" t="s">
        <v>75</v>
      </c>
      <c r="AC896" s="61" t="s">
        <v>281</v>
      </c>
      <c r="AD896" s="53" t="s">
        <v>85</v>
      </c>
      <c r="AE896" s="56">
        <v>14.137154999999998</v>
      </c>
      <c r="AF896" s="62"/>
      <c r="AG896" s="63"/>
      <c r="AH896" s="61"/>
      <c r="AO896" s="64" t="s">
        <v>78</v>
      </c>
      <c r="AP896" s="65">
        <v>2.9799999999999995</v>
      </c>
      <c r="AQ896" s="65">
        <v>2.8</v>
      </c>
      <c r="AR896" s="65">
        <v>2.8</v>
      </c>
      <c r="AS896" s="65">
        <v>2.8</v>
      </c>
      <c r="AT896" s="65">
        <v>3.7</v>
      </c>
      <c r="AU896" s="65">
        <v>2.8</v>
      </c>
      <c r="AV896" s="65"/>
      <c r="AW896" s="65"/>
      <c r="AX896" s="65"/>
      <c r="AY896" s="65"/>
      <c r="AZ896" s="65"/>
      <c r="BA896" s="65"/>
      <c r="BB896" s="65"/>
      <c r="BC896" s="65"/>
      <c r="BD896" s="65"/>
      <c r="BE896" s="65"/>
      <c r="BF896" s="65"/>
      <c r="BG896" s="65"/>
      <c r="BH896" s="65"/>
      <c r="BI896" s="65"/>
      <c r="BJ896" s="65"/>
      <c r="BK896" s="65"/>
      <c r="BL896" s="65"/>
      <c r="BM896" s="65"/>
      <c r="BN896" s="65"/>
      <c r="BO896" s="65"/>
    </row>
    <row r="897" spans="1:67" s="58" customFormat="1" x14ac:dyDescent="0.2">
      <c r="A897" s="49" t="s">
        <v>67</v>
      </c>
      <c r="B897" s="50">
        <v>43257</v>
      </c>
      <c r="C897" s="51">
        <v>0.530555555555556</v>
      </c>
      <c r="D897" s="51" t="s">
        <v>194</v>
      </c>
      <c r="E897" s="49"/>
      <c r="F897" s="52">
        <v>63</v>
      </c>
      <c r="G897" s="53">
        <v>2</v>
      </c>
      <c r="H897" s="54">
        <v>3.1746031746031744E-2</v>
      </c>
      <c r="I897" s="55">
        <v>6.83E-2</v>
      </c>
      <c r="J897" s="53">
        <v>314.15899999999999</v>
      </c>
      <c r="K897" s="53">
        <v>0.88790000000000002</v>
      </c>
      <c r="L897" s="53">
        <v>13</v>
      </c>
      <c r="M897" s="56">
        <v>176.91125126703457</v>
      </c>
      <c r="N897" s="53">
        <v>1806</v>
      </c>
      <c r="O897" s="57" t="s">
        <v>206</v>
      </c>
      <c r="P897" s="57" t="s">
        <v>82</v>
      </c>
      <c r="Q897" s="53" t="s">
        <v>207</v>
      </c>
      <c r="R897" s="53" t="s">
        <v>84</v>
      </c>
      <c r="S897" s="53"/>
      <c r="T897" s="59">
        <v>2</v>
      </c>
      <c r="U897" s="59">
        <v>2</v>
      </c>
      <c r="V897" s="53">
        <v>4.5999999999999996</v>
      </c>
      <c r="W897" s="53"/>
      <c r="X897" s="53"/>
      <c r="Y897" s="9">
        <f t="shared" si="13"/>
        <v>353.82250253406914</v>
      </c>
      <c r="Z897" s="60" t="s">
        <v>73</v>
      </c>
      <c r="AA897" s="58" t="s">
        <v>333</v>
      </c>
      <c r="AB897" s="58" t="s">
        <v>75</v>
      </c>
      <c r="AC897" s="61" t="s">
        <v>281</v>
      </c>
      <c r="AD897" s="53" t="s">
        <v>120</v>
      </c>
      <c r="AE897" s="56">
        <v>30.105856970000001</v>
      </c>
      <c r="AF897" s="62"/>
      <c r="AG897" s="63"/>
      <c r="AH897" s="61"/>
      <c r="AO897" s="64" t="s">
        <v>78</v>
      </c>
      <c r="AP897" s="65">
        <v>4.1500000000000004</v>
      </c>
      <c r="AQ897" s="65">
        <v>4.5999999999999996</v>
      </c>
      <c r="AR897" s="65">
        <v>3.7</v>
      </c>
      <c r="AS897" s="65"/>
      <c r="AT897" s="65"/>
      <c r="AU897" s="65"/>
      <c r="AV897" s="65"/>
      <c r="AW897" s="65"/>
      <c r="AX897" s="65"/>
      <c r="AY897" s="65"/>
      <c r="AZ897" s="65"/>
      <c r="BA897" s="65"/>
      <c r="BB897" s="65"/>
      <c r="BC897" s="65"/>
      <c r="BD897" s="65"/>
      <c r="BE897" s="65"/>
      <c r="BF897" s="65"/>
      <c r="BG897" s="65"/>
      <c r="BH897" s="65"/>
      <c r="BI897" s="65"/>
      <c r="BJ897" s="65"/>
      <c r="BK897" s="65"/>
      <c r="BL897" s="65"/>
      <c r="BM897" s="65"/>
      <c r="BN897" s="65"/>
      <c r="BO897" s="65"/>
    </row>
    <row r="898" spans="1:67" s="58" customFormat="1" x14ac:dyDescent="0.2">
      <c r="A898" s="49"/>
      <c r="B898" s="50"/>
      <c r="C898" s="51"/>
      <c r="D898" s="51"/>
      <c r="E898" s="49"/>
      <c r="F898" s="52"/>
      <c r="G898" s="53"/>
      <c r="H898" s="54"/>
      <c r="I898" s="55"/>
      <c r="J898" s="53"/>
      <c r="K898" s="53"/>
      <c r="L898" s="53"/>
      <c r="M898" s="56"/>
      <c r="N898" s="53"/>
      <c r="O898" s="57"/>
      <c r="P898" s="57"/>
      <c r="Q898" s="53"/>
      <c r="R898" s="53"/>
      <c r="S898" s="53"/>
      <c r="T898" s="59"/>
      <c r="U898" s="59"/>
      <c r="V898" s="53"/>
      <c r="W898" s="53"/>
      <c r="X898" s="53"/>
      <c r="Y898" s="9" t="e">
        <f t="shared" si="13"/>
        <v>#DIV/0!</v>
      </c>
      <c r="Z898" s="60"/>
      <c r="AC898" s="61"/>
      <c r="AD898" s="53"/>
      <c r="AE898" s="56"/>
      <c r="AF898" s="62"/>
      <c r="AG898" s="63"/>
      <c r="AH898" s="61"/>
      <c r="AO898" s="64" t="s">
        <v>79</v>
      </c>
      <c r="AP898" s="65">
        <v>3.7</v>
      </c>
      <c r="AQ898" s="65">
        <v>3.7</v>
      </c>
      <c r="AR898" s="65">
        <v>3.7</v>
      </c>
      <c r="AS898" s="65"/>
      <c r="AT898" s="65"/>
      <c r="AU898" s="65"/>
      <c r="AV898" s="65"/>
      <c r="AW898" s="65"/>
      <c r="AX898" s="65"/>
      <c r="AY898" s="65"/>
      <c r="AZ898" s="65"/>
      <c r="BA898" s="65"/>
      <c r="BB898" s="65"/>
      <c r="BC898" s="65"/>
      <c r="BD898" s="65"/>
      <c r="BE898" s="65"/>
      <c r="BF898" s="65"/>
      <c r="BG898" s="65"/>
      <c r="BH898" s="65"/>
      <c r="BI898" s="65"/>
      <c r="BJ898" s="65"/>
      <c r="BK898" s="65"/>
      <c r="BL898" s="65"/>
      <c r="BM898" s="65"/>
      <c r="BN898" s="65"/>
      <c r="BO898" s="65"/>
    </row>
    <row r="899" spans="1:67" s="58" customFormat="1" x14ac:dyDescent="0.2">
      <c r="A899" s="49" t="s">
        <v>67</v>
      </c>
      <c r="B899" s="50">
        <v>43257</v>
      </c>
      <c r="C899" s="51">
        <v>0.530555555555556</v>
      </c>
      <c r="D899" s="51" t="s">
        <v>194</v>
      </c>
      <c r="E899" s="49"/>
      <c r="F899" s="52">
        <v>63</v>
      </c>
      <c r="G899" s="53">
        <v>2</v>
      </c>
      <c r="H899" s="54">
        <v>3.1746031746031744E-2</v>
      </c>
      <c r="I899" s="55">
        <v>6.83E-2</v>
      </c>
      <c r="J899" s="53">
        <v>314.15899999999999</v>
      </c>
      <c r="K899" s="53">
        <v>0.88790000000000002</v>
      </c>
      <c r="L899" s="53">
        <v>13</v>
      </c>
      <c r="M899" s="56">
        <v>176.91125126703457</v>
      </c>
      <c r="N899" s="53">
        <v>1733</v>
      </c>
      <c r="O899" s="57" t="s">
        <v>92</v>
      </c>
      <c r="P899" s="57" t="s">
        <v>82</v>
      </c>
      <c r="Q899" s="53" t="s">
        <v>89</v>
      </c>
      <c r="R899" s="53" t="s">
        <v>93</v>
      </c>
      <c r="S899" s="53"/>
      <c r="T899" s="59">
        <v>2</v>
      </c>
      <c r="U899" s="59">
        <v>2</v>
      </c>
      <c r="V899" s="53">
        <v>7.4</v>
      </c>
      <c r="W899" s="53"/>
      <c r="X899" s="53"/>
      <c r="Y899" s="9">
        <f t="shared" ref="Y899:Y962" si="14">(T899*J899)/(G899*I899*L899)</f>
        <v>353.82250253406914</v>
      </c>
      <c r="Z899" s="60" t="s">
        <v>73</v>
      </c>
      <c r="AA899" s="58" t="s">
        <v>333</v>
      </c>
      <c r="AB899" s="58" t="s">
        <v>75</v>
      </c>
      <c r="AC899" s="61" t="s">
        <v>281</v>
      </c>
      <c r="AD899" s="53" t="s">
        <v>91</v>
      </c>
      <c r="AE899" s="56">
        <v>137.2613030833333</v>
      </c>
      <c r="AF899" s="62"/>
      <c r="AG899" s="63"/>
      <c r="AH899" s="61"/>
      <c r="AO899" s="64" t="s">
        <v>78</v>
      </c>
      <c r="AP899" s="65">
        <v>6.95</v>
      </c>
      <c r="AQ899" s="65">
        <v>6.5</v>
      </c>
      <c r="AR899" s="65">
        <v>7.4</v>
      </c>
      <c r="AS899" s="65"/>
      <c r="AT899" s="65"/>
      <c r="AU899" s="65"/>
      <c r="AV899" s="65"/>
      <c r="AW899" s="65"/>
      <c r="AX899" s="65"/>
      <c r="AY899" s="65"/>
      <c r="AZ899" s="65"/>
      <c r="BA899" s="65"/>
      <c r="BB899" s="65"/>
      <c r="BC899" s="65"/>
      <c r="BD899" s="65"/>
      <c r="BE899" s="65"/>
      <c r="BF899" s="65"/>
      <c r="BG899" s="65"/>
      <c r="BH899" s="65"/>
      <c r="BI899" s="65"/>
      <c r="BJ899" s="65"/>
      <c r="BK899" s="65"/>
      <c r="BL899" s="65"/>
      <c r="BM899" s="65"/>
      <c r="BN899" s="65"/>
      <c r="BO899" s="65"/>
    </row>
    <row r="900" spans="1:67" s="58" customFormat="1" x14ac:dyDescent="0.2">
      <c r="A900" s="49"/>
      <c r="B900" s="50"/>
      <c r="C900" s="51"/>
      <c r="D900" s="51"/>
      <c r="E900" s="49"/>
      <c r="F900" s="52"/>
      <c r="G900" s="53"/>
      <c r="H900" s="54"/>
      <c r="I900" s="55"/>
      <c r="J900" s="53"/>
      <c r="K900" s="53"/>
      <c r="L900" s="53"/>
      <c r="M900" s="56"/>
      <c r="N900" s="53"/>
      <c r="O900" s="57"/>
      <c r="P900" s="57"/>
      <c r="Q900" s="53"/>
      <c r="R900" s="53"/>
      <c r="S900" s="53"/>
      <c r="T900" s="59"/>
      <c r="U900" s="59"/>
      <c r="V900" s="53"/>
      <c r="W900" s="53"/>
      <c r="X900" s="53"/>
      <c r="Y900" s="9" t="e">
        <f t="shared" si="14"/>
        <v>#DIV/0!</v>
      </c>
      <c r="Z900" s="60"/>
      <c r="AC900" s="61"/>
      <c r="AD900" s="53"/>
      <c r="AE900" s="56"/>
      <c r="AF900" s="62"/>
      <c r="AG900" s="63"/>
      <c r="AH900" s="61"/>
      <c r="AO900" s="64" t="s">
        <v>79</v>
      </c>
      <c r="AP900" s="65">
        <v>3.7</v>
      </c>
      <c r="AQ900" s="65">
        <v>3.7</v>
      </c>
      <c r="AR900" s="65">
        <v>3.7</v>
      </c>
      <c r="AS900" s="65"/>
      <c r="AT900" s="65"/>
      <c r="AU900" s="65"/>
      <c r="AV900" s="65"/>
      <c r="AW900" s="65"/>
      <c r="AX900" s="65"/>
      <c r="AY900" s="65"/>
      <c r="AZ900" s="65"/>
      <c r="BA900" s="65"/>
      <c r="BB900" s="65"/>
      <c r="BC900" s="65"/>
      <c r="BD900" s="65"/>
      <c r="BE900" s="65"/>
      <c r="BF900" s="65"/>
      <c r="BG900" s="65"/>
      <c r="BH900" s="65"/>
      <c r="BI900" s="65"/>
      <c r="BJ900" s="65"/>
      <c r="BK900" s="65"/>
      <c r="BL900" s="65"/>
      <c r="BM900" s="65"/>
      <c r="BN900" s="65"/>
      <c r="BO900" s="65"/>
    </row>
    <row r="901" spans="1:67" s="58" customFormat="1" x14ac:dyDescent="0.2">
      <c r="A901" s="49" t="s">
        <v>67</v>
      </c>
      <c r="B901" s="50">
        <v>43257</v>
      </c>
      <c r="C901" s="51">
        <v>0.530555555555556</v>
      </c>
      <c r="D901" s="51" t="s">
        <v>194</v>
      </c>
      <c r="E901" s="49"/>
      <c r="F901" s="52">
        <v>63</v>
      </c>
      <c r="G901" s="53">
        <v>2</v>
      </c>
      <c r="H901" s="54">
        <v>3.1746031746031744E-2</v>
      </c>
      <c r="I901" s="55">
        <v>6.83E-2</v>
      </c>
      <c r="J901" s="53">
        <v>314.15899999999999</v>
      </c>
      <c r="K901" s="53">
        <v>0.88790000000000002</v>
      </c>
      <c r="L901" s="53">
        <v>13</v>
      </c>
      <c r="M901" s="56">
        <v>176.91125126703457</v>
      </c>
      <c r="N901" s="53">
        <v>1419</v>
      </c>
      <c r="O901" s="57" t="s">
        <v>94</v>
      </c>
      <c r="P901" s="57" t="s">
        <v>82</v>
      </c>
      <c r="Q901" s="53" t="s">
        <v>95</v>
      </c>
      <c r="R901" s="53" t="s">
        <v>96</v>
      </c>
      <c r="S901" s="53"/>
      <c r="T901" s="59">
        <v>374</v>
      </c>
      <c r="U901" s="59">
        <v>754</v>
      </c>
      <c r="V901" s="53">
        <v>0.8</v>
      </c>
      <c r="W901" s="53">
        <v>0.8</v>
      </c>
      <c r="X901" s="53">
        <v>0.8</v>
      </c>
      <c r="Y901" s="9">
        <f t="shared" si="14"/>
        <v>66164.807973870935</v>
      </c>
      <c r="Z901" s="60" t="s">
        <v>97</v>
      </c>
      <c r="AA901" s="58" t="s">
        <v>333</v>
      </c>
      <c r="AB901" s="58" t="s">
        <v>75</v>
      </c>
      <c r="AC901" s="61" t="s">
        <v>281</v>
      </c>
      <c r="AD901" s="53" t="s">
        <v>85</v>
      </c>
      <c r="AE901" s="56">
        <v>0.18</v>
      </c>
      <c r="AF901" s="56">
        <v>0.18</v>
      </c>
      <c r="AG901" s="56">
        <v>0.18</v>
      </c>
      <c r="AH901" s="56">
        <v>0.18</v>
      </c>
      <c r="AI901" s="56">
        <v>0.18</v>
      </c>
      <c r="AJ901" s="56">
        <v>0.18</v>
      </c>
      <c r="AK901" s="56">
        <v>0.18</v>
      </c>
      <c r="AL901" s="56">
        <v>0.18</v>
      </c>
      <c r="AM901" s="56">
        <v>0.18</v>
      </c>
      <c r="AN901" s="56">
        <v>0.18</v>
      </c>
      <c r="AO901" s="66" t="s">
        <v>78</v>
      </c>
      <c r="AP901" s="65">
        <v>0.75200000000000033</v>
      </c>
      <c r="AQ901" s="65">
        <v>0.7</v>
      </c>
      <c r="AR901" s="65">
        <v>0.7</v>
      </c>
      <c r="AS901" s="65">
        <v>0.7</v>
      </c>
      <c r="AT901" s="65">
        <v>0.7</v>
      </c>
      <c r="AU901" s="65">
        <v>0.7</v>
      </c>
      <c r="AV901" s="65">
        <v>0.7</v>
      </c>
      <c r="AW901" s="65">
        <v>0.7</v>
      </c>
      <c r="AX901" s="65">
        <v>0.7</v>
      </c>
      <c r="AY901" s="65">
        <v>0.7</v>
      </c>
      <c r="AZ901" s="65">
        <v>0.7</v>
      </c>
      <c r="BA901" s="65">
        <v>0.7</v>
      </c>
      <c r="BB901" s="65">
        <v>0.7</v>
      </c>
      <c r="BC901" s="65">
        <v>0.8</v>
      </c>
      <c r="BD901" s="65">
        <v>0.8</v>
      </c>
      <c r="BE901" s="65">
        <v>0.8</v>
      </c>
      <c r="BF901" s="65">
        <v>0.8</v>
      </c>
      <c r="BG901" s="65">
        <v>0.8</v>
      </c>
      <c r="BH901" s="65">
        <v>0.8</v>
      </c>
      <c r="BI901" s="65">
        <v>0.8</v>
      </c>
      <c r="BJ901" s="65">
        <v>0.8</v>
      </c>
      <c r="BK901" s="65">
        <v>0.8</v>
      </c>
      <c r="BL901" s="65">
        <v>0.8</v>
      </c>
      <c r="BM901" s="65">
        <v>0.8</v>
      </c>
      <c r="BN901" s="65">
        <v>0.8</v>
      </c>
      <c r="BO901" s="65">
        <v>0.8</v>
      </c>
    </row>
    <row r="902" spans="1:67" s="58" customFormat="1" x14ac:dyDescent="0.2">
      <c r="A902" s="49" t="s">
        <v>67</v>
      </c>
      <c r="B902" s="50">
        <v>43257</v>
      </c>
      <c r="C902" s="51">
        <v>0.530555555555556</v>
      </c>
      <c r="D902" s="51" t="s">
        <v>194</v>
      </c>
      <c r="E902" s="49"/>
      <c r="F902" s="52">
        <v>63</v>
      </c>
      <c r="G902" s="53">
        <v>2</v>
      </c>
      <c r="H902" s="54">
        <v>3.1746031746031744E-2</v>
      </c>
      <c r="I902" s="55">
        <v>6.83E-2</v>
      </c>
      <c r="J902" s="53">
        <v>314.15899999999999</v>
      </c>
      <c r="K902" s="53">
        <v>0.88790000000000002</v>
      </c>
      <c r="L902" s="53">
        <v>13</v>
      </c>
      <c r="M902" s="56">
        <v>176.91125126703457</v>
      </c>
      <c r="N902" s="53">
        <v>1519</v>
      </c>
      <c r="O902" s="58" t="s">
        <v>301</v>
      </c>
      <c r="P902" s="57" t="s">
        <v>82</v>
      </c>
      <c r="Q902" s="53" t="s">
        <v>302</v>
      </c>
      <c r="R902" s="53" t="s">
        <v>84</v>
      </c>
      <c r="S902" s="53"/>
      <c r="T902" s="59">
        <v>1</v>
      </c>
      <c r="U902" s="59">
        <v>7</v>
      </c>
      <c r="V902" s="53">
        <v>0.8</v>
      </c>
      <c r="W902" s="53"/>
      <c r="X902" s="53"/>
      <c r="Y902" s="9">
        <f t="shared" si="14"/>
        <v>176.91125126703457</v>
      </c>
      <c r="Z902" s="60" t="s">
        <v>97</v>
      </c>
      <c r="AA902" s="58" t="s">
        <v>333</v>
      </c>
      <c r="AB902" s="58" t="s">
        <v>75</v>
      </c>
      <c r="AC902" s="61" t="s">
        <v>281</v>
      </c>
      <c r="AD902" s="53" t="s">
        <v>85</v>
      </c>
      <c r="AE902" s="56">
        <v>0.26808234666666664</v>
      </c>
      <c r="AF902" s="62"/>
      <c r="AG902" s="63"/>
      <c r="AH902" s="61"/>
      <c r="AO902" s="64" t="s">
        <v>78</v>
      </c>
      <c r="AP902" s="65">
        <v>0.8</v>
      </c>
      <c r="AQ902" s="65">
        <v>0.8</v>
      </c>
      <c r="AR902" s="65">
        <v>0.8</v>
      </c>
      <c r="AS902" s="65">
        <v>0.8</v>
      </c>
      <c r="AT902" s="65">
        <v>0.8</v>
      </c>
      <c r="AU902" s="65">
        <v>0.8</v>
      </c>
      <c r="AV902" s="65"/>
      <c r="AW902" s="65"/>
      <c r="AX902" s="65"/>
      <c r="AY902" s="65"/>
      <c r="AZ902" s="65"/>
      <c r="BA902" s="65"/>
      <c r="BB902" s="65"/>
      <c r="BC902" s="65"/>
      <c r="BD902" s="65"/>
      <c r="BE902" s="65"/>
      <c r="BF902" s="65"/>
      <c r="BG902" s="65"/>
      <c r="BH902" s="65"/>
      <c r="BI902" s="65"/>
      <c r="BJ902" s="65"/>
      <c r="BK902" s="65"/>
      <c r="BL902" s="65"/>
      <c r="BM902" s="65"/>
      <c r="BN902" s="65"/>
      <c r="BO902" s="65"/>
    </row>
    <row r="903" spans="1:67" s="58" customFormat="1" x14ac:dyDescent="0.2">
      <c r="A903" s="49" t="s">
        <v>67</v>
      </c>
      <c r="B903" s="50">
        <v>43228</v>
      </c>
      <c r="C903" s="51">
        <v>0.53125</v>
      </c>
      <c r="D903" s="49" t="s">
        <v>108</v>
      </c>
      <c r="E903" s="49">
        <v>3</v>
      </c>
      <c r="F903" s="52">
        <v>61</v>
      </c>
      <c r="G903" s="53">
        <v>2</v>
      </c>
      <c r="H903" s="54">
        <v>3.2786885245901641E-2</v>
      </c>
      <c r="I903" s="55">
        <v>6.83E-2</v>
      </c>
      <c r="J903" s="53">
        <v>314.15899999999999</v>
      </c>
      <c r="K903" s="53">
        <v>0.75129999999999997</v>
      </c>
      <c r="L903" s="53">
        <v>11</v>
      </c>
      <c r="M903" s="56">
        <v>209.07693331558633</v>
      </c>
      <c r="N903" s="53">
        <v>1037</v>
      </c>
      <c r="O903" s="57" t="s">
        <v>86</v>
      </c>
      <c r="P903" s="57" t="s">
        <v>82</v>
      </c>
      <c r="Q903" s="53" t="s">
        <v>87</v>
      </c>
      <c r="R903" s="53" t="s">
        <v>84</v>
      </c>
      <c r="S903" s="53"/>
      <c r="T903" s="59">
        <v>12</v>
      </c>
      <c r="U903" s="59">
        <v>12</v>
      </c>
      <c r="V903" s="53">
        <v>2.8</v>
      </c>
      <c r="W903" s="53"/>
      <c r="X903" s="53"/>
      <c r="Y903" s="9">
        <f t="shared" si="14"/>
        <v>2508.9231997870356</v>
      </c>
      <c r="Z903" s="60" t="s">
        <v>73</v>
      </c>
      <c r="AA903" s="58" t="s">
        <v>334</v>
      </c>
      <c r="AB903" s="58" t="s">
        <v>75</v>
      </c>
      <c r="AC903" s="61" t="s">
        <v>76</v>
      </c>
      <c r="AD903" s="53" t="s">
        <v>85</v>
      </c>
      <c r="AE903" s="56">
        <v>6.3706209216666645</v>
      </c>
      <c r="AF903" s="62"/>
      <c r="AG903" s="63"/>
      <c r="AH903" s="61"/>
      <c r="AO903" s="64" t="s">
        <v>78</v>
      </c>
      <c r="AP903" s="65">
        <v>2.2599999999999998</v>
      </c>
      <c r="AQ903" s="65">
        <v>1.9</v>
      </c>
      <c r="AR903" s="65">
        <v>2.8</v>
      </c>
      <c r="AS903" s="65">
        <v>1.9</v>
      </c>
      <c r="AT903" s="65">
        <v>2.8</v>
      </c>
      <c r="AU903" s="65">
        <v>1.9</v>
      </c>
      <c r="AV903" s="65"/>
      <c r="AW903" s="65"/>
      <c r="AX903" s="65"/>
      <c r="AY903" s="65"/>
      <c r="AZ903" s="65"/>
      <c r="BA903" s="65"/>
      <c r="BB903" s="65"/>
      <c r="BC903" s="65"/>
      <c r="BD903" s="65"/>
      <c r="BE903" s="65"/>
      <c r="BF903" s="65"/>
      <c r="BG903" s="65"/>
      <c r="BH903" s="65"/>
      <c r="BI903" s="65"/>
      <c r="BJ903" s="65"/>
      <c r="BK903" s="65"/>
      <c r="BL903" s="65"/>
      <c r="BM903" s="65"/>
      <c r="BN903" s="65"/>
      <c r="BO903" s="65"/>
    </row>
    <row r="904" spans="1:67" s="58" customFormat="1" x14ac:dyDescent="0.2">
      <c r="A904" s="49" t="s">
        <v>67</v>
      </c>
      <c r="B904" s="50">
        <v>43228</v>
      </c>
      <c r="C904" s="51">
        <v>0.53125</v>
      </c>
      <c r="D904" s="49" t="s">
        <v>108</v>
      </c>
      <c r="E904" s="49">
        <v>3</v>
      </c>
      <c r="F904" s="52">
        <v>61</v>
      </c>
      <c r="G904" s="53">
        <v>2</v>
      </c>
      <c r="H904" s="54">
        <v>3.2786885245901641E-2</v>
      </c>
      <c r="I904" s="55">
        <v>6.83E-2</v>
      </c>
      <c r="J904" s="53">
        <v>314.15899999999999</v>
      </c>
      <c r="K904" s="53">
        <v>0.75129999999999997</v>
      </c>
      <c r="L904" s="53">
        <v>11</v>
      </c>
      <c r="M904" s="56">
        <v>209.07693331558633</v>
      </c>
      <c r="N904" s="53">
        <v>1140</v>
      </c>
      <c r="O904" s="57" t="s">
        <v>126</v>
      </c>
      <c r="P904" s="57" t="s">
        <v>82</v>
      </c>
      <c r="Q904" s="53" t="s">
        <v>127</v>
      </c>
      <c r="R904" s="53" t="s">
        <v>128</v>
      </c>
      <c r="S904" s="53"/>
      <c r="T904" s="59">
        <v>1</v>
      </c>
      <c r="U904" s="59">
        <v>1</v>
      </c>
      <c r="V904" s="53">
        <v>13</v>
      </c>
      <c r="W904" s="53"/>
      <c r="X904" s="53"/>
      <c r="Y904" s="9">
        <f t="shared" si="14"/>
        <v>209.07693331558633</v>
      </c>
      <c r="Z904" s="60" t="s">
        <v>73</v>
      </c>
      <c r="AA904" s="58" t="s">
        <v>334</v>
      </c>
      <c r="AB904" s="58" t="s">
        <v>75</v>
      </c>
      <c r="AC904" s="61" t="s">
        <v>76</v>
      </c>
      <c r="AD904" s="53" t="s">
        <v>129</v>
      </c>
      <c r="AE904" s="56">
        <v>5.5134904499999999</v>
      </c>
      <c r="AF904" s="62"/>
      <c r="AG904" s="63"/>
      <c r="AH904" s="61"/>
      <c r="AO904" s="64" t="s">
        <v>78</v>
      </c>
      <c r="AP904" s="65">
        <v>13</v>
      </c>
      <c r="AQ904" s="65">
        <v>13</v>
      </c>
      <c r="AR904" s="65"/>
      <c r="AS904" s="65"/>
      <c r="AT904" s="65"/>
      <c r="AU904" s="65"/>
      <c r="AV904" s="65"/>
      <c r="AW904" s="65"/>
      <c r="AX904" s="65"/>
      <c r="AY904" s="65"/>
      <c r="AZ904" s="65"/>
      <c r="BA904" s="65"/>
      <c r="BB904" s="65"/>
      <c r="BC904" s="65"/>
      <c r="BD904" s="65"/>
      <c r="BE904" s="65"/>
      <c r="BF904" s="65"/>
      <c r="BG904" s="65"/>
      <c r="BH904" s="65"/>
      <c r="BI904" s="65"/>
      <c r="BJ904" s="65"/>
      <c r="BK904" s="65"/>
      <c r="BL904" s="65"/>
      <c r="BM904" s="65"/>
      <c r="BN904" s="65"/>
      <c r="BO904" s="65"/>
    </row>
    <row r="905" spans="1:67" s="58" customFormat="1" x14ac:dyDescent="0.2">
      <c r="A905" s="49"/>
      <c r="B905" s="50"/>
      <c r="C905" s="51"/>
      <c r="D905" s="49"/>
      <c r="E905" s="49"/>
      <c r="F905" s="52"/>
      <c r="G905" s="53"/>
      <c r="H905" s="54"/>
      <c r="I905" s="55"/>
      <c r="J905" s="53"/>
      <c r="K905" s="53"/>
      <c r="L905" s="53"/>
      <c r="M905" s="56"/>
      <c r="N905" s="53"/>
      <c r="O905" s="57"/>
      <c r="P905" s="57"/>
      <c r="Q905" s="53"/>
      <c r="R905" s="53"/>
      <c r="S905" s="53"/>
      <c r="T905" s="59"/>
      <c r="U905" s="59"/>
      <c r="V905" s="53"/>
      <c r="W905" s="53"/>
      <c r="X905" s="53"/>
      <c r="Y905" s="9" t="e">
        <f t="shared" si="14"/>
        <v>#DIV/0!</v>
      </c>
      <c r="Z905" s="60"/>
      <c r="AC905" s="61"/>
      <c r="AD905" s="53"/>
      <c r="AE905" s="56"/>
      <c r="AF905" s="62"/>
      <c r="AG905" s="63"/>
      <c r="AH905" s="61"/>
      <c r="AO905" s="64" t="s">
        <v>79</v>
      </c>
      <c r="AP905" s="65">
        <v>0.9</v>
      </c>
      <c r="AQ905" s="65">
        <v>0.9</v>
      </c>
      <c r="AR905" s="65"/>
      <c r="AS905" s="65"/>
      <c r="AT905" s="65"/>
      <c r="AU905" s="65"/>
      <c r="AV905" s="65"/>
      <c r="AW905" s="65"/>
      <c r="AX905" s="65"/>
      <c r="AY905" s="65"/>
      <c r="AZ905" s="65"/>
      <c r="BA905" s="65"/>
      <c r="BB905" s="65"/>
      <c r="BC905" s="65"/>
      <c r="BD905" s="65"/>
      <c r="BE905" s="65"/>
      <c r="BF905" s="65"/>
      <c r="BG905" s="65"/>
      <c r="BH905" s="65"/>
      <c r="BI905" s="65"/>
      <c r="BJ905" s="65"/>
      <c r="BK905" s="65"/>
      <c r="BL905" s="65"/>
      <c r="BM905" s="65"/>
      <c r="BN905" s="65"/>
      <c r="BO905" s="65"/>
    </row>
    <row r="906" spans="1:67" s="58" customFormat="1" x14ac:dyDescent="0.2">
      <c r="A906" s="49" t="s">
        <v>67</v>
      </c>
      <c r="B906" s="50">
        <v>43228</v>
      </c>
      <c r="C906" s="51">
        <v>0.53125</v>
      </c>
      <c r="D906" s="49" t="s">
        <v>108</v>
      </c>
      <c r="E906" s="49">
        <v>3</v>
      </c>
      <c r="F906" s="52">
        <v>61</v>
      </c>
      <c r="G906" s="53">
        <v>2</v>
      </c>
      <c r="H906" s="54">
        <v>3.2786885245901641E-2</v>
      </c>
      <c r="I906" s="55">
        <v>6.83E-2</v>
      </c>
      <c r="J906" s="53">
        <v>314.15899999999999</v>
      </c>
      <c r="K906" s="53">
        <v>0.75129999999999997</v>
      </c>
      <c r="L906" s="53">
        <v>11</v>
      </c>
      <c r="M906" s="56">
        <v>209.07693331558633</v>
      </c>
      <c r="N906" s="53">
        <v>1364</v>
      </c>
      <c r="O906" s="57" t="s">
        <v>88</v>
      </c>
      <c r="P906" s="57" t="s">
        <v>82</v>
      </c>
      <c r="Q906" s="53" t="s">
        <v>89</v>
      </c>
      <c r="R906" s="53" t="s">
        <v>90</v>
      </c>
      <c r="S906" s="53"/>
      <c r="T906" s="59">
        <v>2</v>
      </c>
      <c r="U906" s="59">
        <v>2</v>
      </c>
      <c r="V906" s="53">
        <v>9.3000000000000007</v>
      </c>
      <c r="W906" s="53"/>
      <c r="X906" s="53"/>
      <c r="Y906" s="9">
        <f t="shared" si="14"/>
        <v>418.15386663117266</v>
      </c>
      <c r="Z906" s="60" t="s">
        <v>73</v>
      </c>
      <c r="AA906" s="58" t="s">
        <v>334</v>
      </c>
      <c r="AB906" s="58" t="s">
        <v>75</v>
      </c>
      <c r="AC906" s="61" t="s">
        <v>76</v>
      </c>
      <c r="AD906" s="53" t="s">
        <v>91</v>
      </c>
      <c r="AE906" s="56">
        <v>326.05934291999995</v>
      </c>
      <c r="AF906" s="62"/>
      <c r="AG906" s="63"/>
      <c r="AH906" s="61"/>
      <c r="AO906" s="64" t="s">
        <v>78</v>
      </c>
      <c r="AP906" s="65">
        <v>9.3000000000000007</v>
      </c>
      <c r="AQ906" s="65">
        <v>9.3000000000000007</v>
      </c>
      <c r="AR906" s="65">
        <v>9.3000000000000007</v>
      </c>
      <c r="AS906" s="65"/>
      <c r="AT906" s="65"/>
      <c r="AU906" s="65"/>
      <c r="AV906" s="65"/>
      <c r="AW906" s="65"/>
      <c r="AX906" s="65"/>
      <c r="AY906" s="65"/>
      <c r="AZ906" s="65"/>
      <c r="BA906" s="65"/>
      <c r="BB906" s="65"/>
      <c r="BC906" s="65"/>
      <c r="BD906" s="65"/>
      <c r="BE906" s="65"/>
      <c r="BF906" s="65"/>
      <c r="BG906" s="65"/>
      <c r="BH906" s="65"/>
      <c r="BI906" s="65"/>
      <c r="BJ906" s="65"/>
      <c r="BK906" s="65"/>
      <c r="BL906" s="65"/>
      <c r="BM906" s="65"/>
      <c r="BN906" s="65"/>
      <c r="BO906" s="65"/>
    </row>
    <row r="907" spans="1:67" s="58" customFormat="1" x14ac:dyDescent="0.2">
      <c r="A907" s="49"/>
      <c r="B907" s="50"/>
      <c r="C907" s="51"/>
      <c r="D907" s="49"/>
      <c r="E907" s="49"/>
      <c r="F907" s="52"/>
      <c r="G907" s="53"/>
      <c r="H907" s="54"/>
      <c r="I907" s="55"/>
      <c r="J907" s="53"/>
      <c r="K907" s="53"/>
      <c r="L907" s="53"/>
      <c r="M907" s="56"/>
      <c r="N907" s="53"/>
      <c r="O907" s="57"/>
      <c r="P907" s="57"/>
      <c r="Q907" s="53"/>
      <c r="R907" s="53"/>
      <c r="S907" s="53"/>
      <c r="T907" s="59"/>
      <c r="U907" s="59"/>
      <c r="V907" s="53"/>
      <c r="W907" s="53"/>
      <c r="X907" s="53"/>
      <c r="Y907" s="9" t="e">
        <f t="shared" si="14"/>
        <v>#DIV/0!</v>
      </c>
      <c r="Z907" s="60"/>
      <c r="AC907" s="61"/>
      <c r="AD907" s="53"/>
      <c r="AE907" s="56"/>
      <c r="AF907" s="62"/>
      <c r="AG907" s="63"/>
      <c r="AH907" s="61"/>
      <c r="AO907" s="64" t="s">
        <v>79</v>
      </c>
      <c r="AP907" s="65">
        <v>5.0999999999999996</v>
      </c>
      <c r="AQ907" s="65">
        <v>4.5999999999999996</v>
      </c>
      <c r="AR907" s="65">
        <v>5.6</v>
      </c>
      <c r="AS907" s="65"/>
      <c r="AT907" s="65"/>
      <c r="AU907" s="65"/>
      <c r="AV907" s="65"/>
      <c r="AW907" s="65"/>
      <c r="AX907" s="65"/>
      <c r="AY907" s="65"/>
      <c r="AZ907" s="65"/>
      <c r="BA907" s="65"/>
      <c r="BB907" s="65"/>
      <c r="BC907" s="65"/>
      <c r="BD907" s="65"/>
      <c r="BE907" s="65"/>
      <c r="BF907" s="65"/>
      <c r="BG907" s="65"/>
      <c r="BH907" s="65"/>
      <c r="BI907" s="65"/>
      <c r="BJ907" s="65"/>
      <c r="BK907" s="65"/>
      <c r="BL907" s="65"/>
      <c r="BM907" s="65"/>
      <c r="BN907" s="65"/>
      <c r="BO907" s="65"/>
    </row>
    <row r="908" spans="1:67" s="58" customFormat="1" x14ac:dyDescent="0.2">
      <c r="A908" s="49" t="s">
        <v>67</v>
      </c>
      <c r="B908" s="50">
        <v>43228</v>
      </c>
      <c r="C908" s="51">
        <v>0.53125</v>
      </c>
      <c r="D908" s="49" t="s">
        <v>108</v>
      </c>
      <c r="E908" s="49">
        <v>3</v>
      </c>
      <c r="F908" s="52">
        <v>61</v>
      </c>
      <c r="G908" s="53">
        <v>2</v>
      </c>
      <c r="H908" s="54">
        <v>3.2786885245901641E-2</v>
      </c>
      <c r="I908" s="55">
        <v>6.83E-2</v>
      </c>
      <c r="J908" s="53">
        <v>314.15899999999999</v>
      </c>
      <c r="K908" s="53">
        <v>0.75129999999999997</v>
      </c>
      <c r="L908" s="53">
        <v>11</v>
      </c>
      <c r="M908" s="56">
        <v>209.07693331558633</v>
      </c>
      <c r="N908" s="53">
        <v>1419</v>
      </c>
      <c r="O908" s="57" t="s">
        <v>94</v>
      </c>
      <c r="P908" s="57" t="s">
        <v>82</v>
      </c>
      <c r="Q908" s="53" t="s">
        <v>95</v>
      </c>
      <c r="R908" s="53" t="s">
        <v>96</v>
      </c>
      <c r="S908" s="53"/>
      <c r="T908" s="59">
        <v>407</v>
      </c>
      <c r="U908" s="59">
        <v>818</v>
      </c>
      <c r="V908" s="53">
        <v>0.8</v>
      </c>
      <c r="W908" s="53">
        <v>0.8</v>
      </c>
      <c r="X908" s="53">
        <v>0.8</v>
      </c>
      <c r="Y908" s="9">
        <f t="shared" si="14"/>
        <v>85094.311859443638</v>
      </c>
      <c r="Z908" s="60" t="s">
        <v>97</v>
      </c>
      <c r="AA908" s="58" t="s">
        <v>334</v>
      </c>
      <c r="AB908" s="58" t="s">
        <v>75</v>
      </c>
      <c r="AC908" s="61" t="s">
        <v>76</v>
      </c>
      <c r="AD908" s="53" t="s">
        <v>85</v>
      </c>
      <c r="AE908" s="56">
        <v>0.18</v>
      </c>
      <c r="AF908" s="56">
        <v>0.18</v>
      </c>
      <c r="AG908" s="56">
        <v>0.18</v>
      </c>
      <c r="AH908" s="56">
        <v>0.18</v>
      </c>
      <c r="AI908" s="56">
        <v>0.18</v>
      </c>
      <c r="AJ908" s="56">
        <v>0.18</v>
      </c>
      <c r="AK908" s="56">
        <v>0.18</v>
      </c>
      <c r="AL908" s="56">
        <v>0.18</v>
      </c>
      <c r="AM908" s="56">
        <v>0.18</v>
      </c>
      <c r="AN908" s="56">
        <v>0.18</v>
      </c>
      <c r="AO908" s="66" t="s">
        <v>78</v>
      </c>
      <c r="AP908" s="65">
        <v>0.75200000000000033</v>
      </c>
      <c r="AQ908" s="65">
        <v>0.7</v>
      </c>
      <c r="AR908" s="65">
        <v>0.7</v>
      </c>
      <c r="AS908" s="65">
        <v>0.7</v>
      </c>
      <c r="AT908" s="65">
        <v>0.7</v>
      </c>
      <c r="AU908" s="65">
        <v>0.7</v>
      </c>
      <c r="AV908" s="65">
        <v>0.7</v>
      </c>
      <c r="AW908" s="65">
        <v>0.7</v>
      </c>
      <c r="AX908" s="65">
        <v>0.7</v>
      </c>
      <c r="AY908" s="65">
        <v>0.7</v>
      </c>
      <c r="AZ908" s="65">
        <v>0.7</v>
      </c>
      <c r="BA908" s="65">
        <v>0.7</v>
      </c>
      <c r="BB908" s="65">
        <v>0.7</v>
      </c>
      <c r="BC908" s="65">
        <v>0.8</v>
      </c>
      <c r="BD908" s="65">
        <v>0.8</v>
      </c>
      <c r="BE908" s="65">
        <v>0.8</v>
      </c>
      <c r="BF908" s="65">
        <v>0.8</v>
      </c>
      <c r="BG908" s="65">
        <v>0.8</v>
      </c>
      <c r="BH908" s="65">
        <v>0.8</v>
      </c>
      <c r="BI908" s="65">
        <v>0.8</v>
      </c>
      <c r="BJ908" s="65">
        <v>0.8</v>
      </c>
      <c r="BK908" s="65">
        <v>0.8</v>
      </c>
      <c r="BL908" s="65">
        <v>0.8</v>
      </c>
      <c r="BM908" s="65">
        <v>0.8</v>
      </c>
      <c r="BN908" s="65">
        <v>0.8</v>
      </c>
      <c r="BO908" s="65">
        <v>0.8</v>
      </c>
    </row>
    <row r="909" spans="1:67" s="58" customFormat="1" x14ac:dyDescent="0.2">
      <c r="A909" s="49" t="s">
        <v>67</v>
      </c>
      <c r="B909" s="50">
        <v>43228</v>
      </c>
      <c r="C909" s="51">
        <v>0.59791666666666698</v>
      </c>
      <c r="D909" s="49" t="s">
        <v>209</v>
      </c>
      <c r="E909" s="49">
        <v>3</v>
      </c>
      <c r="F909" s="52">
        <v>63</v>
      </c>
      <c r="G909" s="53">
        <v>2</v>
      </c>
      <c r="H909" s="54">
        <v>3.1746031746031744E-2</v>
      </c>
      <c r="I909" s="55">
        <v>6.83E-2</v>
      </c>
      <c r="J909" s="53">
        <v>314.15899999999999</v>
      </c>
      <c r="K909" s="53">
        <v>0.4098</v>
      </c>
      <c r="L909" s="53">
        <v>6</v>
      </c>
      <c r="M909" s="56">
        <v>383.30771107857493</v>
      </c>
      <c r="N909" s="53">
        <v>190</v>
      </c>
      <c r="O909" s="57" t="s">
        <v>102</v>
      </c>
      <c r="P909" s="58" t="s">
        <v>70</v>
      </c>
      <c r="Q909" s="53" t="s">
        <v>103</v>
      </c>
      <c r="R909" s="53" t="s">
        <v>84</v>
      </c>
      <c r="S909" s="53"/>
      <c r="T909" s="59">
        <v>1</v>
      </c>
      <c r="U909" s="59">
        <v>1</v>
      </c>
      <c r="V909" s="53">
        <v>5.6</v>
      </c>
      <c r="W909" s="53"/>
      <c r="X909" s="53"/>
      <c r="Y909" s="9">
        <f t="shared" si="14"/>
        <v>383.30771107857493</v>
      </c>
      <c r="Z909" s="60" t="s">
        <v>73</v>
      </c>
      <c r="AA909" s="58" t="s">
        <v>335</v>
      </c>
      <c r="AB909" s="58" t="s">
        <v>75</v>
      </c>
      <c r="AC909" s="61" t="s">
        <v>324</v>
      </c>
      <c r="AD909" s="53" t="s">
        <v>104</v>
      </c>
      <c r="AE909" s="56">
        <v>91.131242719999989</v>
      </c>
      <c r="AF909" s="62"/>
      <c r="AG909" s="63"/>
      <c r="AH909" s="61"/>
      <c r="AO909" s="64" t="s">
        <v>78</v>
      </c>
      <c r="AP909" s="65">
        <v>3.7</v>
      </c>
      <c r="AQ909" s="65">
        <v>3.7</v>
      </c>
      <c r="AR909" s="65"/>
      <c r="AS909" s="65"/>
      <c r="AT909" s="65"/>
      <c r="AU909" s="65"/>
      <c r="AV909" s="65"/>
      <c r="AW909" s="65"/>
      <c r="AX909" s="65"/>
      <c r="AY909" s="65"/>
      <c r="AZ909" s="65"/>
      <c r="BA909" s="65"/>
      <c r="BB909" s="65"/>
      <c r="BC909" s="65"/>
      <c r="BD909" s="65"/>
      <c r="BE909" s="65"/>
      <c r="BF909" s="65"/>
      <c r="BG909" s="65"/>
      <c r="BH909" s="65"/>
      <c r="BI909" s="65"/>
      <c r="BJ909" s="65"/>
      <c r="BK909" s="65"/>
      <c r="BL909" s="65"/>
      <c r="BM909" s="65"/>
      <c r="BN909" s="65"/>
      <c r="BO909" s="65"/>
    </row>
    <row r="910" spans="1:67" s="58" customFormat="1" x14ac:dyDescent="0.2">
      <c r="A910" s="49"/>
      <c r="B910" s="50"/>
      <c r="C910" s="51"/>
      <c r="D910" s="49"/>
      <c r="E910" s="49"/>
      <c r="F910" s="52"/>
      <c r="G910" s="53"/>
      <c r="H910" s="54"/>
      <c r="I910" s="55"/>
      <c r="J910" s="53"/>
      <c r="K910" s="53"/>
      <c r="L910" s="53"/>
      <c r="M910" s="56"/>
      <c r="N910" s="53"/>
      <c r="O910" s="57"/>
      <c r="Q910" s="53"/>
      <c r="R910" s="53"/>
      <c r="S910" s="53"/>
      <c r="T910" s="59"/>
      <c r="U910" s="59"/>
      <c r="V910" s="53"/>
      <c r="W910" s="53"/>
      <c r="X910" s="53"/>
      <c r="Y910" s="9" t="e">
        <f t="shared" si="14"/>
        <v>#DIV/0!</v>
      </c>
      <c r="Z910" s="60"/>
      <c r="AC910" s="61"/>
      <c r="AD910" s="53"/>
      <c r="AE910" s="56"/>
      <c r="AF910" s="62"/>
      <c r="AG910" s="63"/>
      <c r="AH910" s="61"/>
      <c r="AO910" s="64" t="s">
        <v>79</v>
      </c>
      <c r="AP910" s="65">
        <v>5.6</v>
      </c>
      <c r="AQ910" s="65">
        <v>5.6</v>
      </c>
      <c r="AR910" s="65"/>
      <c r="AS910" s="65"/>
      <c r="AT910" s="65"/>
      <c r="AU910" s="65"/>
      <c r="AV910" s="65"/>
      <c r="AW910" s="65"/>
      <c r="AX910" s="65"/>
      <c r="AY910" s="65"/>
      <c r="AZ910" s="65"/>
      <c r="BA910" s="65"/>
      <c r="BB910" s="65"/>
      <c r="BC910" s="65"/>
      <c r="BD910" s="65"/>
      <c r="BE910" s="65"/>
      <c r="BF910" s="65"/>
      <c r="BG910" s="65"/>
      <c r="BH910" s="65"/>
      <c r="BI910" s="65"/>
      <c r="BJ910" s="65"/>
      <c r="BK910" s="65"/>
      <c r="BL910" s="65"/>
      <c r="BM910" s="65"/>
      <c r="BN910" s="65"/>
      <c r="BO910" s="65"/>
    </row>
    <row r="911" spans="1:67" s="58" customFormat="1" x14ac:dyDescent="0.2">
      <c r="A911" s="49" t="s">
        <v>67</v>
      </c>
      <c r="B911" s="50">
        <v>43228</v>
      </c>
      <c r="C911" s="51">
        <v>0.59791666666666698</v>
      </c>
      <c r="D911" s="49" t="s">
        <v>209</v>
      </c>
      <c r="E911" s="49">
        <v>3</v>
      </c>
      <c r="F911" s="52">
        <v>63</v>
      </c>
      <c r="G911" s="53">
        <v>2</v>
      </c>
      <c r="H911" s="54">
        <v>3.1746031746031744E-2</v>
      </c>
      <c r="I911" s="55">
        <v>6.83E-2</v>
      </c>
      <c r="J911" s="53">
        <v>314.15899999999999</v>
      </c>
      <c r="K911" s="53">
        <v>0.4098</v>
      </c>
      <c r="L911" s="53">
        <v>6</v>
      </c>
      <c r="M911" s="56">
        <v>383.30771107857493</v>
      </c>
      <c r="N911" s="53">
        <v>1037</v>
      </c>
      <c r="O911" s="57" t="s">
        <v>86</v>
      </c>
      <c r="P911" s="57" t="s">
        <v>82</v>
      </c>
      <c r="Q911" s="53" t="s">
        <v>87</v>
      </c>
      <c r="R911" s="53" t="s">
        <v>84</v>
      </c>
      <c r="S911" s="53"/>
      <c r="T911" s="59">
        <v>18</v>
      </c>
      <c r="U911" s="59">
        <v>18</v>
      </c>
      <c r="V911" s="53">
        <v>2.8</v>
      </c>
      <c r="W911" s="53"/>
      <c r="X911" s="53"/>
      <c r="Y911" s="9">
        <f t="shared" si="14"/>
        <v>6899.5387994143484</v>
      </c>
      <c r="Z911" s="60" t="s">
        <v>73</v>
      </c>
      <c r="AA911" s="58" t="s">
        <v>335</v>
      </c>
      <c r="AB911" s="58" t="s">
        <v>75</v>
      </c>
      <c r="AC911" s="61" t="s">
        <v>324</v>
      </c>
      <c r="AD911" s="53" t="s">
        <v>85</v>
      </c>
      <c r="AE911" s="56">
        <v>11.494030613333329</v>
      </c>
      <c r="AF911" s="62"/>
      <c r="AG911" s="63"/>
      <c r="AH911" s="61"/>
      <c r="AO911" s="64" t="s">
        <v>78</v>
      </c>
      <c r="AP911" s="65">
        <v>2.8</v>
      </c>
      <c r="AQ911" s="65">
        <v>2.8</v>
      </c>
      <c r="AR911" s="65">
        <v>2.8</v>
      </c>
      <c r="AS911" s="65">
        <v>2.8</v>
      </c>
      <c r="AT911" s="65">
        <v>2.8</v>
      </c>
      <c r="AU911" s="65">
        <v>2.8</v>
      </c>
      <c r="AV911" s="65"/>
      <c r="AW911" s="65"/>
      <c r="AX911" s="65"/>
      <c r="AY911" s="65"/>
      <c r="AZ911" s="65"/>
      <c r="BA911" s="65"/>
      <c r="BB911" s="65"/>
      <c r="BC911" s="65"/>
      <c r="BD911" s="65"/>
      <c r="BE911" s="65"/>
      <c r="BF911" s="65"/>
      <c r="BG911" s="65"/>
      <c r="BH911" s="65"/>
      <c r="BI911" s="65"/>
      <c r="BJ911" s="65"/>
      <c r="BK911" s="65"/>
      <c r="BL911" s="65"/>
      <c r="BM911" s="65"/>
      <c r="BN911" s="65"/>
      <c r="BO911" s="65"/>
    </row>
    <row r="912" spans="1:67" s="58" customFormat="1" x14ac:dyDescent="0.2">
      <c r="A912" s="49" t="s">
        <v>67</v>
      </c>
      <c r="B912" s="50">
        <v>43228</v>
      </c>
      <c r="C912" s="51">
        <v>0.59791666666666698</v>
      </c>
      <c r="D912" s="49" t="s">
        <v>209</v>
      </c>
      <c r="E912" s="49">
        <v>3</v>
      </c>
      <c r="F912" s="52">
        <v>63</v>
      </c>
      <c r="G912" s="53">
        <v>2</v>
      </c>
      <c r="H912" s="54">
        <v>3.1746031746031744E-2</v>
      </c>
      <c r="I912" s="55">
        <v>6.83E-2</v>
      </c>
      <c r="J912" s="53">
        <v>314.15899999999999</v>
      </c>
      <c r="K912" s="53">
        <v>0.4098</v>
      </c>
      <c r="L912" s="53">
        <v>6</v>
      </c>
      <c r="M912" s="56">
        <v>383.30771107857493</v>
      </c>
      <c r="N912" s="53">
        <v>1419</v>
      </c>
      <c r="O912" s="57" t="s">
        <v>94</v>
      </c>
      <c r="P912" s="57" t="s">
        <v>82</v>
      </c>
      <c r="Q912" s="53" t="s">
        <v>95</v>
      </c>
      <c r="R912" s="53" t="s">
        <v>96</v>
      </c>
      <c r="S912" s="53"/>
      <c r="T912" s="59">
        <v>399</v>
      </c>
      <c r="U912" s="59">
        <v>800</v>
      </c>
      <c r="V912" s="53">
        <v>0.8</v>
      </c>
      <c r="W912" s="53">
        <v>0.8</v>
      </c>
      <c r="X912" s="53">
        <v>0.8</v>
      </c>
      <c r="Y912" s="9">
        <f t="shared" si="14"/>
        <v>152939.77672035139</v>
      </c>
      <c r="Z912" s="60" t="s">
        <v>97</v>
      </c>
      <c r="AA912" s="58" t="s">
        <v>335</v>
      </c>
      <c r="AB912" s="58" t="s">
        <v>75</v>
      </c>
      <c r="AC912" s="61" t="s">
        <v>324</v>
      </c>
      <c r="AD912" s="53" t="s">
        <v>85</v>
      </c>
      <c r="AE912" s="56">
        <v>0.18</v>
      </c>
      <c r="AF912" s="56">
        <v>0.18</v>
      </c>
      <c r="AG912" s="56">
        <v>0.18</v>
      </c>
      <c r="AH912" s="56">
        <v>0.18</v>
      </c>
      <c r="AI912" s="56">
        <v>0.18</v>
      </c>
      <c r="AJ912" s="56">
        <v>0.18</v>
      </c>
      <c r="AK912" s="56">
        <v>0.18</v>
      </c>
      <c r="AL912" s="56">
        <v>0.18</v>
      </c>
      <c r="AM912" s="56">
        <v>0.18</v>
      </c>
      <c r="AN912" s="56">
        <v>0.18</v>
      </c>
      <c r="AO912" s="66" t="s">
        <v>78</v>
      </c>
      <c r="AP912" s="65">
        <v>0.75200000000000033</v>
      </c>
      <c r="AQ912" s="65">
        <v>0.7</v>
      </c>
      <c r="AR912" s="65">
        <v>0.7</v>
      </c>
      <c r="AS912" s="65">
        <v>0.7</v>
      </c>
      <c r="AT912" s="65">
        <v>0.7</v>
      </c>
      <c r="AU912" s="65">
        <v>0.7</v>
      </c>
      <c r="AV912" s="65">
        <v>0.7</v>
      </c>
      <c r="AW912" s="65">
        <v>0.7</v>
      </c>
      <c r="AX912" s="65">
        <v>0.7</v>
      </c>
      <c r="AY912" s="65">
        <v>0.7</v>
      </c>
      <c r="AZ912" s="65">
        <v>0.7</v>
      </c>
      <c r="BA912" s="65">
        <v>0.7</v>
      </c>
      <c r="BB912" s="65">
        <v>0.7</v>
      </c>
      <c r="BC912" s="65">
        <v>0.8</v>
      </c>
      <c r="BD912" s="65">
        <v>0.8</v>
      </c>
      <c r="BE912" s="65">
        <v>0.8</v>
      </c>
      <c r="BF912" s="65">
        <v>0.8</v>
      </c>
      <c r="BG912" s="65">
        <v>0.8</v>
      </c>
      <c r="BH912" s="65">
        <v>0.8</v>
      </c>
      <c r="BI912" s="65">
        <v>0.8</v>
      </c>
      <c r="BJ912" s="65">
        <v>0.8</v>
      </c>
      <c r="BK912" s="65">
        <v>0.8</v>
      </c>
      <c r="BL912" s="65">
        <v>0.8</v>
      </c>
      <c r="BM912" s="65">
        <v>0.8</v>
      </c>
      <c r="BN912" s="65">
        <v>0.8</v>
      </c>
      <c r="BO912" s="65">
        <v>0.8</v>
      </c>
    </row>
    <row r="913" spans="1:67" s="58" customFormat="1" x14ac:dyDescent="0.2">
      <c r="A913" s="49" t="s">
        <v>67</v>
      </c>
      <c r="B913" s="50">
        <v>43257</v>
      </c>
      <c r="C913" s="51">
        <v>0.59791666666666698</v>
      </c>
      <c r="D913" s="49" t="s">
        <v>189</v>
      </c>
      <c r="E913" s="49">
        <v>3</v>
      </c>
      <c r="F913" s="52">
        <v>62</v>
      </c>
      <c r="G913" s="53">
        <v>2</v>
      </c>
      <c r="H913" s="54">
        <v>3.2258064516129031E-2</v>
      </c>
      <c r="I913" s="55">
        <v>6.83E-2</v>
      </c>
      <c r="J913" s="53">
        <v>314.15899999999999</v>
      </c>
      <c r="K913" s="53">
        <v>0.5464</v>
      </c>
      <c r="L913" s="53">
        <v>8</v>
      </c>
      <c r="M913" s="56">
        <v>287.48078330893117</v>
      </c>
      <c r="N913" s="53">
        <v>46</v>
      </c>
      <c r="O913" s="57" t="s">
        <v>109</v>
      </c>
      <c r="P913" s="58" t="s">
        <v>70</v>
      </c>
      <c r="Q913" s="53" t="s">
        <v>110</v>
      </c>
      <c r="R913" s="53" t="s">
        <v>84</v>
      </c>
      <c r="S913" s="53"/>
      <c r="T913" s="59">
        <v>1</v>
      </c>
      <c r="U913" s="59">
        <v>1</v>
      </c>
      <c r="V913" s="53">
        <v>11.1</v>
      </c>
      <c r="W913" s="53"/>
      <c r="X913" s="53"/>
      <c r="Y913" s="9">
        <f t="shared" si="14"/>
        <v>287.48078330893117</v>
      </c>
      <c r="Z913" s="60" t="s">
        <v>73</v>
      </c>
      <c r="AA913" s="58" t="s">
        <v>336</v>
      </c>
      <c r="AB913" s="58" t="s">
        <v>75</v>
      </c>
      <c r="AC913" s="61" t="s">
        <v>76</v>
      </c>
      <c r="AD913" s="53" t="s">
        <v>77</v>
      </c>
      <c r="AE913" s="56">
        <v>90.317570909999986</v>
      </c>
      <c r="AF913" s="62"/>
      <c r="AG913" s="63"/>
      <c r="AH913" s="61"/>
      <c r="AO913" s="66" t="s">
        <v>78</v>
      </c>
      <c r="AP913" s="65">
        <v>11.1</v>
      </c>
      <c r="AQ913" s="65">
        <v>11.1</v>
      </c>
      <c r="AR913" s="65"/>
      <c r="AS913" s="65"/>
      <c r="AT913" s="65"/>
      <c r="AU913" s="65"/>
      <c r="AV913" s="65"/>
      <c r="AW913" s="65"/>
      <c r="AX913" s="65"/>
      <c r="AY913" s="65"/>
      <c r="AZ913" s="65"/>
      <c r="BA913" s="65"/>
      <c r="BB913" s="65"/>
      <c r="BC913" s="65"/>
      <c r="BD913" s="65"/>
      <c r="BE913" s="65"/>
      <c r="BF913" s="65"/>
      <c r="BG913" s="65"/>
      <c r="BH913" s="65"/>
      <c r="BI913" s="65"/>
      <c r="BJ913" s="65"/>
      <c r="BK913" s="65"/>
      <c r="BL913" s="65"/>
      <c r="BM913" s="65"/>
      <c r="BN913" s="65"/>
      <c r="BO913" s="65"/>
    </row>
    <row r="914" spans="1:67" s="58" customFormat="1" x14ac:dyDescent="0.2">
      <c r="A914" s="49"/>
      <c r="B914" s="50"/>
      <c r="C914" s="51"/>
      <c r="D914" s="49"/>
      <c r="E914" s="49"/>
      <c r="F914" s="52"/>
      <c r="G914" s="53"/>
      <c r="H914" s="54"/>
      <c r="I914" s="55"/>
      <c r="J914" s="53"/>
      <c r="K914" s="53"/>
      <c r="L914" s="53"/>
      <c r="M914" s="56"/>
      <c r="N914" s="53"/>
      <c r="O914" s="57"/>
      <c r="Q914" s="53"/>
      <c r="R914" s="53"/>
      <c r="S914" s="53"/>
      <c r="T914" s="59"/>
      <c r="U914" s="59"/>
      <c r="V914" s="53"/>
      <c r="W914" s="53"/>
      <c r="X914" s="53"/>
      <c r="Y914" s="9" t="e">
        <f t="shared" si="14"/>
        <v>#DIV/0!</v>
      </c>
      <c r="Z914" s="60"/>
      <c r="AC914" s="61"/>
      <c r="AD914" s="53"/>
      <c r="AE914" s="56"/>
      <c r="AF914" s="62"/>
      <c r="AG914" s="63"/>
      <c r="AH914" s="61"/>
      <c r="AO914" s="64" t="s">
        <v>79</v>
      </c>
      <c r="AP914" s="65">
        <v>3.7</v>
      </c>
      <c r="AQ914" s="65">
        <v>3.7</v>
      </c>
      <c r="AR914" s="65"/>
      <c r="AS914" s="65"/>
      <c r="AT914" s="65"/>
      <c r="AU914" s="65"/>
      <c r="AV914" s="65"/>
      <c r="AW914" s="65"/>
      <c r="AX914" s="65"/>
      <c r="AY914" s="65"/>
      <c r="AZ914" s="65"/>
      <c r="BA914" s="65"/>
      <c r="BB914" s="65"/>
      <c r="BC914" s="65"/>
      <c r="BD914" s="65"/>
      <c r="BE914" s="65"/>
      <c r="BF914" s="65"/>
      <c r="BG914" s="65"/>
      <c r="BH914" s="65"/>
      <c r="BI914" s="65"/>
      <c r="BJ914" s="65"/>
      <c r="BK914" s="65"/>
      <c r="BL914" s="65"/>
      <c r="BM914" s="65"/>
      <c r="BN914" s="65"/>
      <c r="BO914" s="65"/>
    </row>
    <row r="915" spans="1:67" s="58" customFormat="1" x14ac:dyDescent="0.2">
      <c r="A915" s="49"/>
      <c r="B915" s="50"/>
      <c r="C915" s="51"/>
      <c r="D915" s="49"/>
      <c r="E915" s="49"/>
      <c r="F915" s="52"/>
      <c r="G915" s="53"/>
      <c r="H915" s="54"/>
      <c r="I915" s="55"/>
      <c r="J915" s="53"/>
      <c r="K915" s="53"/>
      <c r="L915" s="53"/>
      <c r="M915" s="56"/>
      <c r="N915" s="53"/>
      <c r="O915" s="57"/>
      <c r="Q915" s="53"/>
      <c r="R915" s="53"/>
      <c r="S915" s="53"/>
      <c r="T915" s="59"/>
      <c r="U915" s="59"/>
      <c r="V915" s="53"/>
      <c r="W915" s="53"/>
      <c r="X915" s="53"/>
      <c r="Y915" s="9" t="e">
        <f t="shared" si="14"/>
        <v>#DIV/0!</v>
      </c>
      <c r="Z915" s="60"/>
      <c r="AC915" s="61"/>
      <c r="AD915" s="53"/>
      <c r="AE915" s="56"/>
      <c r="AF915" s="62"/>
      <c r="AG915" s="63"/>
      <c r="AH915" s="61"/>
      <c r="AO915" s="64" t="s">
        <v>80</v>
      </c>
      <c r="AP915" s="65">
        <v>2.8</v>
      </c>
      <c r="AQ915" s="65">
        <v>2.8</v>
      </c>
      <c r="AR915" s="65"/>
      <c r="AS915" s="65"/>
      <c r="AT915" s="65"/>
      <c r="AU915" s="65"/>
      <c r="AV915" s="65"/>
      <c r="AW915" s="65"/>
      <c r="AX915" s="65"/>
      <c r="AY915" s="65"/>
      <c r="AZ915" s="65"/>
      <c r="BA915" s="65"/>
      <c r="BB915" s="65"/>
      <c r="BC915" s="65"/>
      <c r="BD915" s="65"/>
      <c r="BE915" s="65"/>
      <c r="BF915" s="65"/>
      <c r="BG915" s="65"/>
      <c r="BH915" s="65"/>
      <c r="BI915" s="65"/>
      <c r="BJ915" s="65"/>
      <c r="BK915" s="65"/>
      <c r="BL915" s="65"/>
      <c r="BM915" s="65"/>
      <c r="BN915" s="65"/>
      <c r="BO915" s="65"/>
    </row>
    <row r="916" spans="1:67" s="58" customFormat="1" x14ac:dyDescent="0.2">
      <c r="A916" s="49" t="s">
        <v>67</v>
      </c>
      <c r="B916" s="50">
        <v>43257</v>
      </c>
      <c r="C916" s="51">
        <v>0.59791666666666698</v>
      </c>
      <c r="D916" s="49" t="s">
        <v>189</v>
      </c>
      <c r="E916" s="49">
        <v>3</v>
      </c>
      <c r="F916" s="52">
        <v>62</v>
      </c>
      <c r="G916" s="53">
        <v>2</v>
      </c>
      <c r="H916" s="54">
        <v>3.2258064516129031E-2</v>
      </c>
      <c r="I916" s="55">
        <v>6.83E-2</v>
      </c>
      <c r="J916" s="53">
        <v>314.15899999999999</v>
      </c>
      <c r="K916" s="53">
        <v>0.5464</v>
      </c>
      <c r="L916" s="53">
        <v>8</v>
      </c>
      <c r="M916" s="56">
        <v>287.48078330893117</v>
      </c>
      <c r="N916" s="53">
        <v>1037</v>
      </c>
      <c r="O916" s="57" t="s">
        <v>86</v>
      </c>
      <c r="P916" s="57" t="s">
        <v>82</v>
      </c>
      <c r="Q916" s="53" t="s">
        <v>87</v>
      </c>
      <c r="R916" s="53" t="s">
        <v>84</v>
      </c>
      <c r="S916" s="53"/>
      <c r="T916" s="59">
        <v>11</v>
      </c>
      <c r="U916" s="59">
        <v>11</v>
      </c>
      <c r="V916" s="53">
        <v>2.8</v>
      </c>
      <c r="W916" s="53"/>
      <c r="X916" s="53"/>
      <c r="Y916" s="9">
        <f t="shared" si="14"/>
        <v>3162.288616398243</v>
      </c>
      <c r="Z916" s="60" t="s">
        <v>73</v>
      </c>
      <c r="AA916" s="58" t="s">
        <v>336</v>
      </c>
      <c r="AB916" s="58" t="s">
        <v>75</v>
      </c>
      <c r="AC916" s="61" t="s">
        <v>76</v>
      </c>
      <c r="AD916" s="53" t="s">
        <v>85</v>
      </c>
      <c r="AE916" s="56">
        <v>7.2382233599999992</v>
      </c>
      <c r="AF916" s="62"/>
      <c r="AG916" s="63"/>
      <c r="AH916" s="61"/>
      <c r="AO916" s="66" t="s">
        <v>78</v>
      </c>
      <c r="AP916" s="65">
        <v>2.44</v>
      </c>
      <c r="AQ916" s="65">
        <v>2.8</v>
      </c>
      <c r="AR916" s="65">
        <v>1.9</v>
      </c>
      <c r="AS916" s="65">
        <v>2.8</v>
      </c>
      <c r="AT916" s="65">
        <v>2.8</v>
      </c>
      <c r="AU916" s="65">
        <v>1.9</v>
      </c>
      <c r="AV916" s="65"/>
      <c r="AW916" s="65"/>
      <c r="AX916" s="65"/>
      <c r="AY916" s="65"/>
      <c r="AZ916" s="65"/>
      <c r="BA916" s="65"/>
      <c r="BB916" s="65"/>
      <c r="BC916" s="65"/>
      <c r="BD916" s="65"/>
      <c r="BE916" s="65"/>
      <c r="BF916" s="65"/>
      <c r="BG916" s="65"/>
      <c r="BH916" s="65"/>
      <c r="BI916" s="65"/>
      <c r="BJ916" s="65"/>
      <c r="BK916" s="65"/>
      <c r="BL916" s="65"/>
      <c r="BM916" s="65"/>
      <c r="BN916" s="65"/>
      <c r="BO916" s="65"/>
    </row>
    <row r="917" spans="1:67" s="58" customFormat="1" x14ac:dyDescent="0.2">
      <c r="A917" s="49" t="s">
        <v>67</v>
      </c>
      <c r="B917" s="50">
        <v>43257</v>
      </c>
      <c r="C917" s="51">
        <v>0.59791666666666698</v>
      </c>
      <c r="D917" s="49" t="s">
        <v>189</v>
      </c>
      <c r="E917" s="49">
        <v>3</v>
      </c>
      <c r="F917" s="52">
        <v>62</v>
      </c>
      <c r="G917" s="53">
        <v>2</v>
      </c>
      <c r="H917" s="54">
        <v>3.2258064516129031E-2</v>
      </c>
      <c r="I917" s="55">
        <v>6.83E-2</v>
      </c>
      <c r="J917" s="53">
        <v>314.15899999999999</v>
      </c>
      <c r="K917" s="53">
        <v>0.5464</v>
      </c>
      <c r="L917" s="53">
        <v>8</v>
      </c>
      <c r="M917" s="56">
        <v>287.48078330893117</v>
      </c>
      <c r="N917" s="53">
        <v>1733</v>
      </c>
      <c r="O917" s="57" t="s">
        <v>92</v>
      </c>
      <c r="P917" s="57" t="s">
        <v>82</v>
      </c>
      <c r="Q917" s="53" t="s">
        <v>89</v>
      </c>
      <c r="R917" s="53" t="s">
        <v>93</v>
      </c>
      <c r="S917" s="53"/>
      <c r="T917" s="59">
        <v>3</v>
      </c>
      <c r="U917" s="59">
        <v>3</v>
      </c>
      <c r="V917" s="53">
        <v>6.2</v>
      </c>
      <c r="W917" s="53"/>
      <c r="X917" s="53"/>
      <c r="Y917" s="9">
        <f t="shared" si="14"/>
        <v>862.44234992679355</v>
      </c>
      <c r="Z917" s="60" t="s">
        <v>73</v>
      </c>
      <c r="AA917" s="58" t="s">
        <v>336</v>
      </c>
      <c r="AB917" s="58" t="s">
        <v>75</v>
      </c>
      <c r="AC917" s="61" t="s">
        <v>76</v>
      </c>
      <c r="AD917" s="53" t="s">
        <v>91</v>
      </c>
      <c r="AE917" s="56">
        <v>99.629243670000008</v>
      </c>
      <c r="AF917" s="62"/>
      <c r="AG917" s="63"/>
      <c r="AH917" s="61"/>
      <c r="AO917" s="66" t="s">
        <v>78</v>
      </c>
      <c r="AP917" s="65">
        <v>6.2</v>
      </c>
      <c r="AQ917" s="65">
        <v>6.5</v>
      </c>
      <c r="AR917" s="65">
        <v>5.6</v>
      </c>
      <c r="AS917" s="65">
        <v>6.5</v>
      </c>
      <c r="AT917" s="65"/>
      <c r="AU917" s="65"/>
      <c r="AV917" s="65"/>
      <c r="AW917" s="65"/>
      <c r="AX917" s="65"/>
      <c r="AY917" s="65"/>
      <c r="AZ917" s="65"/>
      <c r="BA917" s="65"/>
      <c r="BB917" s="65"/>
      <c r="BC917" s="65"/>
      <c r="BD917" s="65"/>
      <c r="BE917" s="65"/>
      <c r="BF917" s="65"/>
      <c r="BG917" s="65"/>
      <c r="BH917" s="65"/>
      <c r="BI917" s="65"/>
      <c r="BJ917" s="65"/>
      <c r="BK917" s="65"/>
      <c r="BL917" s="65"/>
      <c r="BM917" s="65"/>
      <c r="BN917" s="65"/>
      <c r="BO917" s="65"/>
    </row>
    <row r="918" spans="1:67" s="58" customFormat="1" x14ac:dyDescent="0.2">
      <c r="A918" s="49"/>
      <c r="B918" s="50"/>
      <c r="C918" s="51"/>
      <c r="D918" s="49"/>
      <c r="E918" s="49"/>
      <c r="F918" s="52"/>
      <c r="G918" s="53"/>
      <c r="H918" s="54"/>
      <c r="I918" s="55"/>
      <c r="J918" s="53"/>
      <c r="K918" s="53"/>
      <c r="L918" s="53"/>
      <c r="M918" s="56"/>
      <c r="N918" s="53"/>
      <c r="O918" s="57"/>
      <c r="P918" s="57"/>
      <c r="Q918" s="53"/>
      <c r="R918" s="53"/>
      <c r="S918" s="53"/>
      <c r="T918" s="59"/>
      <c r="U918" s="59"/>
      <c r="V918" s="53"/>
      <c r="W918" s="53"/>
      <c r="X918" s="53"/>
      <c r="Y918" s="9" t="e">
        <f t="shared" si="14"/>
        <v>#DIV/0!</v>
      </c>
      <c r="Z918" s="60"/>
      <c r="AC918" s="61"/>
      <c r="AD918" s="53"/>
      <c r="AE918" s="56"/>
      <c r="AF918" s="62"/>
      <c r="AG918" s="63"/>
      <c r="AH918" s="61"/>
      <c r="AO918" s="64" t="s">
        <v>79</v>
      </c>
      <c r="AP918" s="65">
        <v>3.7000000000000006</v>
      </c>
      <c r="AQ918" s="65">
        <v>3.7</v>
      </c>
      <c r="AR918" s="65">
        <v>3.7</v>
      </c>
      <c r="AS918" s="65">
        <v>3.7</v>
      </c>
      <c r="AT918" s="65"/>
      <c r="AU918" s="65"/>
      <c r="AV918" s="65"/>
      <c r="AW918" s="65"/>
      <c r="AX918" s="65"/>
      <c r="AY918" s="65"/>
      <c r="AZ918" s="65"/>
      <c r="BA918" s="65"/>
      <c r="BB918" s="65"/>
      <c r="BC918" s="65"/>
      <c r="BD918" s="65"/>
      <c r="BE918" s="65"/>
      <c r="BF918" s="65"/>
      <c r="BG918" s="65"/>
      <c r="BH918" s="65"/>
      <c r="BI918" s="65"/>
      <c r="BJ918" s="65"/>
      <c r="BK918" s="65"/>
      <c r="BL918" s="65"/>
      <c r="BM918" s="65"/>
      <c r="BN918" s="65"/>
      <c r="BO918" s="65"/>
    </row>
    <row r="919" spans="1:67" s="58" customFormat="1" x14ac:dyDescent="0.2">
      <c r="A919" s="49" t="s">
        <v>67</v>
      </c>
      <c r="B919" s="50">
        <v>43257</v>
      </c>
      <c r="C919" s="51">
        <v>0.59791666666666698</v>
      </c>
      <c r="D919" s="49" t="s">
        <v>189</v>
      </c>
      <c r="E919" s="49">
        <v>3</v>
      </c>
      <c r="F919" s="52">
        <v>62</v>
      </c>
      <c r="G919" s="53">
        <v>2</v>
      </c>
      <c r="H919" s="54">
        <v>3.2258064516129031E-2</v>
      </c>
      <c r="I919" s="55">
        <v>6.83E-2</v>
      </c>
      <c r="J919" s="53">
        <v>314.15899999999999</v>
      </c>
      <c r="K919" s="53">
        <v>0.5464</v>
      </c>
      <c r="L919" s="53">
        <v>8</v>
      </c>
      <c r="M919" s="56">
        <v>287.48078330893117</v>
      </c>
      <c r="N919" s="53">
        <v>1419</v>
      </c>
      <c r="O919" s="57" t="s">
        <v>94</v>
      </c>
      <c r="P919" s="57" t="s">
        <v>82</v>
      </c>
      <c r="Q919" s="53" t="s">
        <v>95</v>
      </c>
      <c r="R919" s="53" t="s">
        <v>96</v>
      </c>
      <c r="S919" s="53"/>
      <c r="T919" s="59">
        <v>398</v>
      </c>
      <c r="U919" s="59">
        <v>807</v>
      </c>
      <c r="V919" s="53">
        <v>0.8</v>
      </c>
      <c r="W919" s="53">
        <v>0.8</v>
      </c>
      <c r="X919" s="53">
        <v>0.8</v>
      </c>
      <c r="Y919" s="9">
        <f t="shared" si="14"/>
        <v>114417.35175695461</v>
      </c>
      <c r="Z919" s="60" t="s">
        <v>97</v>
      </c>
      <c r="AA919" s="58" t="s">
        <v>336</v>
      </c>
      <c r="AB919" s="58" t="s">
        <v>75</v>
      </c>
      <c r="AC919" s="61" t="s">
        <v>76</v>
      </c>
      <c r="AD919" s="53" t="s">
        <v>85</v>
      </c>
      <c r="AE919" s="56">
        <v>0.18</v>
      </c>
      <c r="AF919" s="56">
        <v>0.18</v>
      </c>
      <c r="AG919" s="56">
        <v>0.18</v>
      </c>
      <c r="AH919" s="56">
        <v>0.18</v>
      </c>
      <c r="AI919" s="56">
        <v>0.18</v>
      </c>
      <c r="AJ919" s="56">
        <v>0.18</v>
      </c>
      <c r="AK919" s="56">
        <v>0.18</v>
      </c>
      <c r="AL919" s="56">
        <v>0.18</v>
      </c>
      <c r="AM919" s="56">
        <v>0.18</v>
      </c>
      <c r="AN919" s="56">
        <v>0.18</v>
      </c>
      <c r="AO919" s="66" t="s">
        <v>78</v>
      </c>
      <c r="AP919" s="65">
        <v>0.75200000000000033</v>
      </c>
      <c r="AQ919" s="65">
        <v>0.7</v>
      </c>
      <c r="AR919" s="65">
        <v>0.7</v>
      </c>
      <c r="AS919" s="65">
        <v>0.7</v>
      </c>
      <c r="AT919" s="65">
        <v>0.7</v>
      </c>
      <c r="AU919" s="65">
        <v>0.7</v>
      </c>
      <c r="AV919" s="65">
        <v>0.7</v>
      </c>
      <c r="AW919" s="65">
        <v>0.7</v>
      </c>
      <c r="AX919" s="65">
        <v>0.7</v>
      </c>
      <c r="AY919" s="65">
        <v>0.7</v>
      </c>
      <c r="AZ919" s="65">
        <v>0.7</v>
      </c>
      <c r="BA919" s="65">
        <v>0.7</v>
      </c>
      <c r="BB919" s="65">
        <v>0.7</v>
      </c>
      <c r="BC919" s="65">
        <v>0.8</v>
      </c>
      <c r="BD919" s="65">
        <v>0.8</v>
      </c>
      <c r="BE919" s="65">
        <v>0.8</v>
      </c>
      <c r="BF919" s="65">
        <v>0.8</v>
      </c>
      <c r="BG919" s="65">
        <v>0.8</v>
      </c>
      <c r="BH919" s="65">
        <v>0.8</v>
      </c>
      <c r="BI919" s="65">
        <v>0.8</v>
      </c>
      <c r="BJ919" s="65">
        <v>0.8</v>
      </c>
      <c r="BK919" s="65">
        <v>0.8</v>
      </c>
      <c r="BL919" s="65">
        <v>0.8</v>
      </c>
      <c r="BM919" s="65">
        <v>0.8</v>
      </c>
      <c r="BN919" s="65">
        <v>0.8</v>
      </c>
      <c r="BO919" s="65">
        <v>0.8</v>
      </c>
    </row>
    <row r="920" spans="1:67" s="58" customFormat="1" x14ac:dyDescent="0.2">
      <c r="A920" s="49" t="s">
        <v>67</v>
      </c>
      <c r="B920" s="50">
        <v>43200</v>
      </c>
      <c r="C920" s="51">
        <v>0.57638888888888895</v>
      </c>
      <c r="D920" s="49" t="s">
        <v>202</v>
      </c>
      <c r="E920" s="49">
        <v>3</v>
      </c>
      <c r="F920" s="52">
        <v>83</v>
      </c>
      <c r="G920" s="53">
        <v>2</v>
      </c>
      <c r="H920" s="54">
        <v>2.4096385542168676E-2</v>
      </c>
      <c r="I920" s="55">
        <v>6.83E-2</v>
      </c>
      <c r="J920" s="53">
        <v>314.15899999999999</v>
      </c>
      <c r="K920" s="53">
        <v>0.68300000000000005</v>
      </c>
      <c r="L920" s="53">
        <v>10</v>
      </c>
      <c r="M920" s="56">
        <v>229.98462664714492</v>
      </c>
      <c r="N920" s="53">
        <v>46</v>
      </c>
      <c r="O920" s="57" t="s">
        <v>109</v>
      </c>
      <c r="P920" s="58" t="s">
        <v>70</v>
      </c>
      <c r="Q920" s="53" t="s">
        <v>110</v>
      </c>
      <c r="R920" s="53" t="s">
        <v>84</v>
      </c>
      <c r="S920" s="53"/>
      <c r="T920" s="59">
        <v>1</v>
      </c>
      <c r="U920" s="59">
        <v>1</v>
      </c>
      <c r="V920" s="53">
        <v>11.1</v>
      </c>
      <c r="W920" s="53"/>
      <c r="X920" s="53"/>
      <c r="Y920" s="9">
        <f t="shared" si="14"/>
        <v>229.98462664714492</v>
      </c>
      <c r="Z920" s="60" t="s">
        <v>73</v>
      </c>
      <c r="AA920" s="58" t="s">
        <v>337</v>
      </c>
      <c r="AB920" s="58" t="s">
        <v>75</v>
      </c>
      <c r="AC920" s="61" t="s">
        <v>281</v>
      </c>
      <c r="AD920" s="53" t="s">
        <v>77</v>
      </c>
      <c r="AE920" s="56">
        <v>119.34821870249999</v>
      </c>
      <c r="AF920" s="62"/>
      <c r="AG920" s="63"/>
      <c r="AH920" s="61"/>
      <c r="AO920" s="64" t="s">
        <v>78</v>
      </c>
      <c r="AP920" s="65">
        <v>11.1</v>
      </c>
      <c r="AQ920" s="65">
        <v>11.1</v>
      </c>
      <c r="AR920" s="65"/>
      <c r="AS920" s="65"/>
      <c r="AT920" s="65"/>
      <c r="AU920" s="65"/>
      <c r="AV920" s="65"/>
      <c r="AW920" s="65"/>
      <c r="AX920" s="65"/>
      <c r="AY920" s="65"/>
      <c r="AZ920" s="65"/>
      <c r="BA920" s="65"/>
      <c r="BB920" s="65"/>
      <c r="BC920" s="65"/>
      <c r="BD920" s="65"/>
      <c r="BE920" s="65"/>
      <c r="BF920" s="65"/>
      <c r="BG920" s="65"/>
      <c r="BH920" s="65"/>
      <c r="BI920" s="65"/>
      <c r="BJ920" s="65"/>
      <c r="BK920" s="65"/>
      <c r="BL920" s="65"/>
      <c r="BM920" s="65"/>
      <c r="BN920" s="65"/>
      <c r="BO920" s="65"/>
    </row>
    <row r="921" spans="1:67" s="58" customFormat="1" x14ac:dyDescent="0.2">
      <c r="A921" s="49"/>
      <c r="B921" s="50"/>
      <c r="C921" s="51"/>
      <c r="D921" s="49"/>
      <c r="E921" s="49"/>
      <c r="F921" s="52"/>
      <c r="G921" s="53"/>
      <c r="H921" s="54"/>
      <c r="I921" s="55"/>
      <c r="J921" s="53"/>
      <c r="K921" s="53"/>
      <c r="L921" s="53"/>
      <c r="M921" s="56"/>
      <c r="N921" s="53"/>
      <c r="O921" s="57"/>
      <c r="Q921" s="53"/>
      <c r="R921" s="53"/>
      <c r="S921" s="53"/>
      <c r="T921" s="59"/>
      <c r="U921" s="59"/>
      <c r="V921" s="53"/>
      <c r="W921" s="53"/>
      <c r="X921" s="53"/>
      <c r="Y921" s="9" t="e">
        <f t="shared" si="14"/>
        <v>#DIV/0!</v>
      </c>
      <c r="Z921" s="60"/>
      <c r="AC921" s="61"/>
      <c r="AD921" s="53"/>
      <c r="AE921" s="56"/>
      <c r="AF921" s="62"/>
      <c r="AG921" s="63"/>
      <c r="AH921" s="61"/>
      <c r="AO921" s="64" t="s">
        <v>79</v>
      </c>
      <c r="AP921" s="65">
        <v>3.7</v>
      </c>
      <c r="AQ921" s="65">
        <v>3.7</v>
      </c>
      <c r="AR921" s="65"/>
      <c r="AS921" s="65"/>
      <c r="AT921" s="65"/>
      <c r="AU921" s="65"/>
      <c r="AV921" s="65"/>
      <c r="AW921" s="65"/>
      <c r="AX921" s="65"/>
      <c r="AY921" s="65"/>
      <c r="AZ921" s="65"/>
      <c r="BA921" s="65"/>
      <c r="BB921" s="65"/>
      <c r="BC921" s="65"/>
      <c r="BD921" s="65"/>
      <c r="BE921" s="65"/>
      <c r="BF921" s="65"/>
      <c r="BG921" s="65"/>
      <c r="BH921" s="65"/>
      <c r="BI921" s="65"/>
      <c r="BJ921" s="65"/>
      <c r="BK921" s="65"/>
      <c r="BL921" s="65"/>
      <c r="BM921" s="65"/>
      <c r="BN921" s="65"/>
      <c r="BO921" s="65"/>
    </row>
    <row r="922" spans="1:67" s="58" customFormat="1" x14ac:dyDescent="0.2">
      <c r="A922" s="49"/>
      <c r="B922" s="50"/>
      <c r="C922" s="51"/>
      <c r="D922" s="49"/>
      <c r="E922" s="49"/>
      <c r="F922" s="52"/>
      <c r="G922" s="53"/>
      <c r="H922" s="54"/>
      <c r="I922" s="55"/>
      <c r="J922" s="53"/>
      <c r="K922" s="53"/>
      <c r="L922" s="53"/>
      <c r="M922" s="56"/>
      <c r="N922" s="53"/>
      <c r="O922" s="57"/>
      <c r="Q922" s="53"/>
      <c r="R922" s="53"/>
      <c r="S922" s="53"/>
      <c r="T922" s="59"/>
      <c r="U922" s="59"/>
      <c r="V922" s="53"/>
      <c r="W922" s="53"/>
      <c r="X922" s="53"/>
      <c r="Y922" s="9" t="e">
        <f t="shared" si="14"/>
        <v>#DIV/0!</v>
      </c>
      <c r="Z922" s="60"/>
      <c r="AC922" s="61"/>
      <c r="AD922" s="53"/>
      <c r="AE922" s="56"/>
      <c r="AF922" s="62"/>
      <c r="AG922" s="63"/>
      <c r="AH922" s="61"/>
      <c r="AO922" s="64" t="s">
        <v>80</v>
      </c>
      <c r="AP922" s="65">
        <v>3.7</v>
      </c>
      <c r="AQ922" s="65">
        <v>3.7</v>
      </c>
      <c r="AR922" s="65"/>
      <c r="AS922" s="65"/>
      <c r="AT922" s="65"/>
      <c r="AU922" s="65"/>
      <c r="AV922" s="65"/>
      <c r="AW922" s="65"/>
      <c r="AX922" s="65"/>
      <c r="AY922" s="65"/>
      <c r="AZ922" s="65"/>
      <c r="BA922" s="65"/>
      <c r="BB922" s="65"/>
      <c r="BC922" s="65"/>
      <c r="BD922" s="65"/>
      <c r="BE922" s="65"/>
      <c r="BF922" s="65"/>
      <c r="BG922" s="65"/>
      <c r="BH922" s="65"/>
      <c r="BI922" s="65"/>
      <c r="BJ922" s="65"/>
      <c r="BK922" s="65"/>
      <c r="BL922" s="65"/>
      <c r="BM922" s="65"/>
      <c r="BN922" s="65"/>
      <c r="BO922" s="65"/>
    </row>
    <row r="923" spans="1:67" s="58" customFormat="1" x14ac:dyDescent="0.2">
      <c r="A923" s="49" t="s">
        <v>67</v>
      </c>
      <c r="B923" s="50">
        <v>43200</v>
      </c>
      <c r="C923" s="51">
        <v>0.57638888888888895</v>
      </c>
      <c r="D923" s="49" t="s">
        <v>202</v>
      </c>
      <c r="E923" s="49">
        <v>3</v>
      </c>
      <c r="F923" s="52">
        <v>83</v>
      </c>
      <c r="G923" s="53">
        <v>2</v>
      </c>
      <c r="H923" s="54">
        <v>2.4096385542168676E-2</v>
      </c>
      <c r="I923" s="55">
        <v>6.83E-2</v>
      </c>
      <c r="J923" s="53">
        <v>314.15899999999999</v>
      </c>
      <c r="K923" s="53">
        <v>0.68300000000000005</v>
      </c>
      <c r="L923" s="53">
        <v>10</v>
      </c>
      <c r="M923" s="56">
        <v>229.98462664714492</v>
      </c>
      <c r="N923" s="53">
        <v>749</v>
      </c>
      <c r="O923" s="57" t="s">
        <v>190</v>
      </c>
      <c r="P923" s="58" t="s">
        <v>70</v>
      </c>
      <c r="Q923" s="53" t="s">
        <v>191</v>
      </c>
      <c r="R923" s="53" t="s">
        <v>84</v>
      </c>
      <c r="S923" s="53"/>
      <c r="T923" s="59">
        <v>1</v>
      </c>
      <c r="U923" s="59">
        <v>1</v>
      </c>
      <c r="V923" s="53">
        <v>25.9</v>
      </c>
      <c r="W923" s="53"/>
      <c r="X923" s="53"/>
      <c r="Y923" s="9">
        <f t="shared" si="14"/>
        <v>229.98462664714492</v>
      </c>
      <c r="Z923" s="60" t="s">
        <v>73</v>
      </c>
      <c r="AA923" s="58" t="s">
        <v>337</v>
      </c>
      <c r="AB923" s="58" t="s">
        <v>75</v>
      </c>
      <c r="AC923" s="61" t="s">
        <v>281</v>
      </c>
      <c r="AD923" s="53" t="s">
        <v>193</v>
      </c>
      <c r="AE923" s="56">
        <v>177.28550000000001</v>
      </c>
      <c r="AF923" s="62"/>
      <c r="AG923" s="63"/>
      <c r="AH923" s="61"/>
      <c r="AO923" s="64" t="s">
        <v>78</v>
      </c>
      <c r="AP923" s="65">
        <v>25.9</v>
      </c>
      <c r="AQ923" s="65">
        <v>25.9</v>
      </c>
      <c r="AR923" s="65"/>
      <c r="AS923" s="65"/>
      <c r="AT923" s="65"/>
      <c r="AU923" s="65"/>
      <c r="AV923" s="65"/>
      <c r="AW923" s="65"/>
      <c r="AX923" s="65"/>
      <c r="AY923" s="65"/>
      <c r="AZ923" s="65"/>
      <c r="BA923" s="65"/>
      <c r="BB923" s="65"/>
      <c r="BC923" s="65"/>
      <c r="BD923" s="65"/>
      <c r="BE923" s="65"/>
      <c r="BF923" s="65"/>
      <c r="BG923" s="65"/>
      <c r="BH923" s="65"/>
      <c r="BI923" s="65"/>
      <c r="BJ923" s="65"/>
      <c r="BK923" s="65"/>
      <c r="BL923" s="65"/>
      <c r="BM923" s="65"/>
      <c r="BN923" s="65"/>
      <c r="BO923" s="65"/>
    </row>
    <row r="924" spans="1:67" s="58" customFormat="1" x14ac:dyDescent="0.2">
      <c r="A924" s="49"/>
      <c r="B924" s="50"/>
      <c r="C924" s="51"/>
      <c r="D924" s="49"/>
      <c r="E924" s="49"/>
      <c r="F924" s="52"/>
      <c r="G924" s="53"/>
      <c r="H924" s="54"/>
      <c r="I924" s="55"/>
      <c r="J924" s="53"/>
      <c r="K924" s="53"/>
      <c r="L924" s="53"/>
      <c r="M924" s="56"/>
      <c r="N924" s="53"/>
      <c r="O924" s="57"/>
      <c r="Q924" s="53"/>
      <c r="R924" s="53"/>
      <c r="S924" s="53"/>
      <c r="T924" s="59"/>
      <c r="U924" s="59"/>
      <c r="V924" s="53"/>
      <c r="W924" s="53"/>
      <c r="X924" s="53"/>
      <c r="Y924" s="9" t="e">
        <f t="shared" si="14"/>
        <v>#DIV/0!</v>
      </c>
      <c r="Z924" s="60"/>
      <c r="AC924" s="61"/>
      <c r="AD924" s="53"/>
      <c r="AE924" s="56"/>
      <c r="AF924" s="62"/>
      <c r="AG924" s="63"/>
      <c r="AH924" s="61"/>
      <c r="AO924" s="64" t="s">
        <v>79</v>
      </c>
      <c r="AP924" s="65">
        <v>3.7</v>
      </c>
      <c r="AQ924" s="65">
        <v>3.7</v>
      </c>
      <c r="AR924" s="65"/>
      <c r="AS924" s="65"/>
      <c r="AT924" s="65"/>
      <c r="AU924" s="65"/>
      <c r="AV924" s="65"/>
      <c r="AW924" s="65"/>
      <c r="AX924" s="65"/>
      <c r="AY924" s="65"/>
      <c r="AZ924" s="65"/>
      <c r="BA924" s="65"/>
      <c r="BB924" s="65"/>
      <c r="BC924" s="65"/>
      <c r="BD924" s="65"/>
      <c r="BE924" s="65"/>
      <c r="BF924" s="65"/>
      <c r="BG924" s="65"/>
      <c r="BH924" s="65"/>
      <c r="BI924" s="65"/>
      <c r="BJ924" s="65"/>
      <c r="BK924" s="65"/>
      <c r="BL924" s="65"/>
      <c r="BM924" s="65"/>
      <c r="BN924" s="65"/>
      <c r="BO924" s="65"/>
    </row>
    <row r="925" spans="1:67" s="58" customFormat="1" x14ac:dyDescent="0.2">
      <c r="A925" s="49"/>
      <c r="B925" s="50"/>
      <c r="C925" s="51"/>
      <c r="D925" s="49"/>
      <c r="E925" s="49"/>
      <c r="F925" s="52"/>
      <c r="G925" s="53"/>
      <c r="H925" s="54"/>
      <c r="I925" s="55"/>
      <c r="J925" s="53"/>
      <c r="K925" s="53"/>
      <c r="L925" s="53"/>
      <c r="M925" s="56"/>
      <c r="N925" s="53"/>
      <c r="O925" s="57"/>
      <c r="Q925" s="53"/>
      <c r="R925" s="53"/>
      <c r="S925" s="53"/>
      <c r="T925" s="59"/>
      <c r="U925" s="59"/>
      <c r="V925" s="53"/>
      <c r="W925" s="53"/>
      <c r="X925" s="53"/>
      <c r="Y925" s="9" t="e">
        <f t="shared" si="14"/>
        <v>#DIV/0!</v>
      </c>
      <c r="Z925" s="60"/>
      <c r="AC925" s="61"/>
      <c r="AD925" s="53"/>
      <c r="AE925" s="56"/>
      <c r="AF925" s="62"/>
      <c r="AG925" s="63"/>
      <c r="AH925" s="61"/>
      <c r="AO925" s="64" t="s">
        <v>80</v>
      </c>
      <c r="AP925" s="65">
        <v>3.7</v>
      </c>
      <c r="AQ925" s="65">
        <v>3.7</v>
      </c>
      <c r="AR925" s="65"/>
      <c r="AS925" s="65"/>
      <c r="AT925" s="65"/>
      <c r="AU925" s="65"/>
      <c r="AV925" s="65"/>
      <c r="AW925" s="65"/>
      <c r="AX925" s="65"/>
      <c r="AY925" s="65"/>
      <c r="AZ925" s="65"/>
      <c r="BA925" s="65"/>
      <c r="BB925" s="65"/>
      <c r="BC925" s="65"/>
      <c r="BD925" s="65"/>
      <c r="BE925" s="65"/>
      <c r="BF925" s="65"/>
      <c r="BG925" s="65"/>
      <c r="BH925" s="65"/>
      <c r="BI925" s="65"/>
      <c r="BJ925" s="65"/>
      <c r="BK925" s="65"/>
      <c r="BL925" s="65"/>
      <c r="BM925" s="65"/>
      <c r="BN925" s="65"/>
      <c r="BO925" s="65"/>
    </row>
    <row r="926" spans="1:67" s="58" customFormat="1" x14ac:dyDescent="0.2">
      <c r="A926" s="49" t="s">
        <v>67</v>
      </c>
      <c r="B926" s="50">
        <v>43200</v>
      </c>
      <c r="C926" s="51">
        <v>0.57638888888888895</v>
      </c>
      <c r="D926" s="49" t="s">
        <v>202</v>
      </c>
      <c r="E926" s="49">
        <v>3</v>
      </c>
      <c r="F926" s="52">
        <v>83</v>
      </c>
      <c r="G926" s="53">
        <v>2</v>
      </c>
      <c r="H926" s="54">
        <v>2.4096385542168676E-2</v>
      </c>
      <c r="I926" s="55">
        <v>6.83E-2</v>
      </c>
      <c r="J926" s="53">
        <v>314.15899999999999</v>
      </c>
      <c r="K926" s="53">
        <v>0.68300000000000005</v>
      </c>
      <c r="L926" s="53">
        <v>10</v>
      </c>
      <c r="M926" s="56">
        <v>229.98462664714492</v>
      </c>
      <c r="N926" s="53">
        <v>870</v>
      </c>
      <c r="O926" s="57" t="s">
        <v>338</v>
      </c>
      <c r="P926" s="58" t="s">
        <v>70</v>
      </c>
      <c r="Q926" s="53" t="s">
        <v>339</v>
      </c>
      <c r="R926" s="53" t="s">
        <v>84</v>
      </c>
      <c r="S926" s="53"/>
      <c r="T926" s="59">
        <v>1</v>
      </c>
      <c r="U926" s="59">
        <v>1</v>
      </c>
      <c r="V926" s="53">
        <v>20.399999999999999</v>
      </c>
      <c r="W926" s="53"/>
      <c r="X926" s="53"/>
      <c r="Y926" s="9">
        <f t="shared" si="14"/>
        <v>229.98462664714492</v>
      </c>
      <c r="Z926" s="60" t="s">
        <v>73</v>
      </c>
      <c r="AA926" s="58" t="s">
        <v>337</v>
      </c>
      <c r="AB926" s="58" t="s">
        <v>75</v>
      </c>
      <c r="AC926" s="61" t="s">
        <v>281</v>
      </c>
      <c r="AD926" s="53" t="s">
        <v>340</v>
      </c>
      <c r="AE926" s="56">
        <v>219.34267220999999</v>
      </c>
      <c r="AF926" s="62"/>
      <c r="AG926" s="63"/>
      <c r="AH926" s="61"/>
      <c r="AO926" s="64" t="s">
        <v>78</v>
      </c>
      <c r="AP926" s="65">
        <v>20.399999999999999</v>
      </c>
      <c r="AQ926" s="65">
        <v>20.399999999999999</v>
      </c>
      <c r="AR926" s="65"/>
      <c r="AS926" s="65"/>
      <c r="AT926" s="65"/>
      <c r="AU926" s="65"/>
      <c r="AV926" s="65"/>
      <c r="AW926" s="65"/>
      <c r="AX926" s="65"/>
      <c r="AY926" s="65"/>
      <c r="AZ926" s="65"/>
      <c r="BA926" s="65"/>
      <c r="BB926" s="65"/>
      <c r="BC926" s="65"/>
      <c r="BD926" s="65"/>
      <c r="BE926" s="65"/>
      <c r="BF926" s="65"/>
      <c r="BG926" s="65"/>
      <c r="BH926" s="65"/>
      <c r="BI926" s="65"/>
      <c r="BJ926" s="65"/>
      <c r="BK926" s="65"/>
      <c r="BL926" s="65"/>
      <c r="BM926" s="65"/>
      <c r="BN926" s="65"/>
      <c r="BO926" s="65"/>
    </row>
    <row r="927" spans="1:67" s="58" customFormat="1" x14ac:dyDescent="0.2">
      <c r="A927" s="49"/>
      <c r="B927" s="50"/>
      <c r="C927" s="51"/>
      <c r="D927" s="49"/>
      <c r="E927" s="49"/>
      <c r="F927" s="52"/>
      <c r="G927" s="53"/>
      <c r="H927" s="54"/>
      <c r="I927" s="55"/>
      <c r="J927" s="53"/>
      <c r="K927" s="53"/>
      <c r="L927" s="53"/>
      <c r="M927" s="56"/>
      <c r="N927" s="53"/>
      <c r="O927" s="57"/>
      <c r="Q927" s="53"/>
      <c r="R927" s="53"/>
      <c r="S927" s="53"/>
      <c r="T927" s="59"/>
      <c r="U927" s="59"/>
      <c r="V927" s="53"/>
      <c r="W927" s="53"/>
      <c r="X927" s="53"/>
      <c r="Y927" s="9" t="e">
        <f t="shared" si="14"/>
        <v>#DIV/0!</v>
      </c>
      <c r="Z927" s="60"/>
      <c r="AC927" s="61"/>
      <c r="AD927" s="53"/>
      <c r="AE927" s="56"/>
      <c r="AF927" s="62"/>
      <c r="AG927" s="63"/>
      <c r="AH927" s="61"/>
      <c r="AO927" s="64" t="s">
        <v>79</v>
      </c>
      <c r="AP927" s="65">
        <v>3.7</v>
      </c>
      <c r="AQ927" s="65">
        <v>3.7</v>
      </c>
      <c r="AR927" s="65"/>
      <c r="AS927" s="65"/>
      <c r="AT927" s="65"/>
      <c r="AU927" s="65"/>
      <c r="AV927" s="65"/>
      <c r="AW927" s="65"/>
      <c r="AX927" s="65"/>
      <c r="AY927" s="65"/>
      <c r="AZ927" s="65"/>
      <c r="BA927" s="65"/>
      <c r="BB927" s="65"/>
      <c r="BC927" s="65"/>
      <c r="BD927" s="65"/>
      <c r="BE927" s="65"/>
      <c r="BF927" s="65"/>
      <c r="BG927" s="65"/>
      <c r="BH927" s="65"/>
      <c r="BI927" s="65"/>
      <c r="BJ927" s="65"/>
      <c r="BK927" s="65"/>
      <c r="BL927" s="65"/>
      <c r="BM927" s="65"/>
      <c r="BN927" s="65"/>
      <c r="BO927" s="65"/>
    </row>
    <row r="928" spans="1:67" s="58" customFormat="1" x14ac:dyDescent="0.2">
      <c r="A928" s="49"/>
      <c r="B928" s="50"/>
      <c r="C928" s="51"/>
      <c r="D928" s="49"/>
      <c r="E928" s="49"/>
      <c r="F928" s="52"/>
      <c r="G928" s="53"/>
      <c r="H928" s="54"/>
      <c r="I928" s="55"/>
      <c r="J928" s="53"/>
      <c r="K928" s="53"/>
      <c r="L928" s="53"/>
      <c r="M928" s="56"/>
      <c r="N928" s="53"/>
      <c r="O928" s="57"/>
      <c r="Q928" s="53"/>
      <c r="R928" s="53"/>
      <c r="S928" s="53"/>
      <c r="T928" s="59"/>
      <c r="U928" s="59"/>
      <c r="V928" s="53"/>
      <c r="W928" s="53"/>
      <c r="X928" s="53"/>
      <c r="Y928" s="9" t="e">
        <f t="shared" si="14"/>
        <v>#DIV/0!</v>
      </c>
      <c r="Z928" s="60"/>
      <c r="AC928" s="61"/>
      <c r="AD928" s="53"/>
      <c r="AE928" s="56"/>
      <c r="AF928" s="62"/>
      <c r="AG928" s="63"/>
      <c r="AH928" s="61"/>
      <c r="AO928" s="64" t="s">
        <v>80</v>
      </c>
      <c r="AP928" s="65">
        <v>3.7</v>
      </c>
      <c r="AQ928" s="65">
        <v>3.7</v>
      </c>
      <c r="AR928" s="65"/>
      <c r="AS928" s="65"/>
      <c r="AT928" s="65"/>
      <c r="AU928" s="65"/>
      <c r="AV928" s="65"/>
      <c r="AW928" s="65"/>
      <c r="AX928" s="65"/>
      <c r="AY928" s="65"/>
      <c r="AZ928" s="65"/>
      <c r="BA928" s="65"/>
      <c r="BB928" s="65"/>
      <c r="BC928" s="65"/>
      <c r="BD928" s="65"/>
      <c r="BE928" s="65"/>
      <c r="BF928" s="65"/>
      <c r="BG928" s="65"/>
      <c r="BH928" s="65"/>
      <c r="BI928" s="65"/>
      <c r="BJ928" s="65"/>
      <c r="BK928" s="65"/>
      <c r="BL928" s="65"/>
      <c r="BM928" s="65"/>
      <c r="BN928" s="65"/>
      <c r="BO928" s="65"/>
    </row>
    <row r="929" spans="1:67" s="58" customFormat="1" x14ac:dyDescent="0.2">
      <c r="A929" s="49" t="s">
        <v>67</v>
      </c>
      <c r="B929" s="50">
        <v>43200</v>
      </c>
      <c r="C929" s="51">
        <v>0.57638888888888895</v>
      </c>
      <c r="D929" s="49" t="s">
        <v>202</v>
      </c>
      <c r="E929" s="49">
        <v>3</v>
      </c>
      <c r="F929" s="52">
        <v>83</v>
      </c>
      <c r="G929" s="53">
        <v>2</v>
      </c>
      <c r="H929" s="54">
        <v>2.4096385542168676E-2</v>
      </c>
      <c r="I929" s="55">
        <v>6.83E-2</v>
      </c>
      <c r="J929" s="53">
        <v>314.15899999999999</v>
      </c>
      <c r="K929" s="53">
        <v>0.68300000000000005</v>
      </c>
      <c r="L929" s="53">
        <v>10</v>
      </c>
      <c r="M929" s="56">
        <v>229.98462664714492</v>
      </c>
      <c r="N929" s="53">
        <v>1031</v>
      </c>
      <c r="O929" s="57" t="s">
        <v>81</v>
      </c>
      <c r="P929" s="57" t="s">
        <v>82</v>
      </c>
      <c r="Q929" s="53" t="s">
        <v>83</v>
      </c>
      <c r="R929" s="53" t="s">
        <v>84</v>
      </c>
      <c r="S929" s="53"/>
      <c r="T929" s="59">
        <v>2</v>
      </c>
      <c r="U929" s="59">
        <v>2</v>
      </c>
      <c r="V929" s="53">
        <v>6.5</v>
      </c>
      <c r="W929" s="53"/>
      <c r="X929" s="53"/>
      <c r="Y929" s="9">
        <f t="shared" si="14"/>
        <v>459.96925329428984</v>
      </c>
      <c r="Z929" s="60" t="s">
        <v>73</v>
      </c>
      <c r="AA929" s="58" t="s">
        <v>337</v>
      </c>
      <c r="AB929" s="58" t="s">
        <v>75</v>
      </c>
      <c r="AC929" s="61" t="s">
        <v>281</v>
      </c>
      <c r="AD929" s="53" t="s">
        <v>85</v>
      </c>
      <c r="AE929" s="56">
        <v>82.276147706666634</v>
      </c>
      <c r="AF929" s="62"/>
      <c r="AG929" s="63"/>
      <c r="AH929" s="61"/>
      <c r="AO929" s="64" t="s">
        <v>78</v>
      </c>
      <c r="AP929" s="65">
        <v>6.05</v>
      </c>
      <c r="AQ929" s="65">
        <v>5.6</v>
      </c>
      <c r="AR929" s="65">
        <v>6.5</v>
      </c>
      <c r="AS929" s="65"/>
      <c r="AT929" s="65"/>
      <c r="AU929" s="65"/>
      <c r="AV929" s="65"/>
      <c r="AW929" s="65"/>
      <c r="AX929" s="65"/>
      <c r="AY929" s="65"/>
      <c r="AZ929" s="65"/>
      <c r="BA929" s="65"/>
      <c r="BB929" s="65"/>
      <c r="BC929" s="65"/>
      <c r="BD929" s="65"/>
      <c r="BE929" s="65"/>
      <c r="BF929" s="65"/>
      <c r="BG929" s="65"/>
      <c r="BH929" s="65"/>
      <c r="BI929" s="65"/>
      <c r="BJ929" s="65"/>
      <c r="BK929" s="65"/>
      <c r="BL929" s="65"/>
      <c r="BM929" s="65"/>
      <c r="BN929" s="65"/>
      <c r="BO929" s="65"/>
    </row>
    <row r="930" spans="1:67" s="58" customFormat="1" x14ac:dyDescent="0.2">
      <c r="A930" s="49"/>
      <c r="B930" s="50"/>
      <c r="C930" s="51"/>
      <c r="D930" s="49"/>
      <c r="E930" s="49"/>
      <c r="F930" s="52"/>
      <c r="G930" s="53"/>
      <c r="H930" s="54"/>
      <c r="I930" s="55"/>
      <c r="J930" s="53"/>
      <c r="K930" s="53"/>
      <c r="L930" s="53"/>
      <c r="M930" s="56"/>
      <c r="N930" s="53"/>
      <c r="O930" s="57"/>
      <c r="P930" s="57"/>
      <c r="Q930" s="53"/>
      <c r="R930" s="53"/>
      <c r="S930" s="53"/>
      <c r="T930" s="59"/>
      <c r="U930" s="59"/>
      <c r="V930" s="53"/>
      <c r="W930" s="53"/>
      <c r="X930" s="53"/>
      <c r="Y930" s="9" t="e">
        <f t="shared" si="14"/>
        <v>#DIV/0!</v>
      </c>
      <c r="Z930" s="60"/>
      <c r="AC930" s="61"/>
      <c r="AD930" s="53"/>
      <c r="AE930" s="56"/>
      <c r="AF930" s="62"/>
      <c r="AG930" s="63"/>
      <c r="AH930" s="61"/>
      <c r="AO930" s="64" t="s">
        <v>79</v>
      </c>
      <c r="AP930" s="65">
        <v>5.6</v>
      </c>
      <c r="AQ930" s="65">
        <v>5.6</v>
      </c>
      <c r="AR930" s="65">
        <v>5.6</v>
      </c>
      <c r="AS930" s="65"/>
      <c r="AT930" s="65"/>
      <c r="AU930" s="65"/>
      <c r="AV930" s="65"/>
      <c r="AW930" s="65"/>
      <c r="AX930" s="65"/>
      <c r="AY930" s="65"/>
      <c r="AZ930" s="65"/>
      <c r="BA930" s="65"/>
      <c r="BB930" s="65"/>
      <c r="BC930" s="65"/>
      <c r="BD930" s="65"/>
      <c r="BE930" s="65"/>
      <c r="BF930" s="65"/>
      <c r="BG930" s="65"/>
      <c r="BH930" s="65"/>
      <c r="BI930" s="65"/>
      <c r="BJ930" s="65"/>
      <c r="BK930" s="65"/>
      <c r="BL930" s="65"/>
      <c r="BM930" s="65"/>
      <c r="BN930" s="65"/>
      <c r="BO930" s="65"/>
    </row>
    <row r="931" spans="1:67" s="58" customFormat="1" x14ac:dyDescent="0.2">
      <c r="A931" s="49"/>
      <c r="B931" s="50"/>
      <c r="C931" s="51"/>
      <c r="D931" s="49"/>
      <c r="E931" s="49"/>
      <c r="F931" s="52"/>
      <c r="G931" s="53"/>
      <c r="H931" s="54"/>
      <c r="I931" s="55"/>
      <c r="J931" s="53"/>
      <c r="K931" s="53"/>
      <c r="L931" s="53"/>
      <c r="M931" s="56"/>
      <c r="N931" s="53"/>
      <c r="O931" s="57"/>
      <c r="P931" s="57"/>
      <c r="Q931" s="53"/>
      <c r="R931" s="53"/>
      <c r="S931" s="53"/>
      <c r="T931" s="59"/>
      <c r="U931" s="59"/>
      <c r="V931" s="53"/>
      <c r="W931" s="53"/>
      <c r="X931" s="53"/>
      <c r="Y931" s="9" t="e">
        <f t="shared" si="14"/>
        <v>#DIV/0!</v>
      </c>
      <c r="Z931" s="60"/>
      <c r="AC931" s="61"/>
      <c r="AD931" s="53"/>
      <c r="AE931" s="56"/>
      <c r="AF931" s="62"/>
      <c r="AG931" s="63"/>
      <c r="AH931" s="61"/>
      <c r="AO931" s="64" t="s">
        <v>80</v>
      </c>
      <c r="AP931" s="65">
        <v>4.5999999999999996</v>
      </c>
      <c r="AQ931" s="65">
        <v>4.5999999999999996</v>
      </c>
      <c r="AR931" s="65">
        <v>4.5999999999999996</v>
      </c>
      <c r="AS931" s="65"/>
      <c r="AT931" s="65"/>
      <c r="AU931" s="65"/>
      <c r="AV931" s="65"/>
      <c r="AW931" s="65"/>
      <c r="AX931" s="65"/>
      <c r="AY931" s="65"/>
      <c r="AZ931" s="65"/>
      <c r="BA931" s="65"/>
      <c r="BB931" s="65"/>
      <c r="BC931" s="65"/>
      <c r="BD931" s="65"/>
      <c r="BE931" s="65"/>
      <c r="BF931" s="65"/>
      <c r="BG931" s="65"/>
      <c r="BH931" s="65"/>
      <c r="BI931" s="65"/>
      <c r="BJ931" s="65"/>
      <c r="BK931" s="65"/>
      <c r="BL931" s="65"/>
      <c r="BM931" s="65"/>
      <c r="BN931" s="65"/>
      <c r="BO931" s="65"/>
    </row>
    <row r="932" spans="1:67" s="58" customFormat="1" x14ac:dyDescent="0.2">
      <c r="A932" s="49" t="s">
        <v>67</v>
      </c>
      <c r="B932" s="50">
        <v>43200</v>
      </c>
      <c r="C932" s="51">
        <v>0.57638888888888895</v>
      </c>
      <c r="D932" s="49" t="s">
        <v>202</v>
      </c>
      <c r="E932" s="49">
        <v>3</v>
      </c>
      <c r="F932" s="52">
        <v>83</v>
      </c>
      <c r="G932" s="53">
        <v>2</v>
      </c>
      <c r="H932" s="54">
        <v>2.4096385542168676E-2</v>
      </c>
      <c r="I932" s="55">
        <v>6.83E-2</v>
      </c>
      <c r="J932" s="53">
        <v>314.15899999999999</v>
      </c>
      <c r="K932" s="53">
        <v>0.68300000000000005</v>
      </c>
      <c r="L932" s="53">
        <v>10</v>
      </c>
      <c r="M932" s="56">
        <v>229.98462664714492</v>
      </c>
      <c r="N932" s="53">
        <v>1037</v>
      </c>
      <c r="O932" s="57" t="s">
        <v>86</v>
      </c>
      <c r="P932" s="57" t="s">
        <v>82</v>
      </c>
      <c r="Q932" s="53" t="s">
        <v>87</v>
      </c>
      <c r="R932" s="53" t="s">
        <v>84</v>
      </c>
      <c r="S932" s="53"/>
      <c r="T932" s="59">
        <v>10</v>
      </c>
      <c r="U932" s="59">
        <v>10</v>
      </c>
      <c r="V932" s="53">
        <v>3.7</v>
      </c>
      <c r="W932" s="53"/>
      <c r="X932" s="53"/>
      <c r="Y932" s="9">
        <f t="shared" si="14"/>
        <v>2299.8462664714493</v>
      </c>
      <c r="Z932" s="60" t="s">
        <v>73</v>
      </c>
      <c r="AA932" s="58" t="s">
        <v>337</v>
      </c>
      <c r="AB932" s="58" t="s">
        <v>75</v>
      </c>
      <c r="AC932" s="61" t="s">
        <v>281</v>
      </c>
      <c r="AD932" s="53" t="s">
        <v>85</v>
      </c>
      <c r="AE932" s="56">
        <v>7.2382233599999992</v>
      </c>
      <c r="AF932" s="62"/>
      <c r="AG932" s="63"/>
      <c r="AH932" s="61"/>
      <c r="AO932" s="64" t="s">
        <v>78</v>
      </c>
      <c r="AP932" s="65">
        <v>2.4400000000000004</v>
      </c>
      <c r="AQ932" s="65">
        <v>1.9</v>
      </c>
      <c r="AR932" s="65">
        <v>3.7</v>
      </c>
      <c r="AS932" s="65">
        <v>1.9</v>
      </c>
      <c r="AT932" s="65">
        <v>2.8</v>
      </c>
      <c r="AU932" s="65">
        <v>1.9</v>
      </c>
      <c r="AV932" s="65"/>
      <c r="AW932" s="65"/>
      <c r="AX932" s="65"/>
      <c r="AY932" s="65"/>
      <c r="AZ932" s="65"/>
      <c r="BA932" s="65"/>
      <c r="BB932" s="65"/>
      <c r="BC932" s="65"/>
      <c r="BD932" s="65"/>
      <c r="BE932" s="65"/>
      <c r="BF932" s="65"/>
      <c r="BG932" s="65"/>
      <c r="BH932" s="65"/>
      <c r="BI932" s="65"/>
      <c r="BJ932" s="65"/>
      <c r="BK932" s="65"/>
      <c r="BL932" s="65"/>
      <c r="BM932" s="65"/>
      <c r="BN932" s="65"/>
      <c r="BO932" s="65"/>
    </row>
    <row r="933" spans="1:67" s="58" customFormat="1" x14ac:dyDescent="0.2">
      <c r="A933" s="49" t="s">
        <v>67</v>
      </c>
      <c r="B933" s="50">
        <v>43200</v>
      </c>
      <c r="C933" s="51">
        <v>0.57638888888888895</v>
      </c>
      <c r="D933" s="49" t="s">
        <v>202</v>
      </c>
      <c r="E933" s="49">
        <v>3</v>
      </c>
      <c r="F933" s="52">
        <v>83</v>
      </c>
      <c r="G933" s="53">
        <v>2</v>
      </c>
      <c r="H933" s="54">
        <v>2.4096385542168676E-2</v>
      </c>
      <c r="I933" s="55">
        <v>6.83E-2</v>
      </c>
      <c r="J933" s="53">
        <v>314.15899999999999</v>
      </c>
      <c r="K933" s="53">
        <v>0.68300000000000005</v>
      </c>
      <c r="L933" s="53">
        <v>10</v>
      </c>
      <c r="M933" s="56">
        <v>229.98462664714492</v>
      </c>
      <c r="N933" s="53">
        <v>1364</v>
      </c>
      <c r="O933" s="57" t="s">
        <v>88</v>
      </c>
      <c r="P933" s="57" t="s">
        <v>82</v>
      </c>
      <c r="Q933" s="53" t="s">
        <v>89</v>
      </c>
      <c r="R933" s="53" t="s">
        <v>90</v>
      </c>
      <c r="S933" s="53"/>
      <c r="T933" s="59">
        <v>1</v>
      </c>
      <c r="U933" s="59">
        <v>1</v>
      </c>
      <c r="V933" s="53">
        <v>9.3000000000000007</v>
      </c>
      <c r="W933" s="53"/>
      <c r="X933" s="53"/>
      <c r="Y933" s="9">
        <f t="shared" si="14"/>
        <v>229.98462664714492</v>
      </c>
      <c r="Z933" s="60" t="s">
        <v>73</v>
      </c>
      <c r="AA933" s="58" t="s">
        <v>337</v>
      </c>
      <c r="AB933" s="58" t="s">
        <v>75</v>
      </c>
      <c r="AC933" s="61" t="s">
        <v>281</v>
      </c>
      <c r="AD933" s="53" t="s">
        <v>91</v>
      </c>
      <c r="AE933" s="56">
        <v>337.38084788249995</v>
      </c>
      <c r="AF933" s="62"/>
      <c r="AG933" s="63"/>
      <c r="AH933" s="61"/>
      <c r="AO933" s="64" t="s">
        <v>78</v>
      </c>
      <c r="AP933" s="65">
        <v>9.3000000000000007</v>
      </c>
      <c r="AQ933" s="65">
        <v>9.3000000000000007</v>
      </c>
      <c r="AR933" s="65"/>
      <c r="AS933" s="65"/>
      <c r="AT933" s="65"/>
      <c r="AU933" s="65"/>
      <c r="AV933" s="65"/>
      <c r="AW933" s="65"/>
      <c r="AX933" s="65"/>
      <c r="AY933" s="65"/>
      <c r="AZ933" s="65"/>
      <c r="BA933" s="65"/>
      <c r="BB933" s="65"/>
      <c r="BC933" s="65"/>
      <c r="BD933" s="65"/>
      <c r="BE933" s="65"/>
      <c r="BF933" s="65"/>
      <c r="BG933" s="65"/>
      <c r="BH933" s="65"/>
      <c r="BI933" s="65"/>
      <c r="BJ933" s="65"/>
      <c r="BK933" s="65"/>
      <c r="BL933" s="65"/>
      <c r="BM933" s="65"/>
      <c r="BN933" s="65"/>
      <c r="BO933" s="65"/>
    </row>
    <row r="934" spans="1:67" s="58" customFormat="1" x14ac:dyDescent="0.2">
      <c r="A934" s="49"/>
      <c r="B934" s="50"/>
      <c r="C934" s="51"/>
      <c r="D934" s="49"/>
      <c r="E934" s="49"/>
      <c r="F934" s="52"/>
      <c r="G934" s="53"/>
      <c r="H934" s="54"/>
      <c r="I934" s="55"/>
      <c r="J934" s="53"/>
      <c r="K934" s="53"/>
      <c r="L934" s="53"/>
      <c r="M934" s="56"/>
      <c r="N934" s="53"/>
      <c r="O934" s="57"/>
      <c r="P934" s="57"/>
      <c r="Q934" s="53"/>
      <c r="R934" s="53"/>
      <c r="S934" s="53"/>
      <c r="T934" s="59"/>
      <c r="U934" s="59"/>
      <c r="V934" s="53"/>
      <c r="W934" s="53"/>
      <c r="X934" s="53"/>
      <c r="Y934" s="9" t="e">
        <f t="shared" si="14"/>
        <v>#DIV/0!</v>
      </c>
      <c r="Z934" s="60"/>
      <c r="AC934" s="61"/>
      <c r="AD934" s="53"/>
      <c r="AE934" s="56"/>
      <c r="AF934" s="62"/>
      <c r="AG934" s="63"/>
      <c r="AH934" s="61"/>
      <c r="AO934" s="64" t="s">
        <v>79</v>
      </c>
      <c r="AP934" s="65">
        <v>5.6</v>
      </c>
      <c r="AQ934" s="65">
        <v>5.6</v>
      </c>
      <c r="AR934" s="65"/>
      <c r="AS934" s="65"/>
      <c r="AT934" s="65"/>
      <c r="AU934" s="65"/>
      <c r="AV934" s="65"/>
      <c r="AW934" s="65"/>
      <c r="AX934" s="65"/>
      <c r="AY934" s="65"/>
      <c r="AZ934" s="65"/>
      <c r="BA934" s="65"/>
      <c r="BB934" s="65"/>
      <c r="BC934" s="65"/>
      <c r="BD934" s="65"/>
      <c r="BE934" s="65"/>
      <c r="BF934" s="65"/>
      <c r="BG934" s="65"/>
      <c r="BH934" s="65"/>
      <c r="BI934" s="65"/>
      <c r="BJ934" s="65"/>
      <c r="BK934" s="65"/>
      <c r="BL934" s="65"/>
      <c r="BM934" s="65"/>
      <c r="BN934" s="65"/>
      <c r="BO934" s="65"/>
    </row>
    <row r="935" spans="1:67" s="58" customFormat="1" x14ac:dyDescent="0.2">
      <c r="A935" s="49" t="s">
        <v>67</v>
      </c>
      <c r="B935" s="50">
        <v>43200</v>
      </c>
      <c r="C935" s="51">
        <v>0.57638888888888895</v>
      </c>
      <c r="D935" s="49" t="s">
        <v>202</v>
      </c>
      <c r="E935" s="49">
        <v>3</v>
      </c>
      <c r="F935" s="52">
        <v>83</v>
      </c>
      <c r="G935" s="53">
        <v>2</v>
      </c>
      <c r="H935" s="54">
        <v>2.4096385542168676E-2</v>
      </c>
      <c r="I935" s="55">
        <v>6.83E-2</v>
      </c>
      <c r="J935" s="53">
        <v>314.15899999999999</v>
      </c>
      <c r="K935" s="53">
        <v>0.68300000000000005</v>
      </c>
      <c r="L935" s="53">
        <v>10</v>
      </c>
      <c r="M935" s="56">
        <v>229.98462664714492</v>
      </c>
      <c r="N935" s="53">
        <v>1733</v>
      </c>
      <c r="O935" s="57" t="s">
        <v>92</v>
      </c>
      <c r="P935" s="57" t="s">
        <v>82</v>
      </c>
      <c r="Q935" s="53" t="s">
        <v>89</v>
      </c>
      <c r="R935" s="53" t="s">
        <v>93</v>
      </c>
      <c r="S935" s="53"/>
      <c r="T935" s="59">
        <v>2</v>
      </c>
      <c r="U935" s="59">
        <v>2</v>
      </c>
      <c r="V935" s="53">
        <v>5.6</v>
      </c>
      <c r="W935" s="53"/>
      <c r="X935" s="53"/>
      <c r="Y935" s="9">
        <f t="shared" si="14"/>
        <v>459.96925329428984</v>
      </c>
      <c r="Z935" s="60" t="s">
        <v>73</v>
      </c>
      <c r="AA935" s="58" t="s">
        <v>337</v>
      </c>
      <c r="AB935" s="58" t="s">
        <v>75</v>
      </c>
      <c r="AC935" s="61" t="s">
        <v>281</v>
      </c>
      <c r="AD935" s="53" t="s">
        <v>91</v>
      </c>
      <c r="AE935" s="56">
        <v>59.922687659999987</v>
      </c>
      <c r="AF935" s="62"/>
      <c r="AG935" s="63"/>
      <c r="AH935" s="61"/>
      <c r="AO935" s="64" t="s">
        <v>78</v>
      </c>
      <c r="AP935" s="65">
        <v>5.0999999999999996</v>
      </c>
      <c r="AQ935" s="65">
        <v>4.5999999999999996</v>
      </c>
      <c r="AR935" s="65">
        <v>5.6</v>
      </c>
      <c r="AS935" s="65"/>
      <c r="AT935" s="65"/>
      <c r="AU935" s="65"/>
      <c r="AV935" s="65"/>
      <c r="AW935" s="65"/>
      <c r="AX935" s="65"/>
      <c r="AY935" s="65"/>
      <c r="AZ935" s="65"/>
      <c r="BA935" s="65"/>
      <c r="BB935" s="65"/>
      <c r="BC935" s="65"/>
      <c r="BD935" s="65"/>
      <c r="BE935" s="65"/>
      <c r="BF935" s="65"/>
      <c r="BG935" s="65"/>
      <c r="BH935" s="65"/>
      <c r="BI935" s="65"/>
      <c r="BJ935" s="65"/>
      <c r="BK935" s="65"/>
      <c r="BL935" s="65"/>
      <c r="BM935" s="65"/>
      <c r="BN935" s="65"/>
      <c r="BO935" s="65"/>
    </row>
    <row r="936" spans="1:67" s="58" customFormat="1" x14ac:dyDescent="0.2">
      <c r="A936" s="49"/>
      <c r="B936" s="50"/>
      <c r="C936" s="51"/>
      <c r="D936" s="49"/>
      <c r="E936" s="49"/>
      <c r="F936" s="52"/>
      <c r="G936" s="53"/>
      <c r="H936" s="54"/>
      <c r="I936" s="55"/>
      <c r="J936" s="53"/>
      <c r="K936" s="53"/>
      <c r="L936" s="53"/>
      <c r="M936" s="56"/>
      <c r="N936" s="53"/>
      <c r="O936" s="57"/>
      <c r="P936" s="57"/>
      <c r="Q936" s="53"/>
      <c r="R936" s="53"/>
      <c r="S936" s="53"/>
      <c r="T936" s="59"/>
      <c r="U936" s="59"/>
      <c r="V936" s="53"/>
      <c r="W936" s="53"/>
      <c r="X936" s="53"/>
      <c r="Y936" s="9" t="e">
        <f t="shared" si="14"/>
        <v>#DIV/0!</v>
      </c>
      <c r="Z936" s="60"/>
      <c r="AC936" s="61"/>
      <c r="AD936" s="53"/>
      <c r="AE936" s="56"/>
      <c r="AF936" s="62"/>
      <c r="AG936" s="63"/>
      <c r="AH936" s="61"/>
      <c r="AO936" s="64" t="s">
        <v>79</v>
      </c>
      <c r="AP936" s="65">
        <v>3.7</v>
      </c>
      <c r="AQ936" s="65">
        <v>3.7</v>
      </c>
      <c r="AR936" s="65">
        <v>3.7</v>
      </c>
      <c r="AS936" s="65"/>
      <c r="AT936" s="65"/>
      <c r="AU936" s="65"/>
      <c r="AV936" s="65"/>
      <c r="AW936" s="65"/>
      <c r="AX936" s="65"/>
      <c r="AY936" s="65"/>
      <c r="AZ936" s="65"/>
      <c r="BA936" s="65"/>
      <c r="BB936" s="65"/>
      <c r="BC936" s="65"/>
      <c r="BD936" s="65"/>
      <c r="BE936" s="65"/>
      <c r="BF936" s="65"/>
      <c r="BG936" s="65"/>
      <c r="BH936" s="65"/>
      <c r="BI936" s="65"/>
      <c r="BJ936" s="65"/>
      <c r="BK936" s="65"/>
      <c r="BL936" s="65"/>
      <c r="BM936" s="65"/>
      <c r="BN936" s="65"/>
      <c r="BO936" s="65"/>
    </row>
    <row r="937" spans="1:67" s="58" customFormat="1" x14ac:dyDescent="0.2">
      <c r="A937" s="49" t="s">
        <v>67</v>
      </c>
      <c r="B937" s="50">
        <v>43200</v>
      </c>
      <c r="C937" s="51">
        <v>0.57638888888888895</v>
      </c>
      <c r="D937" s="49" t="s">
        <v>202</v>
      </c>
      <c r="E937" s="49">
        <v>3</v>
      </c>
      <c r="F937" s="52">
        <v>83</v>
      </c>
      <c r="G937" s="53">
        <v>2</v>
      </c>
      <c r="H937" s="54">
        <v>2.4096385542168676E-2</v>
      </c>
      <c r="I937" s="55">
        <v>6.83E-2</v>
      </c>
      <c r="J937" s="53">
        <v>314.15899999999999</v>
      </c>
      <c r="K937" s="53">
        <v>0.68300000000000005</v>
      </c>
      <c r="L937" s="53">
        <v>10</v>
      </c>
      <c r="M937" s="56">
        <v>229.98462664714492</v>
      </c>
      <c r="N937" s="53">
        <v>1419</v>
      </c>
      <c r="O937" s="57" t="s">
        <v>94</v>
      </c>
      <c r="P937" s="57" t="s">
        <v>82</v>
      </c>
      <c r="Q937" s="53" t="s">
        <v>95</v>
      </c>
      <c r="R937" s="53" t="s">
        <v>96</v>
      </c>
      <c r="S937" s="53"/>
      <c r="T937" s="59">
        <v>426</v>
      </c>
      <c r="U937" s="59">
        <v>854</v>
      </c>
      <c r="V937" s="53">
        <v>0.8</v>
      </c>
      <c r="W937" s="53">
        <v>0.8</v>
      </c>
      <c r="X937" s="53">
        <v>0.8</v>
      </c>
      <c r="Y937" s="9">
        <f t="shared" si="14"/>
        <v>97973.450951683742</v>
      </c>
      <c r="Z937" s="60" t="s">
        <v>97</v>
      </c>
      <c r="AA937" s="58" t="s">
        <v>337</v>
      </c>
      <c r="AB937" s="58" t="s">
        <v>75</v>
      </c>
      <c r="AC937" s="61" t="s">
        <v>281</v>
      </c>
      <c r="AD937" s="53" t="s">
        <v>85</v>
      </c>
      <c r="AE937" s="56">
        <v>0.18</v>
      </c>
      <c r="AF937" s="56">
        <v>0.18</v>
      </c>
      <c r="AG937" s="56">
        <v>0.18</v>
      </c>
      <c r="AH937" s="56">
        <v>0.18</v>
      </c>
      <c r="AI937" s="56">
        <v>0.18</v>
      </c>
      <c r="AJ937" s="56">
        <v>0.18</v>
      </c>
      <c r="AK937" s="56">
        <v>0.18</v>
      </c>
      <c r="AL937" s="56">
        <v>0.18</v>
      </c>
      <c r="AM937" s="56">
        <v>0.18</v>
      </c>
      <c r="AN937" s="56">
        <v>0.18</v>
      </c>
      <c r="AO937" s="66" t="s">
        <v>78</v>
      </c>
      <c r="AP937" s="65">
        <v>0.75200000000000033</v>
      </c>
      <c r="AQ937" s="65">
        <v>0.7</v>
      </c>
      <c r="AR937" s="65">
        <v>0.7</v>
      </c>
      <c r="AS937" s="65">
        <v>0.7</v>
      </c>
      <c r="AT937" s="65">
        <v>0.7</v>
      </c>
      <c r="AU937" s="65">
        <v>0.7</v>
      </c>
      <c r="AV937" s="65">
        <v>0.7</v>
      </c>
      <c r="AW937" s="65">
        <v>0.7</v>
      </c>
      <c r="AX937" s="65">
        <v>0.7</v>
      </c>
      <c r="AY937" s="65">
        <v>0.7</v>
      </c>
      <c r="AZ937" s="65">
        <v>0.7</v>
      </c>
      <c r="BA937" s="65">
        <v>0.7</v>
      </c>
      <c r="BB937" s="65">
        <v>0.7</v>
      </c>
      <c r="BC937" s="65">
        <v>0.8</v>
      </c>
      <c r="BD937" s="65">
        <v>0.8</v>
      </c>
      <c r="BE937" s="65">
        <v>0.8</v>
      </c>
      <c r="BF937" s="65">
        <v>0.8</v>
      </c>
      <c r="BG937" s="65">
        <v>0.8</v>
      </c>
      <c r="BH937" s="65">
        <v>0.8</v>
      </c>
      <c r="BI937" s="65">
        <v>0.8</v>
      </c>
      <c r="BJ937" s="65">
        <v>0.8</v>
      </c>
      <c r="BK937" s="65">
        <v>0.8</v>
      </c>
      <c r="BL937" s="65">
        <v>0.8</v>
      </c>
      <c r="BM937" s="65">
        <v>0.8</v>
      </c>
      <c r="BN937" s="65">
        <v>0.8</v>
      </c>
      <c r="BO937" s="65">
        <v>0.8</v>
      </c>
    </row>
    <row r="938" spans="1:67" s="58" customFormat="1" x14ac:dyDescent="0.2">
      <c r="A938" s="49" t="s">
        <v>67</v>
      </c>
      <c r="B938" s="50">
        <v>43228</v>
      </c>
      <c r="C938" s="51">
        <v>0.55763888888888902</v>
      </c>
      <c r="D938" s="49" t="s">
        <v>113</v>
      </c>
      <c r="E938" s="49"/>
      <c r="F938" s="52">
        <v>63.5</v>
      </c>
      <c r="G938" s="53">
        <v>2</v>
      </c>
      <c r="H938" s="54">
        <v>3.1496062992125984E-2</v>
      </c>
      <c r="I938" s="55">
        <v>6.83E-2</v>
      </c>
      <c r="J938" s="53">
        <v>314.15899999999999</v>
      </c>
      <c r="K938" s="53">
        <v>0.68300000000000005</v>
      </c>
      <c r="L938" s="53">
        <v>10</v>
      </c>
      <c r="M938" s="56">
        <v>229.98462664714492</v>
      </c>
      <c r="N938" s="53">
        <v>145</v>
      </c>
      <c r="O938" s="57" t="s">
        <v>69</v>
      </c>
      <c r="P938" s="58" t="s">
        <v>70</v>
      </c>
      <c r="Q938" s="53" t="s">
        <v>71</v>
      </c>
      <c r="R938" s="53" t="s">
        <v>72</v>
      </c>
      <c r="S938" s="53"/>
      <c r="T938" s="59">
        <v>1</v>
      </c>
      <c r="U938" s="59">
        <v>1</v>
      </c>
      <c r="V938" s="53">
        <v>18.5</v>
      </c>
      <c r="W938" s="53"/>
      <c r="X938" s="53"/>
      <c r="Y938" s="9">
        <f t="shared" si="14"/>
        <v>229.98462664714492</v>
      </c>
      <c r="Z938" s="60" t="s">
        <v>73</v>
      </c>
      <c r="AA938" s="58" t="s">
        <v>341</v>
      </c>
      <c r="AB938" s="58" t="s">
        <v>75</v>
      </c>
      <c r="AC938" s="61" t="s">
        <v>76</v>
      </c>
      <c r="AD938" s="53" t="s">
        <v>77</v>
      </c>
      <c r="AE938" s="56">
        <v>499.97226753750004</v>
      </c>
      <c r="AF938" s="62"/>
      <c r="AG938" s="63"/>
      <c r="AH938" s="61"/>
      <c r="AO938" s="64" t="s">
        <v>78</v>
      </c>
      <c r="AP938" s="65">
        <v>18.5</v>
      </c>
      <c r="AQ938" s="72">
        <v>18.5</v>
      </c>
      <c r="AR938" s="65"/>
      <c r="AS938" s="65"/>
      <c r="AT938" s="65"/>
      <c r="AU938" s="65"/>
      <c r="AV938" s="65"/>
      <c r="AW938" s="65"/>
      <c r="AX938" s="65"/>
      <c r="AY938" s="65"/>
      <c r="AZ938" s="65"/>
      <c r="BA938" s="65"/>
      <c r="BB938" s="65"/>
      <c r="BC938" s="65"/>
      <c r="BD938" s="65"/>
      <c r="BE938" s="65"/>
      <c r="BF938" s="65"/>
      <c r="BG938" s="65"/>
      <c r="BH938" s="65"/>
      <c r="BI938" s="65"/>
      <c r="BJ938" s="65"/>
      <c r="BK938" s="65"/>
      <c r="BL938" s="65"/>
      <c r="BM938" s="65"/>
      <c r="BN938" s="65"/>
      <c r="BO938" s="65"/>
    </row>
    <row r="939" spans="1:67" s="58" customFormat="1" x14ac:dyDescent="0.2">
      <c r="A939" s="49"/>
      <c r="B939" s="50"/>
      <c r="C939" s="51"/>
      <c r="D939" s="49"/>
      <c r="E939" s="49"/>
      <c r="F939" s="52"/>
      <c r="G939" s="53"/>
      <c r="H939" s="54"/>
      <c r="I939" s="55"/>
      <c r="J939" s="53"/>
      <c r="K939" s="53"/>
      <c r="L939" s="53"/>
      <c r="M939" s="56"/>
      <c r="N939" s="53"/>
      <c r="O939" s="57"/>
      <c r="Q939" s="53"/>
      <c r="R939" s="53"/>
      <c r="S939" s="53"/>
      <c r="T939" s="59"/>
      <c r="U939" s="59"/>
      <c r="V939" s="53"/>
      <c r="W939" s="53"/>
      <c r="X939" s="53"/>
      <c r="Y939" s="9" t="e">
        <f t="shared" si="14"/>
        <v>#DIV/0!</v>
      </c>
      <c r="Z939" s="60"/>
      <c r="AC939" s="61"/>
      <c r="AD939" s="53"/>
      <c r="AE939" s="56"/>
      <c r="AF939" s="62"/>
      <c r="AG939" s="63"/>
      <c r="AH939" s="61"/>
      <c r="AO939" s="64" t="s">
        <v>79</v>
      </c>
      <c r="AP939" s="65">
        <v>9.3000000000000007</v>
      </c>
      <c r="AQ939" s="72">
        <v>9.3000000000000007</v>
      </c>
      <c r="AR939" s="65"/>
      <c r="AS939" s="65"/>
      <c r="AT939" s="65"/>
      <c r="AU939" s="65"/>
      <c r="AV939" s="65"/>
      <c r="AW939" s="65"/>
      <c r="AX939" s="65"/>
      <c r="AY939" s="65"/>
      <c r="AZ939" s="65"/>
      <c r="BA939" s="65"/>
      <c r="BB939" s="65"/>
      <c r="BC939" s="65"/>
      <c r="BD939" s="65"/>
      <c r="BE939" s="65"/>
      <c r="BF939" s="65"/>
      <c r="BG939" s="65"/>
      <c r="BH939" s="65"/>
      <c r="BI939" s="65"/>
      <c r="BJ939" s="65"/>
      <c r="BK939" s="65"/>
      <c r="BL939" s="65"/>
      <c r="BM939" s="65"/>
      <c r="BN939" s="65"/>
      <c r="BO939" s="65"/>
    </row>
    <row r="940" spans="1:67" s="58" customFormat="1" x14ac:dyDescent="0.2">
      <c r="A940" s="49"/>
      <c r="B940" s="50"/>
      <c r="C940" s="51"/>
      <c r="D940" s="49"/>
      <c r="E940" s="49"/>
      <c r="F940" s="52"/>
      <c r="G940" s="53"/>
      <c r="H940" s="54"/>
      <c r="I940" s="55"/>
      <c r="J940" s="53"/>
      <c r="K940" s="53"/>
      <c r="L940" s="53"/>
      <c r="M940" s="56"/>
      <c r="N940" s="53"/>
      <c r="O940" s="57"/>
      <c r="Q940" s="53"/>
      <c r="R940" s="53"/>
      <c r="S940" s="53"/>
      <c r="T940" s="59"/>
      <c r="U940" s="59"/>
      <c r="V940" s="53"/>
      <c r="W940" s="53"/>
      <c r="X940" s="53"/>
      <c r="Y940" s="9" t="e">
        <f t="shared" si="14"/>
        <v>#DIV/0!</v>
      </c>
      <c r="Z940" s="60"/>
      <c r="AC940" s="61"/>
      <c r="AD940" s="53"/>
      <c r="AE940" s="56"/>
      <c r="AF940" s="62"/>
      <c r="AG940" s="63"/>
      <c r="AH940" s="61"/>
      <c r="AO940" s="64" t="s">
        <v>80</v>
      </c>
      <c r="AP940" s="65">
        <v>3.7</v>
      </c>
      <c r="AQ940" s="72">
        <v>3.7</v>
      </c>
      <c r="AR940" s="65"/>
      <c r="AS940" s="65"/>
      <c r="AT940" s="65"/>
      <c r="AU940" s="65"/>
      <c r="AV940" s="65"/>
      <c r="AW940" s="65"/>
      <c r="AX940" s="65"/>
      <c r="AY940" s="65"/>
      <c r="AZ940" s="65"/>
      <c r="BA940" s="65"/>
      <c r="BB940" s="65"/>
      <c r="BC940" s="65"/>
      <c r="BD940" s="65"/>
      <c r="BE940" s="65"/>
      <c r="BF940" s="65"/>
      <c r="BG940" s="65"/>
      <c r="BH940" s="65"/>
      <c r="BI940" s="65"/>
      <c r="BJ940" s="65"/>
      <c r="BK940" s="65"/>
      <c r="BL940" s="65"/>
      <c r="BM940" s="65"/>
      <c r="BN940" s="65"/>
      <c r="BO940" s="65"/>
    </row>
    <row r="941" spans="1:67" s="58" customFormat="1" x14ac:dyDescent="0.2">
      <c r="A941" s="49" t="s">
        <v>67</v>
      </c>
      <c r="B941" s="50">
        <v>43228</v>
      </c>
      <c r="C941" s="51">
        <v>0.55763888888888902</v>
      </c>
      <c r="D941" s="49" t="s">
        <v>113</v>
      </c>
      <c r="E941" s="49"/>
      <c r="F941" s="52">
        <v>63.5</v>
      </c>
      <c r="G941" s="53">
        <v>2</v>
      </c>
      <c r="H941" s="54">
        <v>3.1496062992125984E-2</v>
      </c>
      <c r="I941" s="55">
        <v>6.83E-2</v>
      </c>
      <c r="J941" s="53">
        <v>314.15899999999999</v>
      </c>
      <c r="K941" s="53">
        <v>0.68300000000000005</v>
      </c>
      <c r="L941" s="53">
        <v>10</v>
      </c>
      <c r="M941" s="56">
        <v>229.98462664714492</v>
      </c>
      <c r="N941" s="53">
        <v>190</v>
      </c>
      <c r="O941" s="57" t="s">
        <v>102</v>
      </c>
      <c r="P941" s="58" t="s">
        <v>70</v>
      </c>
      <c r="Q941" s="53" t="s">
        <v>103</v>
      </c>
      <c r="R941" s="53" t="s">
        <v>84</v>
      </c>
      <c r="S941" s="53"/>
      <c r="T941" s="59">
        <v>1</v>
      </c>
      <c r="U941" s="59">
        <v>1</v>
      </c>
      <c r="V941" s="53">
        <v>9.3000000000000007</v>
      </c>
      <c r="W941" s="53"/>
      <c r="X941" s="53"/>
      <c r="Y941" s="9">
        <f t="shared" si="14"/>
        <v>229.98462664714492</v>
      </c>
      <c r="Z941" s="60" t="s">
        <v>73</v>
      </c>
      <c r="AA941" s="58" t="s">
        <v>341</v>
      </c>
      <c r="AB941" s="58" t="s">
        <v>75</v>
      </c>
      <c r="AC941" s="61" t="s">
        <v>76</v>
      </c>
      <c r="AD941" s="53" t="s">
        <v>104</v>
      </c>
      <c r="AE941" s="56">
        <v>380.40256674</v>
      </c>
      <c r="AF941" s="62"/>
      <c r="AG941" s="63"/>
      <c r="AH941" s="61"/>
      <c r="AO941" s="64" t="s">
        <v>78</v>
      </c>
      <c r="AP941" s="65">
        <v>5.6</v>
      </c>
      <c r="AQ941" s="73">
        <v>5.6</v>
      </c>
      <c r="AR941" s="65"/>
      <c r="AS941" s="65"/>
      <c r="AT941" s="65"/>
      <c r="AU941" s="65"/>
      <c r="AV941" s="65"/>
      <c r="AW941" s="65"/>
      <c r="AX941" s="65"/>
      <c r="AY941" s="65"/>
      <c r="AZ941" s="65"/>
      <c r="BA941" s="65"/>
      <c r="BB941" s="65"/>
      <c r="BC941" s="65"/>
      <c r="BD941" s="65"/>
      <c r="BE941" s="65"/>
      <c r="BF941" s="65"/>
      <c r="BG941" s="65"/>
      <c r="BH941" s="65"/>
      <c r="BI941" s="65"/>
      <c r="BJ941" s="65"/>
      <c r="BK941" s="65"/>
      <c r="BL941" s="65"/>
      <c r="BM941" s="65"/>
      <c r="BN941" s="65"/>
      <c r="BO941" s="65"/>
    </row>
    <row r="942" spans="1:67" s="58" customFormat="1" x14ac:dyDescent="0.2">
      <c r="A942" s="49"/>
      <c r="B942" s="50"/>
      <c r="C942" s="51"/>
      <c r="D942" s="49"/>
      <c r="E942" s="49"/>
      <c r="F942" s="52"/>
      <c r="G942" s="53"/>
      <c r="H942" s="54"/>
      <c r="I942" s="55"/>
      <c r="J942" s="53"/>
      <c r="K942" s="53"/>
      <c r="L942" s="53"/>
      <c r="M942" s="56"/>
      <c r="N942" s="53"/>
      <c r="O942" s="57"/>
      <c r="Q942" s="53"/>
      <c r="R942" s="53"/>
      <c r="S942" s="53"/>
      <c r="T942" s="59"/>
      <c r="U942" s="59"/>
      <c r="V942" s="53"/>
      <c r="W942" s="53"/>
      <c r="X942" s="53"/>
      <c r="Y942" s="9" t="e">
        <f t="shared" si="14"/>
        <v>#DIV/0!</v>
      </c>
      <c r="Z942" s="60"/>
      <c r="AC942" s="61"/>
      <c r="AD942" s="53"/>
      <c r="AE942" s="56"/>
      <c r="AF942" s="62"/>
      <c r="AG942" s="63"/>
      <c r="AH942" s="61"/>
      <c r="AO942" s="64" t="s">
        <v>79</v>
      </c>
      <c r="AP942" s="65">
        <v>9.3000000000000007</v>
      </c>
      <c r="AQ942" s="73">
        <v>9.3000000000000007</v>
      </c>
      <c r="AR942" s="65"/>
      <c r="AS942" s="65"/>
      <c r="AT942" s="65"/>
      <c r="AU942" s="65"/>
      <c r="AV942" s="65"/>
      <c r="AW942" s="65"/>
      <c r="AX942" s="65"/>
      <c r="AY942" s="65"/>
      <c r="AZ942" s="65"/>
      <c r="BA942" s="65"/>
      <c r="BB942" s="65"/>
      <c r="BC942" s="65"/>
      <c r="BD942" s="65"/>
      <c r="BE942" s="65"/>
      <c r="BF942" s="65"/>
      <c r="BG942" s="65"/>
      <c r="BH942" s="65"/>
      <c r="BI942" s="65"/>
      <c r="BJ942" s="65"/>
      <c r="BK942" s="65"/>
      <c r="BL942" s="65"/>
      <c r="BM942" s="65"/>
      <c r="BN942" s="65"/>
      <c r="BO942" s="65"/>
    </row>
    <row r="943" spans="1:67" s="58" customFormat="1" ht="12.6" customHeight="1" x14ac:dyDescent="0.2">
      <c r="A943" s="49" t="s">
        <v>67</v>
      </c>
      <c r="B943" s="50">
        <v>43228</v>
      </c>
      <c r="C943" s="51">
        <v>0.55763888888888902</v>
      </c>
      <c r="D943" s="49" t="s">
        <v>113</v>
      </c>
      <c r="E943" s="49"/>
      <c r="F943" s="52">
        <v>63.5</v>
      </c>
      <c r="G943" s="53">
        <v>2</v>
      </c>
      <c r="H943" s="54">
        <v>3.1496062992125984E-2</v>
      </c>
      <c r="I943" s="55">
        <v>6.83E-2</v>
      </c>
      <c r="J943" s="53">
        <v>314.15899999999999</v>
      </c>
      <c r="K943" s="53">
        <v>0.68300000000000005</v>
      </c>
      <c r="L943" s="53">
        <v>10</v>
      </c>
      <c r="M943" s="56">
        <v>229.98462664714492</v>
      </c>
      <c r="N943" s="53">
        <v>631</v>
      </c>
      <c r="O943" s="57" t="s">
        <v>146</v>
      </c>
      <c r="P943" s="58" t="s">
        <v>70</v>
      </c>
      <c r="Q943" s="53" t="s">
        <v>147</v>
      </c>
      <c r="R943" s="53" t="s">
        <v>84</v>
      </c>
      <c r="S943" s="53"/>
      <c r="T943" s="59">
        <v>1</v>
      </c>
      <c r="U943" s="59">
        <v>1</v>
      </c>
      <c r="V943" s="53">
        <v>16.7</v>
      </c>
      <c r="W943" s="53"/>
      <c r="X943" s="53"/>
      <c r="Y943" s="9">
        <f t="shared" si="14"/>
        <v>229.98462664714492</v>
      </c>
      <c r="Z943" s="60" t="s">
        <v>73</v>
      </c>
      <c r="AA943" s="58" t="s">
        <v>341</v>
      </c>
      <c r="AB943" s="58" t="s">
        <v>75</v>
      </c>
      <c r="AC943" s="61" t="s">
        <v>76</v>
      </c>
      <c r="AD943" s="53" t="s">
        <v>77</v>
      </c>
      <c r="AE943" s="56">
        <v>223.23667301499998</v>
      </c>
      <c r="AF943" s="62"/>
      <c r="AG943" s="63"/>
      <c r="AH943" s="61"/>
      <c r="AO943" s="64" t="s">
        <v>78</v>
      </c>
      <c r="AP943" s="65">
        <v>16.7</v>
      </c>
      <c r="AQ943" s="72">
        <v>16.7</v>
      </c>
      <c r="AR943" s="65"/>
      <c r="AS943" s="65"/>
      <c r="AT943" s="65"/>
      <c r="AU943" s="65"/>
      <c r="AV943" s="65"/>
      <c r="AW943" s="65"/>
      <c r="AX943" s="65"/>
      <c r="AY943" s="65"/>
      <c r="AZ943" s="65"/>
      <c r="BA943" s="65"/>
      <c r="BB943" s="65"/>
      <c r="BC943" s="65"/>
      <c r="BD943" s="65"/>
      <c r="BE943" s="65"/>
      <c r="BF943" s="65"/>
      <c r="BG943" s="65"/>
      <c r="BH943" s="65"/>
      <c r="BI943" s="65"/>
      <c r="BJ943" s="65"/>
      <c r="BK943" s="65"/>
      <c r="BL943" s="65"/>
      <c r="BM943" s="65"/>
      <c r="BN943" s="65"/>
      <c r="BO943" s="65"/>
    </row>
    <row r="944" spans="1:67" s="58" customFormat="1" ht="12.6" customHeight="1" x14ac:dyDescent="0.2">
      <c r="A944" s="49"/>
      <c r="B944" s="50"/>
      <c r="C944" s="51"/>
      <c r="D944" s="49"/>
      <c r="E944" s="49"/>
      <c r="F944" s="52"/>
      <c r="G944" s="53"/>
      <c r="H944" s="54"/>
      <c r="I944" s="55"/>
      <c r="J944" s="53"/>
      <c r="K944" s="53"/>
      <c r="L944" s="53"/>
      <c r="M944" s="56"/>
      <c r="N944" s="53"/>
      <c r="O944" s="57"/>
      <c r="Q944" s="53"/>
      <c r="R944" s="53"/>
      <c r="S944" s="53"/>
      <c r="T944" s="59"/>
      <c r="U944" s="59"/>
      <c r="V944" s="53"/>
      <c r="W944" s="53"/>
      <c r="X944" s="53"/>
      <c r="Y944" s="9" t="e">
        <f t="shared" si="14"/>
        <v>#DIV/0!</v>
      </c>
      <c r="Z944" s="60"/>
      <c r="AC944" s="61"/>
      <c r="AD944" s="53"/>
      <c r="AE944" s="56"/>
      <c r="AF944" s="62"/>
      <c r="AG944" s="63"/>
      <c r="AH944" s="61"/>
      <c r="AO944" s="64" t="s">
        <v>79</v>
      </c>
      <c r="AP944" s="65">
        <v>4.5999999999999996</v>
      </c>
      <c r="AQ944" s="72">
        <v>4.5999999999999996</v>
      </c>
      <c r="AR944" s="65"/>
      <c r="AS944" s="65"/>
      <c r="AT944" s="65"/>
      <c r="AU944" s="65"/>
      <c r="AV944" s="65"/>
      <c r="AW944" s="65"/>
      <c r="AX944" s="65"/>
      <c r="AY944" s="65"/>
      <c r="AZ944" s="65"/>
      <c r="BA944" s="65"/>
      <c r="BB944" s="65"/>
      <c r="BC944" s="65"/>
      <c r="BD944" s="65"/>
      <c r="BE944" s="65"/>
      <c r="BF944" s="65"/>
      <c r="BG944" s="65"/>
      <c r="BH944" s="65"/>
      <c r="BI944" s="65"/>
      <c r="BJ944" s="65"/>
      <c r="BK944" s="65"/>
      <c r="BL944" s="65"/>
      <c r="BM944" s="65"/>
      <c r="BN944" s="65"/>
      <c r="BO944" s="65"/>
    </row>
    <row r="945" spans="1:67" s="58" customFormat="1" ht="12.6" customHeight="1" x14ac:dyDescent="0.2">
      <c r="A945" s="49"/>
      <c r="B945" s="50"/>
      <c r="C945" s="51"/>
      <c r="D945" s="49"/>
      <c r="E945" s="49"/>
      <c r="F945" s="52"/>
      <c r="G945" s="53"/>
      <c r="H945" s="54"/>
      <c r="I945" s="55"/>
      <c r="J945" s="53"/>
      <c r="K945" s="53"/>
      <c r="L945" s="53"/>
      <c r="M945" s="56"/>
      <c r="N945" s="53"/>
      <c r="O945" s="57"/>
      <c r="Q945" s="53"/>
      <c r="R945" s="53"/>
      <c r="S945" s="53"/>
      <c r="T945" s="59"/>
      <c r="U945" s="59"/>
      <c r="V945" s="53"/>
      <c r="W945" s="53"/>
      <c r="X945" s="53"/>
      <c r="Y945" s="9" t="e">
        <f t="shared" si="14"/>
        <v>#DIV/0!</v>
      </c>
      <c r="Z945" s="60"/>
      <c r="AC945" s="61"/>
      <c r="AD945" s="53"/>
      <c r="AE945" s="56"/>
      <c r="AF945" s="62"/>
      <c r="AG945" s="63"/>
      <c r="AH945" s="61"/>
      <c r="AO945" s="64" t="s">
        <v>80</v>
      </c>
      <c r="AP945" s="65">
        <v>3.7</v>
      </c>
      <c r="AQ945" s="72">
        <v>3.7</v>
      </c>
      <c r="AR945" s="65"/>
      <c r="AS945" s="65"/>
      <c r="AT945" s="65"/>
      <c r="AU945" s="65"/>
      <c r="AV945" s="65"/>
      <c r="AW945" s="65"/>
      <c r="AX945" s="65"/>
      <c r="AY945" s="65"/>
      <c r="AZ945" s="65"/>
      <c r="BA945" s="65"/>
      <c r="BB945" s="65"/>
      <c r="BC945" s="65"/>
      <c r="BD945" s="65"/>
      <c r="BE945" s="65"/>
      <c r="BF945" s="65"/>
      <c r="BG945" s="65"/>
      <c r="BH945" s="65"/>
      <c r="BI945" s="65"/>
      <c r="BJ945" s="65"/>
      <c r="BK945" s="65"/>
      <c r="BL945" s="65"/>
      <c r="BM945" s="65"/>
      <c r="BN945" s="65"/>
      <c r="BO945" s="65"/>
    </row>
    <row r="946" spans="1:67" s="58" customFormat="1" x14ac:dyDescent="0.2">
      <c r="A946" s="49" t="s">
        <v>67</v>
      </c>
      <c r="B946" s="50">
        <v>43228</v>
      </c>
      <c r="C946" s="51">
        <v>0.55763888888888902</v>
      </c>
      <c r="D946" s="49" t="s">
        <v>113</v>
      </c>
      <c r="E946" s="49"/>
      <c r="F946" s="52">
        <v>63.5</v>
      </c>
      <c r="G946" s="53">
        <v>2</v>
      </c>
      <c r="H946" s="54">
        <v>3.1496062992125984E-2</v>
      </c>
      <c r="I946" s="55">
        <v>6.83E-2</v>
      </c>
      <c r="J946" s="53">
        <v>314.15899999999999</v>
      </c>
      <c r="K946" s="53">
        <v>0.68300000000000005</v>
      </c>
      <c r="L946" s="53">
        <v>10</v>
      </c>
      <c r="M946" s="56">
        <v>229.98462664714492</v>
      </c>
      <c r="N946" s="53">
        <v>1037</v>
      </c>
      <c r="O946" s="57" t="s">
        <v>86</v>
      </c>
      <c r="P946" s="57" t="s">
        <v>82</v>
      </c>
      <c r="Q946" s="53" t="s">
        <v>87</v>
      </c>
      <c r="R946" s="53" t="s">
        <v>84</v>
      </c>
      <c r="S946" s="53"/>
      <c r="T946" s="59">
        <v>18</v>
      </c>
      <c r="U946" s="59">
        <v>18</v>
      </c>
      <c r="V946" s="53">
        <v>2.8</v>
      </c>
      <c r="W946" s="53"/>
      <c r="X946" s="53"/>
      <c r="Y946" s="9">
        <f t="shared" si="14"/>
        <v>4139.7232796486087</v>
      </c>
      <c r="Z946" s="60" t="s">
        <v>73</v>
      </c>
      <c r="AA946" s="58" t="s">
        <v>341</v>
      </c>
      <c r="AB946" s="58" t="s">
        <v>75</v>
      </c>
      <c r="AC946" s="61" t="s">
        <v>76</v>
      </c>
      <c r="AD946" s="53" t="s">
        <v>85</v>
      </c>
      <c r="AE946" s="56">
        <v>4.8490441650000005</v>
      </c>
      <c r="AF946" s="62"/>
      <c r="AG946" s="63"/>
      <c r="AH946" s="61"/>
      <c r="AO946" s="64" t="s">
        <v>78</v>
      </c>
      <c r="AP946" s="65">
        <v>2.08</v>
      </c>
      <c r="AQ946" s="73">
        <v>1.9</v>
      </c>
      <c r="AR946" s="65">
        <v>1.9</v>
      </c>
      <c r="AS946" s="65">
        <v>1.9</v>
      </c>
      <c r="AT946" s="65">
        <v>2.8</v>
      </c>
      <c r="AU946" s="65">
        <v>1.9</v>
      </c>
      <c r="AV946" s="65"/>
      <c r="AW946" s="65"/>
      <c r="AX946" s="65"/>
      <c r="AY946" s="65"/>
      <c r="AZ946" s="65"/>
      <c r="BA946" s="65"/>
      <c r="BB946" s="65"/>
      <c r="BC946" s="65"/>
      <c r="BD946" s="65"/>
      <c r="BE946" s="65"/>
      <c r="BF946" s="65"/>
      <c r="BG946" s="65"/>
      <c r="BH946" s="65"/>
      <c r="BI946" s="65"/>
      <c r="BJ946" s="65"/>
      <c r="BK946" s="65"/>
      <c r="BL946" s="65"/>
      <c r="BM946" s="65"/>
      <c r="BN946" s="65"/>
      <c r="BO946" s="65"/>
    </row>
    <row r="947" spans="1:67" s="58" customFormat="1" x14ac:dyDescent="0.2">
      <c r="A947" s="49" t="s">
        <v>67</v>
      </c>
      <c r="B947" s="50">
        <v>43228</v>
      </c>
      <c r="C947" s="51">
        <v>0.55763888888888902</v>
      </c>
      <c r="D947" s="49" t="s">
        <v>113</v>
      </c>
      <c r="E947" s="49"/>
      <c r="F947" s="52">
        <v>63.5</v>
      </c>
      <c r="G947" s="53">
        <v>2</v>
      </c>
      <c r="H947" s="54">
        <v>3.1496062992125984E-2</v>
      </c>
      <c r="I947" s="55">
        <v>6.83E-2</v>
      </c>
      <c r="J947" s="53">
        <v>314.15899999999999</v>
      </c>
      <c r="K947" s="53">
        <v>0.68300000000000005</v>
      </c>
      <c r="L947" s="53">
        <v>10</v>
      </c>
      <c r="M947" s="56">
        <v>229.98462664714492</v>
      </c>
      <c r="N947" s="53">
        <v>1364</v>
      </c>
      <c r="O947" s="57" t="s">
        <v>88</v>
      </c>
      <c r="P947" s="57" t="s">
        <v>82</v>
      </c>
      <c r="Q947" s="53" t="s">
        <v>89</v>
      </c>
      <c r="R947" s="53" t="s">
        <v>90</v>
      </c>
      <c r="S947" s="53"/>
      <c r="T947" s="59">
        <v>1</v>
      </c>
      <c r="U947" s="59">
        <v>1</v>
      </c>
      <c r="V947" s="53">
        <v>11.1</v>
      </c>
      <c r="W947" s="53"/>
      <c r="X947" s="53"/>
      <c r="Y947" s="9">
        <f t="shared" si="14"/>
        <v>229.98462664714492</v>
      </c>
      <c r="Z947" s="60" t="s">
        <v>73</v>
      </c>
      <c r="AA947" s="58" t="s">
        <v>341</v>
      </c>
      <c r="AB947" s="58" t="s">
        <v>75</v>
      </c>
      <c r="AC947" s="61" t="s">
        <v>76</v>
      </c>
      <c r="AD947" s="53" t="s">
        <v>91</v>
      </c>
      <c r="AE947" s="56">
        <v>538.67979792749986</v>
      </c>
      <c r="AF947" s="62"/>
      <c r="AG947" s="63"/>
      <c r="AH947" s="61"/>
      <c r="AO947" s="64" t="s">
        <v>78</v>
      </c>
      <c r="AP947" s="65">
        <v>11.1</v>
      </c>
      <c r="AQ947" s="72">
        <v>11.1</v>
      </c>
      <c r="AR947" s="65"/>
      <c r="AS947" s="65"/>
      <c r="AT947" s="65"/>
      <c r="AU947" s="65"/>
      <c r="AV947" s="65"/>
      <c r="AW947" s="65"/>
      <c r="AX947" s="65"/>
      <c r="AY947" s="65"/>
      <c r="AZ947" s="65"/>
      <c r="BA947" s="65"/>
      <c r="BB947" s="65"/>
      <c r="BC947" s="65"/>
      <c r="BD947" s="65"/>
      <c r="BE947" s="65"/>
      <c r="BF947" s="65"/>
      <c r="BG947" s="65"/>
      <c r="BH947" s="65"/>
      <c r="BI947" s="65"/>
      <c r="BJ947" s="65"/>
      <c r="BK947" s="65"/>
      <c r="BL947" s="65"/>
      <c r="BM947" s="65"/>
      <c r="BN947" s="65"/>
      <c r="BO947" s="65"/>
    </row>
    <row r="948" spans="1:67" s="58" customFormat="1" x14ac:dyDescent="0.2">
      <c r="A948" s="49"/>
      <c r="B948" s="50"/>
      <c r="C948" s="51"/>
      <c r="D948" s="49"/>
      <c r="E948" s="49"/>
      <c r="F948" s="52"/>
      <c r="G948" s="53"/>
      <c r="H948" s="54"/>
      <c r="I948" s="55"/>
      <c r="J948" s="53"/>
      <c r="K948" s="53"/>
      <c r="L948" s="53"/>
      <c r="M948" s="56"/>
      <c r="N948" s="53"/>
      <c r="O948" s="57"/>
      <c r="P948" s="57"/>
      <c r="Q948" s="53"/>
      <c r="R948" s="53"/>
      <c r="S948" s="53"/>
      <c r="T948" s="59"/>
      <c r="U948" s="59"/>
      <c r="V948" s="53"/>
      <c r="W948" s="53"/>
      <c r="X948" s="53"/>
      <c r="Y948" s="9" t="e">
        <f t="shared" si="14"/>
        <v>#DIV/0!</v>
      </c>
      <c r="Z948" s="60"/>
      <c r="AC948" s="61"/>
      <c r="AD948" s="53"/>
      <c r="AE948" s="56"/>
      <c r="AF948" s="62"/>
      <c r="AG948" s="63"/>
      <c r="AH948" s="61"/>
      <c r="AO948" s="64" t="s">
        <v>79</v>
      </c>
      <c r="AP948" s="65">
        <v>5.6</v>
      </c>
      <c r="AQ948" s="72">
        <v>5.6</v>
      </c>
      <c r="AR948" s="65"/>
      <c r="AS948" s="65"/>
      <c r="AT948" s="65"/>
      <c r="AU948" s="65"/>
      <c r="AV948" s="65"/>
      <c r="AW948" s="65"/>
      <c r="AX948" s="65"/>
      <c r="AY948" s="65"/>
      <c r="AZ948" s="65"/>
      <c r="BA948" s="65"/>
      <c r="BB948" s="65"/>
      <c r="BC948" s="65"/>
      <c r="BD948" s="65"/>
      <c r="BE948" s="65"/>
      <c r="BF948" s="65"/>
      <c r="BG948" s="65"/>
      <c r="BH948" s="65"/>
      <c r="BI948" s="65"/>
      <c r="BJ948" s="65"/>
      <c r="BK948" s="65"/>
      <c r="BL948" s="65"/>
      <c r="BM948" s="65"/>
      <c r="BN948" s="65"/>
      <c r="BO948" s="65"/>
    </row>
    <row r="949" spans="1:67" s="58" customFormat="1" x14ac:dyDescent="0.2">
      <c r="A949" s="49" t="s">
        <v>67</v>
      </c>
      <c r="B949" s="50">
        <v>43228</v>
      </c>
      <c r="C949" s="51">
        <v>0.55763888888888902</v>
      </c>
      <c r="D949" s="49" t="s">
        <v>113</v>
      </c>
      <c r="E949" s="49"/>
      <c r="F949" s="52">
        <v>63.5</v>
      </c>
      <c r="G949" s="53">
        <v>2</v>
      </c>
      <c r="H949" s="54">
        <v>3.1496062992125984E-2</v>
      </c>
      <c r="I949" s="55">
        <v>6.83E-2</v>
      </c>
      <c r="J949" s="53">
        <v>314.15899999999999</v>
      </c>
      <c r="K949" s="53">
        <v>0.68300000000000005</v>
      </c>
      <c r="L949" s="53">
        <v>10</v>
      </c>
      <c r="M949" s="56">
        <v>229.98462664714492</v>
      </c>
      <c r="N949" s="53">
        <v>1733</v>
      </c>
      <c r="O949" s="57" t="s">
        <v>92</v>
      </c>
      <c r="P949" s="57" t="s">
        <v>82</v>
      </c>
      <c r="Q949" s="53" t="s">
        <v>89</v>
      </c>
      <c r="R949" s="53" t="s">
        <v>93</v>
      </c>
      <c r="S949" s="53"/>
      <c r="T949" s="59">
        <v>1</v>
      </c>
      <c r="U949" s="59">
        <v>1</v>
      </c>
      <c r="V949" s="53">
        <v>4.5999999999999996</v>
      </c>
      <c r="W949" s="53"/>
      <c r="X949" s="53"/>
      <c r="Y949" s="9">
        <f t="shared" si="14"/>
        <v>229.98462664714492</v>
      </c>
      <c r="Z949" s="60" t="s">
        <v>73</v>
      </c>
      <c r="AA949" s="58" t="s">
        <v>341</v>
      </c>
      <c r="AB949" s="58" t="s">
        <v>75</v>
      </c>
      <c r="AC949" s="61" t="s">
        <v>76</v>
      </c>
      <c r="AD949" s="53" t="s">
        <v>91</v>
      </c>
      <c r="AE949" s="56">
        <v>45.979264043333323</v>
      </c>
      <c r="AF949" s="62"/>
      <c r="AG949" s="63"/>
      <c r="AH949" s="61"/>
      <c r="AO949" s="64" t="s">
        <v>78</v>
      </c>
      <c r="AP949" s="65">
        <v>4.5999999999999996</v>
      </c>
      <c r="AQ949" s="65">
        <v>4.5999999999999996</v>
      </c>
      <c r="AR949" s="65"/>
      <c r="AS949" s="65"/>
      <c r="AT949" s="65"/>
      <c r="AU949" s="65"/>
      <c r="AV949" s="65"/>
      <c r="AW949" s="65"/>
      <c r="AX949" s="65"/>
      <c r="AY949" s="65"/>
      <c r="AZ949" s="65"/>
      <c r="BA949" s="65"/>
      <c r="BB949" s="65"/>
      <c r="BC949" s="65"/>
      <c r="BD949" s="65"/>
      <c r="BE949" s="65"/>
      <c r="BF949" s="65"/>
      <c r="BG949" s="65"/>
      <c r="BH949" s="65"/>
      <c r="BI949" s="65"/>
      <c r="BJ949" s="65"/>
      <c r="BK949" s="65"/>
      <c r="BL949" s="65"/>
      <c r="BM949" s="65"/>
      <c r="BN949" s="65"/>
      <c r="BO949" s="65"/>
    </row>
    <row r="950" spans="1:67" s="58" customFormat="1" x14ac:dyDescent="0.2">
      <c r="A950" s="49"/>
      <c r="B950" s="50"/>
      <c r="C950" s="51"/>
      <c r="D950" s="49"/>
      <c r="E950" s="49"/>
      <c r="F950" s="52"/>
      <c r="G950" s="53"/>
      <c r="H950" s="54"/>
      <c r="I950" s="55"/>
      <c r="J950" s="53"/>
      <c r="K950" s="53"/>
      <c r="L950" s="53"/>
      <c r="M950" s="56"/>
      <c r="N950" s="53"/>
      <c r="O950" s="57"/>
      <c r="P950" s="57"/>
      <c r="Q950" s="53"/>
      <c r="R950" s="53"/>
      <c r="S950" s="53"/>
      <c r="T950" s="59"/>
      <c r="U950" s="59"/>
      <c r="V950" s="53"/>
      <c r="W950" s="53"/>
      <c r="X950" s="53"/>
      <c r="Y950" s="9" t="e">
        <f t="shared" si="14"/>
        <v>#DIV/0!</v>
      </c>
      <c r="Z950" s="60"/>
      <c r="AC950" s="61"/>
      <c r="AD950" s="53"/>
      <c r="AE950" s="56"/>
      <c r="AF950" s="62"/>
      <c r="AG950" s="63"/>
      <c r="AH950" s="61"/>
      <c r="AO950" s="64" t="s">
        <v>79</v>
      </c>
      <c r="AP950" s="65">
        <v>3.7</v>
      </c>
      <c r="AQ950" s="65">
        <v>3.7</v>
      </c>
      <c r="AR950" s="65"/>
      <c r="AS950" s="65"/>
      <c r="AT950" s="65"/>
      <c r="AU950" s="65"/>
      <c r="AV950" s="65"/>
      <c r="AW950" s="65"/>
      <c r="AX950" s="65"/>
      <c r="AY950" s="65"/>
      <c r="AZ950" s="65"/>
      <c r="BA950" s="65"/>
      <c r="BB950" s="65"/>
      <c r="BC950" s="65"/>
      <c r="BD950" s="65"/>
      <c r="BE950" s="65"/>
      <c r="BF950" s="65"/>
      <c r="BG950" s="65"/>
      <c r="BH950" s="65"/>
      <c r="BI950" s="65"/>
      <c r="BJ950" s="65"/>
      <c r="BK950" s="65"/>
      <c r="BL950" s="65"/>
      <c r="BM950" s="65"/>
      <c r="BN950" s="65"/>
      <c r="BO950" s="65"/>
    </row>
    <row r="951" spans="1:67" s="58" customFormat="1" x14ac:dyDescent="0.2">
      <c r="A951" s="49" t="s">
        <v>67</v>
      </c>
      <c r="B951" s="50">
        <v>43228</v>
      </c>
      <c r="C951" s="51">
        <v>0.55763888888888902</v>
      </c>
      <c r="D951" s="49" t="s">
        <v>113</v>
      </c>
      <c r="E951" s="49"/>
      <c r="F951" s="52">
        <v>63.5</v>
      </c>
      <c r="G951" s="53">
        <v>2</v>
      </c>
      <c r="H951" s="54">
        <v>3.1496062992125984E-2</v>
      </c>
      <c r="I951" s="55">
        <v>6.83E-2</v>
      </c>
      <c r="J951" s="53">
        <v>314.15899999999999</v>
      </c>
      <c r="K951" s="53">
        <v>0.68300000000000005</v>
      </c>
      <c r="L951" s="53">
        <v>10</v>
      </c>
      <c r="M951" s="56">
        <v>229.98462664714492</v>
      </c>
      <c r="N951" s="53">
        <v>1419</v>
      </c>
      <c r="O951" s="57" t="s">
        <v>94</v>
      </c>
      <c r="P951" s="57" t="s">
        <v>82</v>
      </c>
      <c r="Q951" s="53" t="s">
        <v>95</v>
      </c>
      <c r="R951" s="53" t="s">
        <v>96</v>
      </c>
      <c r="S951" s="53"/>
      <c r="T951" s="59">
        <v>380</v>
      </c>
      <c r="U951" s="59">
        <v>763</v>
      </c>
      <c r="V951" s="53">
        <v>0.8</v>
      </c>
      <c r="W951" s="53">
        <v>0.8</v>
      </c>
      <c r="X951" s="53">
        <v>0.8</v>
      </c>
      <c r="Y951" s="9">
        <f t="shared" si="14"/>
        <v>87394.15812591507</v>
      </c>
      <c r="Z951" s="60" t="s">
        <v>97</v>
      </c>
      <c r="AA951" s="58" t="s">
        <v>341</v>
      </c>
      <c r="AB951" s="58" t="s">
        <v>75</v>
      </c>
      <c r="AC951" s="61" t="s">
        <v>76</v>
      </c>
      <c r="AD951" s="53" t="s">
        <v>85</v>
      </c>
      <c r="AE951" s="56">
        <v>0.18</v>
      </c>
      <c r="AF951" s="56">
        <v>0.18</v>
      </c>
      <c r="AG951" s="56">
        <v>0.18</v>
      </c>
      <c r="AH951" s="56">
        <v>0.18</v>
      </c>
      <c r="AI951" s="56">
        <v>0.18</v>
      </c>
      <c r="AJ951" s="56">
        <v>0.18</v>
      </c>
      <c r="AK951" s="56">
        <v>0.18</v>
      </c>
      <c r="AL951" s="56">
        <v>0.18</v>
      </c>
      <c r="AM951" s="56">
        <v>0.18</v>
      </c>
      <c r="AN951" s="56">
        <v>0.18</v>
      </c>
      <c r="AO951" s="66" t="s">
        <v>78</v>
      </c>
      <c r="AP951" s="65">
        <v>0.75200000000000033</v>
      </c>
      <c r="AQ951" s="65">
        <v>0.7</v>
      </c>
      <c r="AR951" s="65">
        <v>0.7</v>
      </c>
      <c r="AS951" s="65">
        <v>0.7</v>
      </c>
      <c r="AT951" s="65">
        <v>0.7</v>
      </c>
      <c r="AU951" s="65">
        <v>0.7</v>
      </c>
      <c r="AV951" s="65">
        <v>0.7</v>
      </c>
      <c r="AW951" s="65">
        <v>0.7</v>
      </c>
      <c r="AX951" s="65">
        <v>0.7</v>
      </c>
      <c r="AY951" s="65">
        <v>0.7</v>
      </c>
      <c r="AZ951" s="65">
        <v>0.7</v>
      </c>
      <c r="BA951" s="65">
        <v>0.7</v>
      </c>
      <c r="BB951" s="65">
        <v>0.7</v>
      </c>
      <c r="BC951" s="65">
        <v>0.8</v>
      </c>
      <c r="BD951" s="65">
        <v>0.8</v>
      </c>
      <c r="BE951" s="65">
        <v>0.8</v>
      </c>
      <c r="BF951" s="65">
        <v>0.8</v>
      </c>
      <c r="BG951" s="65">
        <v>0.8</v>
      </c>
      <c r="BH951" s="65">
        <v>0.8</v>
      </c>
      <c r="BI951" s="65">
        <v>0.8</v>
      </c>
      <c r="BJ951" s="65">
        <v>0.8</v>
      </c>
      <c r="BK951" s="65">
        <v>0.8</v>
      </c>
      <c r="BL951" s="65">
        <v>0.8</v>
      </c>
      <c r="BM951" s="65">
        <v>0.8</v>
      </c>
      <c r="BN951" s="65">
        <v>0.8</v>
      </c>
      <c r="BO951" s="65">
        <v>0.8</v>
      </c>
    </row>
    <row r="952" spans="1:67" s="58" customFormat="1" x14ac:dyDescent="0.2">
      <c r="A952" s="49" t="s">
        <v>67</v>
      </c>
      <c r="B952" s="50">
        <v>43228</v>
      </c>
      <c r="C952" s="51">
        <v>0.48125000000000001</v>
      </c>
      <c r="D952" s="49" t="s">
        <v>68</v>
      </c>
      <c r="E952" s="49">
        <v>3</v>
      </c>
      <c r="F952" s="52">
        <v>59.5</v>
      </c>
      <c r="G952" s="53">
        <v>2</v>
      </c>
      <c r="H952" s="54">
        <v>3.3613445378151259E-2</v>
      </c>
      <c r="I952" s="55">
        <v>6.83E-2</v>
      </c>
      <c r="J952" s="53">
        <v>314.15899999999999</v>
      </c>
      <c r="K952" s="53">
        <v>0.75129999999999997</v>
      </c>
      <c r="L952" s="53">
        <v>11</v>
      </c>
      <c r="M952" s="56">
        <v>209.07693331558633</v>
      </c>
      <c r="N952" s="53">
        <v>190</v>
      </c>
      <c r="O952" s="57" t="s">
        <v>102</v>
      </c>
      <c r="P952" s="58" t="s">
        <v>70</v>
      </c>
      <c r="Q952" s="53" t="s">
        <v>103</v>
      </c>
      <c r="R952" s="53" t="s">
        <v>84</v>
      </c>
      <c r="S952" s="53"/>
      <c r="T952" s="59">
        <v>1</v>
      </c>
      <c r="U952" s="59">
        <v>1</v>
      </c>
      <c r="V952" s="53">
        <v>3.7</v>
      </c>
      <c r="W952" s="53"/>
      <c r="X952" s="53"/>
      <c r="Y952" s="9">
        <f t="shared" si="14"/>
        <v>209.07693331558633</v>
      </c>
      <c r="Z952" s="60" t="s">
        <v>73</v>
      </c>
      <c r="AA952" s="58" t="s">
        <v>342</v>
      </c>
      <c r="AB952" s="58" t="s">
        <v>75</v>
      </c>
      <c r="AC952" s="61" t="s">
        <v>221</v>
      </c>
      <c r="AD952" s="53" t="s">
        <v>104</v>
      </c>
      <c r="AE952" s="56">
        <v>30.105856969999998</v>
      </c>
      <c r="AF952" s="62"/>
      <c r="AG952" s="63"/>
      <c r="AH952" s="61"/>
      <c r="AO952" s="64" t="s">
        <v>78</v>
      </c>
      <c r="AP952" s="65">
        <v>2.8</v>
      </c>
      <c r="AQ952" s="65">
        <v>2.8</v>
      </c>
      <c r="AR952" s="65"/>
      <c r="AS952" s="65"/>
      <c r="AT952" s="65"/>
      <c r="AU952" s="65"/>
      <c r="AV952" s="65"/>
      <c r="AW952" s="65"/>
      <c r="AX952" s="65"/>
      <c r="AY952" s="65"/>
      <c r="AZ952" s="65"/>
      <c r="BA952" s="65"/>
      <c r="BB952" s="65"/>
      <c r="BC952" s="65"/>
      <c r="BD952" s="65"/>
      <c r="BE952" s="65"/>
      <c r="BF952" s="65"/>
      <c r="BG952" s="65"/>
      <c r="BH952" s="65"/>
      <c r="BI952" s="65"/>
      <c r="BJ952" s="65"/>
      <c r="BK952" s="65"/>
      <c r="BL952" s="65"/>
      <c r="BM952" s="65"/>
      <c r="BN952" s="65"/>
      <c r="BO952" s="65"/>
    </row>
    <row r="953" spans="1:67" s="58" customFormat="1" x14ac:dyDescent="0.2">
      <c r="A953" s="49"/>
      <c r="B953" s="50"/>
      <c r="C953" s="51"/>
      <c r="D953" s="49"/>
      <c r="E953" s="49"/>
      <c r="F953" s="52"/>
      <c r="G953" s="53"/>
      <c r="H953" s="54"/>
      <c r="I953" s="55"/>
      <c r="J953" s="53"/>
      <c r="K953" s="53"/>
      <c r="L953" s="53"/>
      <c r="M953" s="56"/>
      <c r="N953" s="53"/>
      <c r="O953" s="57"/>
      <c r="Q953" s="53"/>
      <c r="R953" s="53"/>
      <c r="S953" s="53"/>
      <c r="T953" s="59"/>
      <c r="U953" s="59"/>
      <c r="V953" s="53"/>
      <c r="W953" s="53"/>
      <c r="X953" s="53"/>
      <c r="Y953" s="9" t="e">
        <f t="shared" si="14"/>
        <v>#DIV/0!</v>
      </c>
      <c r="Z953" s="60"/>
      <c r="AC953" s="61"/>
      <c r="AD953" s="53"/>
      <c r="AE953" s="56"/>
      <c r="AF953" s="62"/>
      <c r="AG953" s="63"/>
      <c r="AH953" s="61"/>
      <c r="AO953" s="64" t="s">
        <v>79</v>
      </c>
      <c r="AP953" s="65">
        <v>3.7</v>
      </c>
      <c r="AQ953" s="65">
        <v>3.7</v>
      </c>
      <c r="AR953" s="65"/>
      <c r="AS953" s="65"/>
      <c r="AT953" s="65"/>
      <c r="AU953" s="65"/>
      <c r="AV953" s="65"/>
      <c r="AW953" s="65"/>
      <c r="AX953" s="65"/>
      <c r="AY953" s="65"/>
      <c r="AZ953" s="65"/>
      <c r="BA953" s="65"/>
      <c r="BB953" s="65"/>
      <c r="BC953" s="65"/>
      <c r="BD953" s="65"/>
      <c r="BE953" s="65"/>
      <c r="BF953" s="65"/>
      <c r="BG953" s="65"/>
      <c r="BH953" s="65"/>
      <c r="BI953" s="65"/>
      <c r="BJ953" s="65"/>
      <c r="BK953" s="65"/>
      <c r="BL953" s="65"/>
      <c r="BM953" s="65"/>
      <c r="BN953" s="65"/>
      <c r="BO953" s="65"/>
    </row>
    <row r="954" spans="1:67" s="58" customFormat="1" x14ac:dyDescent="0.2">
      <c r="A954" s="49" t="s">
        <v>67</v>
      </c>
      <c r="B954" s="50">
        <v>43228</v>
      </c>
      <c r="C954" s="51">
        <v>0.48125000000000001</v>
      </c>
      <c r="D954" s="49" t="s">
        <v>68</v>
      </c>
      <c r="E954" s="49">
        <v>3</v>
      </c>
      <c r="F954" s="52">
        <v>59.5</v>
      </c>
      <c r="G954" s="53">
        <v>2</v>
      </c>
      <c r="H954" s="54">
        <v>3.3613445378151259E-2</v>
      </c>
      <c r="I954" s="55">
        <v>6.83E-2</v>
      </c>
      <c r="J954" s="53">
        <v>314.15899999999999</v>
      </c>
      <c r="K954" s="53">
        <v>0.75129999999999997</v>
      </c>
      <c r="L954" s="53">
        <v>11</v>
      </c>
      <c r="M954" s="56">
        <v>209.07693331558633</v>
      </c>
      <c r="N954" s="53">
        <v>190</v>
      </c>
      <c r="O954" s="57" t="s">
        <v>296</v>
      </c>
      <c r="P954" s="58" t="s">
        <v>70</v>
      </c>
      <c r="Q954" s="53" t="s">
        <v>103</v>
      </c>
      <c r="R954" s="53" t="s">
        <v>84</v>
      </c>
      <c r="S954" s="53"/>
      <c r="T954" s="59">
        <v>1</v>
      </c>
      <c r="U954" s="59">
        <v>1</v>
      </c>
      <c r="V954" s="53">
        <v>5.6</v>
      </c>
      <c r="W954" s="53"/>
      <c r="X954" s="53"/>
      <c r="Y954" s="9">
        <f t="shared" si="14"/>
        <v>209.07693331558633</v>
      </c>
      <c r="Z954" s="60" t="s">
        <v>73</v>
      </c>
      <c r="AA954" s="58" t="s">
        <v>342</v>
      </c>
      <c r="AB954" s="58" t="s">
        <v>75</v>
      </c>
      <c r="AC954" s="61" t="s">
        <v>264</v>
      </c>
      <c r="AD954" s="53" t="s">
        <v>104</v>
      </c>
      <c r="AE954" s="56">
        <v>137.92836735999995</v>
      </c>
      <c r="AF954" s="62"/>
      <c r="AG954" s="63"/>
      <c r="AH954" s="61"/>
      <c r="AO954" s="64" t="s">
        <v>78</v>
      </c>
      <c r="AP954" s="65">
        <v>5.6</v>
      </c>
      <c r="AQ954" s="65">
        <v>5.6</v>
      </c>
      <c r="AR954" s="65"/>
      <c r="AS954" s="65"/>
      <c r="AT954" s="65"/>
      <c r="AU954" s="65"/>
      <c r="AV954" s="65"/>
      <c r="AW954" s="65"/>
      <c r="AX954" s="65"/>
      <c r="AY954" s="65"/>
      <c r="AZ954" s="65"/>
      <c r="BA954" s="65"/>
      <c r="BB954" s="65"/>
      <c r="BC954" s="65"/>
      <c r="BD954" s="65"/>
      <c r="BE954" s="65"/>
      <c r="BF954" s="65"/>
      <c r="BG954" s="65"/>
      <c r="BH954" s="65"/>
      <c r="BI954" s="65"/>
      <c r="BJ954" s="65"/>
      <c r="BK954" s="65"/>
      <c r="BL954" s="65"/>
      <c r="BM954" s="65"/>
      <c r="BN954" s="65"/>
      <c r="BO954" s="65"/>
    </row>
    <row r="955" spans="1:67" s="58" customFormat="1" x14ac:dyDescent="0.2">
      <c r="A955" s="49"/>
      <c r="B955" s="50"/>
      <c r="C955" s="51"/>
      <c r="D955" s="49"/>
      <c r="E955" s="49"/>
      <c r="F955" s="52"/>
      <c r="G955" s="53"/>
      <c r="H955" s="54"/>
      <c r="I955" s="55"/>
      <c r="J955" s="53"/>
      <c r="K955" s="53"/>
      <c r="L955" s="53"/>
      <c r="M955" s="56"/>
      <c r="N955" s="53"/>
      <c r="O955" s="57"/>
      <c r="Q955" s="53"/>
      <c r="R955" s="53"/>
      <c r="S955" s="53"/>
      <c r="T955" s="59"/>
      <c r="U955" s="59"/>
      <c r="V955" s="53"/>
      <c r="W955" s="53"/>
      <c r="X955" s="53"/>
      <c r="Y955" s="9" t="e">
        <f t="shared" si="14"/>
        <v>#DIV/0!</v>
      </c>
      <c r="Z955" s="60"/>
      <c r="AC955" s="61"/>
      <c r="AD955" s="53"/>
      <c r="AE955" s="56"/>
      <c r="AF955" s="62"/>
      <c r="AG955" s="63"/>
      <c r="AH955" s="61"/>
      <c r="AO955" s="64" t="s">
        <v>79</v>
      </c>
      <c r="AP955" s="65">
        <v>5.6</v>
      </c>
      <c r="AQ955" s="65">
        <v>5.6</v>
      </c>
      <c r="AR955" s="65"/>
      <c r="AS955" s="65"/>
      <c r="AT955" s="65"/>
      <c r="AU955" s="65"/>
      <c r="AV955" s="65"/>
      <c r="AW955" s="65"/>
      <c r="AX955" s="65"/>
      <c r="AY955" s="65"/>
      <c r="AZ955" s="65"/>
      <c r="BA955" s="65"/>
      <c r="BB955" s="65"/>
      <c r="BC955" s="65"/>
      <c r="BD955" s="65"/>
      <c r="BE955" s="65"/>
      <c r="BF955" s="65"/>
      <c r="BG955" s="65"/>
      <c r="BH955" s="65"/>
      <c r="BI955" s="65"/>
      <c r="BJ955" s="65"/>
      <c r="BK955" s="65"/>
      <c r="BL955" s="65"/>
      <c r="BM955" s="65"/>
      <c r="BN955" s="65"/>
      <c r="BO955" s="65"/>
    </row>
    <row r="956" spans="1:67" s="58" customFormat="1" x14ac:dyDescent="0.2">
      <c r="A956" s="49" t="s">
        <v>67</v>
      </c>
      <c r="B956" s="50">
        <v>43228</v>
      </c>
      <c r="C956" s="51">
        <v>0.48125000000000001</v>
      </c>
      <c r="D956" s="49" t="s">
        <v>68</v>
      </c>
      <c r="E956" s="49">
        <v>3</v>
      </c>
      <c r="F956" s="52">
        <v>59.5</v>
      </c>
      <c r="G956" s="53">
        <v>2</v>
      </c>
      <c r="H956" s="54">
        <v>3.3613445378151259E-2</v>
      </c>
      <c r="I956" s="55">
        <v>6.83E-2</v>
      </c>
      <c r="J956" s="53">
        <v>314.15899999999999</v>
      </c>
      <c r="K956" s="53">
        <v>0.75129999999999997</v>
      </c>
      <c r="L956" s="53">
        <v>11</v>
      </c>
      <c r="M956" s="56">
        <v>209.07693331558633</v>
      </c>
      <c r="N956" s="53">
        <v>749</v>
      </c>
      <c r="O956" s="57" t="s">
        <v>190</v>
      </c>
      <c r="P956" s="58" t="s">
        <v>70</v>
      </c>
      <c r="Q956" s="53" t="s">
        <v>191</v>
      </c>
      <c r="R956" s="53" t="s">
        <v>84</v>
      </c>
      <c r="S956" s="53"/>
      <c r="T956" s="59">
        <v>1</v>
      </c>
      <c r="U956" s="59">
        <v>1</v>
      </c>
      <c r="V956" s="53">
        <v>11.1</v>
      </c>
      <c r="W956" s="53"/>
      <c r="X956" s="53"/>
      <c r="Y956" s="9">
        <f t="shared" si="14"/>
        <v>209.07693331558633</v>
      </c>
      <c r="Z956" s="60" t="s">
        <v>73</v>
      </c>
      <c r="AA956" s="58" t="s">
        <v>342</v>
      </c>
      <c r="AB956" s="58" t="s">
        <v>75</v>
      </c>
      <c r="AC956" s="61" t="s">
        <v>221</v>
      </c>
      <c r="AD956" s="53" t="s">
        <v>193</v>
      </c>
      <c r="AE956" s="56">
        <v>75.979500000000002</v>
      </c>
      <c r="AF956" s="62"/>
      <c r="AG956" s="63"/>
      <c r="AH956" s="61"/>
      <c r="AO956" s="64" t="s">
        <v>78</v>
      </c>
      <c r="AP956" s="65">
        <v>11.1</v>
      </c>
      <c r="AQ956" s="65">
        <v>11.1</v>
      </c>
      <c r="AR956" s="65"/>
      <c r="AS956" s="65"/>
      <c r="AT956" s="65"/>
      <c r="AU956" s="65"/>
      <c r="AV956" s="65"/>
      <c r="AW956" s="65"/>
      <c r="AX956" s="65"/>
      <c r="AY956" s="65"/>
      <c r="AZ956" s="65"/>
      <c r="BA956" s="65"/>
      <c r="BB956" s="65"/>
      <c r="BC956" s="65"/>
      <c r="BD956" s="65"/>
      <c r="BE956" s="65"/>
      <c r="BF956" s="65"/>
      <c r="BG956" s="65"/>
      <c r="BH956" s="65"/>
      <c r="BI956" s="65"/>
      <c r="BJ956" s="65"/>
      <c r="BK956" s="65"/>
      <c r="BL956" s="65"/>
      <c r="BM956" s="65"/>
      <c r="BN956" s="65"/>
      <c r="BO956" s="65"/>
    </row>
    <row r="957" spans="1:67" s="58" customFormat="1" x14ac:dyDescent="0.2">
      <c r="A957" s="49"/>
      <c r="B957" s="50"/>
      <c r="C957" s="51"/>
      <c r="D957" s="49"/>
      <c r="E957" s="49"/>
      <c r="F957" s="52"/>
      <c r="G957" s="53"/>
      <c r="H957" s="54"/>
      <c r="I957" s="55"/>
      <c r="J957" s="53"/>
      <c r="K957" s="53"/>
      <c r="L957" s="53"/>
      <c r="M957" s="56"/>
      <c r="N957" s="53"/>
      <c r="O957" s="57"/>
      <c r="Q957" s="53"/>
      <c r="R957" s="53"/>
      <c r="S957" s="53"/>
      <c r="T957" s="59"/>
      <c r="U957" s="59"/>
      <c r="V957" s="53"/>
      <c r="W957" s="53"/>
      <c r="X957" s="53"/>
      <c r="Y957" s="9" t="e">
        <f t="shared" si="14"/>
        <v>#DIV/0!</v>
      </c>
      <c r="Z957" s="60"/>
      <c r="AC957" s="61"/>
      <c r="AD957" s="53"/>
      <c r="AE957" s="56"/>
      <c r="AF957" s="62"/>
      <c r="AG957" s="63"/>
      <c r="AH957" s="61"/>
      <c r="AO957" s="64" t="s">
        <v>79</v>
      </c>
      <c r="AP957" s="65">
        <v>3.7</v>
      </c>
      <c r="AQ957" s="65">
        <v>3.7</v>
      </c>
      <c r="AR957" s="65"/>
      <c r="AS957" s="65"/>
      <c r="AT957" s="65"/>
      <c r="AU957" s="65"/>
      <c r="AV957" s="65"/>
      <c r="AW957" s="65"/>
      <c r="AX957" s="65"/>
      <c r="AY957" s="65"/>
      <c r="AZ957" s="65"/>
      <c r="BA957" s="65"/>
      <c r="BB957" s="65"/>
      <c r="BC957" s="65"/>
      <c r="BD957" s="65"/>
      <c r="BE957" s="65"/>
      <c r="BF957" s="65"/>
      <c r="BG957" s="65"/>
      <c r="BH957" s="65"/>
      <c r="BI957" s="65"/>
      <c r="BJ957" s="65"/>
      <c r="BK957" s="65"/>
      <c r="BL957" s="65"/>
      <c r="BM957" s="65"/>
      <c r="BN957" s="65"/>
      <c r="BO957" s="65"/>
    </row>
    <row r="958" spans="1:67" s="58" customFormat="1" x14ac:dyDescent="0.2">
      <c r="A958" s="49"/>
      <c r="B958" s="50"/>
      <c r="C958" s="51"/>
      <c r="D958" s="49"/>
      <c r="E958" s="49"/>
      <c r="F958" s="52"/>
      <c r="G958" s="53"/>
      <c r="H958" s="54"/>
      <c r="I958" s="55"/>
      <c r="J958" s="53"/>
      <c r="K958" s="53"/>
      <c r="L958" s="53"/>
      <c r="M958" s="56"/>
      <c r="N958" s="53"/>
      <c r="O958" s="57"/>
      <c r="Q958" s="53"/>
      <c r="R958" s="53"/>
      <c r="S958" s="53"/>
      <c r="T958" s="59"/>
      <c r="U958" s="59"/>
      <c r="V958" s="53"/>
      <c r="W958" s="53"/>
      <c r="X958" s="53"/>
      <c r="Y958" s="9" t="e">
        <f t="shared" si="14"/>
        <v>#DIV/0!</v>
      </c>
      <c r="Z958" s="60"/>
      <c r="AC958" s="61"/>
      <c r="AD958" s="53"/>
      <c r="AE958" s="56"/>
      <c r="AF958" s="62"/>
      <c r="AG958" s="63"/>
      <c r="AH958" s="61"/>
      <c r="AO958" s="64" t="s">
        <v>80</v>
      </c>
      <c r="AP958" s="65">
        <v>3.7</v>
      </c>
      <c r="AQ958" s="65">
        <v>3.7</v>
      </c>
      <c r="AR958" s="65"/>
      <c r="AS958" s="65"/>
      <c r="AT958" s="65"/>
      <c r="AU958" s="65"/>
      <c r="AV958" s="65"/>
      <c r="AW958" s="65"/>
      <c r="AX958" s="65"/>
      <c r="AY958" s="65"/>
      <c r="AZ958" s="65"/>
      <c r="BA958" s="65"/>
      <c r="BB958" s="65"/>
      <c r="BC958" s="65"/>
      <c r="BD958" s="65"/>
      <c r="BE958" s="65"/>
      <c r="BF958" s="65"/>
      <c r="BG958" s="65"/>
      <c r="BH958" s="65"/>
      <c r="BI958" s="65"/>
      <c r="BJ958" s="65"/>
      <c r="BK958" s="65"/>
      <c r="BL958" s="65"/>
      <c r="BM958" s="65"/>
      <c r="BN958" s="65"/>
      <c r="BO958" s="65"/>
    </row>
    <row r="959" spans="1:67" s="58" customFormat="1" x14ac:dyDescent="0.2">
      <c r="A959" s="49" t="s">
        <v>67</v>
      </c>
      <c r="B959" s="50">
        <v>43228</v>
      </c>
      <c r="C959" s="51">
        <v>0.48125000000000001</v>
      </c>
      <c r="D959" s="49" t="s">
        <v>68</v>
      </c>
      <c r="E959" s="49">
        <v>3</v>
      </c>
      <c r="F959" s="52">
        <v>59.5</v>
      </c>
      <c r="G959" s="53">
        <v>2</v>
      </c>
      <c r="H959" s="54">
        <v>3.3613445378151259E-2</v>
      </c>
      <c r="I959" s="55">
        <v>6.83E-2</v>
      </c>
      <c r="J959" s="53">
        <v>314.15899999999999</v>
      </c>
      <c r="K959" s="53">
        <v>0.75129999999999997</v>
      </c>
      <c r="L959" s="53">
        <v>11</v>
      </c>
      <c r="M959" s="56">
        <v>209.07693331558633</v>
      </c>
      <c r="N959" s="53">
        <v>1037</v>
      </c>
      <c r="O959" s="57" t="s">
        <v>86</v>
      </c>
      <c r="P959" s="57" t="s">
        <v>82</v>
      </c>
      <c r="Q959" s="53" t="s">
        <v>87</v>
      </c>
      <c r="R959" s="53" t="s">
        <v>84</v>
      </c>
      <c r="S959" s="53"/>
      <c r="T959" s="59">
        <v>11</v>
      </c>
      <c r="U959" s="59">
        <v>11</v>
      </c>
      <c r="V959" s="53">
        <v>2.8</v>
      </c>
      <c r="W959" s="53"/>
      <c r="X959" s="53"/>
      <c r="Y959" s="9">
        <f t="shared" si="14"/>
        <v>2299.8462664714493</v>
      </c>
      <c r="Z959" s="60" t="s">
        <v>73</v>
      </c>
      <c r="AA959" s="58" t="s">
        <v>342</v>
      </c>
      <c r="AB959" s="58" t="s">
        <v>75</v>
      </c>
      <c r="AC959" s="61" t="s">
        <v>221</v>
      </c>
      <c r="AD959" s="53" t="s">
        <v>85</v>
      </c>
      <c r="AE959" s="56">
        <v>4.8490441650000005</v>
      </c>
      <c r="AF959" s="62"/>
      <c r="AG959" s="63"/>
      <c r="AH959" s="61"/>
      <c r="AO959" s="64" t="s">
        <v>78</v>
      </c>
      <c r="AP959" s="65">
        <v>2.08</v>
      </c>
      <c r="AQ959" s="65">
        <v>1.9</v>
      </c>
      <c r="AR959" s="65">
        <v>1.9</v>
      </c>
      <c r="AS959" s="65">
        <v>1.9</v>
      </c>
      <c r="AT959" s="65">
        <v>2.8</v>
      </c>
      <c r="AU959" s="65">
        <v>1.9</v>
      </c>
      <c r="AV959" s="65"/>
      <c r="AW959" s="65"/>
      <c r="AX959" s="65"/>
      <c r="AY959" s="65"/>
      <c r="AZ959" s="65"/>
      <c r="BA959" s="65"/>
      <c r="BB959" s="65"/>
      <c r="BC959" s="65"/>
      <c r="BD959" s="65"/>
      <c r="BE959" s="65"/>
      <c r="BF959" s="65"/>
      <c r="BG959" s="65"/>
      <c r="BH959" s="65"/>
      <c r="BI959" s="65"/>
      <c r="BJ959" s="65"/>
      <c r="BK959" s="65"/>
      <c r="BL959" s="65"/>
      <c r="BM959" s="65"/>
      <c r="BN959" s="65"/>
      <c r="BO959" s="65"/>
    </row>
    <row r="960" spans="1:67" s="58" customFormat="1" x14ac:dyDescent="0.2">
      <c r="A960" s="49" t="s">
        <v>67</v>
      </c>
      <c r="B960" s="50">
        <v>43228</v>
      </c>
      <c r="C960" s="51">
        <v>0.48125000000000001</v>
      </c>
      <c r="D960" s="49" t="s">
        <v>68</v>
      </c>
      <c r="E960" s="49">
        <v>3</v>
      </c>
      <c r="F960" s="52">
        <v>59.5</v>
      </c>
      <c r="G960" s="53">
        <v>2</v>
      </c>
      <c r="H960" s="54">
        <v>3.3613445378151259E-2</v>
      </c>
      <c r="I960" s="55">
        <v>6.83E-2</v>
      </c>
      <c r="J960" s="53">
        <v>314.15899999999999</v>
      </c>
      <c r="K960" s="53">
        <v>0.75129999999999997</v>
      </c>
      <c r="L960" s="53">
        <v>11</v>
      </c>
      <c r="M960" s="56">
        <v>209.07693331558633</v>
      </c>
      <c r="N960" s="53">
        <v>1364</v>
      </c>
      <c r="O960" s="57" t="s">
        <v>88</v>
      </c>
      <c r="P960" s="57" t="s">
        <v>82</v>
      </c>
      <c r="Q960" s="53" t="s">
        <v>89</v>
      </c>
      <c r="R960" s="53" t="s">
        <v>90</v>
      </c>
      <c r="S960" s="53"/>
      <c r="T960" s="59">
        <v>3</v>
      </c>
      <c r="U960" s="59">
        <v>3</v>
      </c>
      <c r="V960" s="53">
        <v>11.1</v>
      </c>
      <c r="W960" s="53"/>
      <c r="X960" s="53"/>
      <c r="Y960" s="9">
        <f t="shared" si="14"/>
        <v>627.23079994675891</v>
      </c>
      <c r="Z960" s="60" t="s">
        <v>73</v>
      </c>
      <c r="AA960" s="58" t="s">
        <v>342</v>
      </c>
      <c r="AB960" s="58" t="s">
        <v>75</v>
      </c>
      <c r="AC960" s="61" t="s">
        <v>221</v>
      </c>
      <c r="AD960" s="53" t="s">
        <v>91</v>
      </c>
      <c r="AE960" s="56">
        <v>366.73665023999996</v>
      </c>
      <c r="AF960" s="62"/>
      <c r="AG960" s="63"/>
      <c r="AH960" s="61"/>
      <c r="AO960" s="64" t="s">
        <v>78</v>
      </c>
      <c r="AP960" s="65">
        <v>9.5666666666666664</v>
      </c>
      <c r="AQ960" s="65">
        <v>11.1</v>
      </c>
      <c r="AR960" s="65">
        <v>9.3000000000000007</v>
      </c>
      <c r="AS960" s="65">
        <v>8.3000000000000007</v>
      </c>
      <c r="AT960" s="65"/>
      <c r="AU960" s="65"/>
      <c r="AV960" s="65"/>
      <c r="AW960" s="65"/>
      <c r="AX960" s="65"/>
      <c r="AY960" s="65"/>
      <c r="AZ960" s="65"/>
      <c r="BA960" s="65"/>
      <c r="BB960" s="65"/>
      <c r="BC960" s="65"/>
      <c r="BD960" s="65"/>
      <c r="BE960" s="65"/>
      <c r="BF960" s="65"/>
      <c r="BG960" s="65"/>
      <c r="BH960" s="65"/>
      <c r="BI960" s="65"/>
      <c r="BJ960" s="65"/>
      <c r="BK960" s="65"/>
      <c r="BL960" s="65"/>
      <c r="BM960" s="65"/>
      <c r="BN960" s="65"/>
      <c r="BO960" s="65"/>
    </row>
    <row r="961" spans="1:67" s="58" customFormat="1" x14ac:dyDescent="0.2">
      <c r="A961" s="49"/>
      <c r="B961" s="50"/>
      <c r="C961" s="51"/>
      <c r="D961" s="49"/>
      <c r="E961" s="49"/>
      <c r="F961" s="52"/>
      <c r="G961" s="53"/>
      <c r="H961" s="54"/>
      <c r="I961" s="55"/>
      <c r="J961" s="53"/>
      <c r="K961" s="53"/>
      <c r="L961" s="53"/>
      <c r="M961" s="56"/>
      <c r="N961" s="53"/>
      <c r="O961" s="57"/>
      <c r="P961" s="57"/>
      <c r="Q961" s="53"/>
      <c r="R961" s="53"/>
      <c r="S961" s="53"/>
      <c r="T961" s="59"/>
      <c r="U961" s="59"/>
      <c r="V961" s="53"/>
      <c r="W961" s="53"/>
      <c r="X961" s="53"/>
      <c r="Y961" s="9" t="e">
        <f t="shared" si="14"/>
        <v>#DIV/0!</v>
      </c>
      <c r="Z961" s="60"/>
      <c r="AC961" s="61"/>
      <c r="AD961" s="53"/>
      <c r="AE961" s="56"/>
      <c r="AF961" s="62"/>
      <c r="AG961" s="63"/>
      <c r="AH961" s="61"/>
      <c r="AO961" s="64" t="s">
        <v>79</v>
      </c>
      <c r="AP961" s="65">
        <v>5.5999999999999988</v>
      </c>
      <c r="AQ961" s="65">
        <v>5.6</v>
      </c>
      <c r="AR961" s="65">
        <v>5.6</v>
      </c>
      <c r="AS961" s="65">
        <v>5.6</v>
      </c>
      <c r="AT961" s="65"/>
      <c r="AU961" s="65"/>
      <c r="AV961" s="65"/>
      <c r="AW961" s="65"/>
      <c r="AX961" s="65"/>
      <c r="AY961" s="65"/>
      <c r="AZ961" s="65"/>
      <c r="BA961" s="65"/>
      <c r="BB961" s="65"/>
      <c r="BC961" s="65"/>
      <c r="BD961" s="65"/>
      <c r="BE961" s="65"/>
      <c r="BF961" s="65"/>
      <c r="BG961" s="65"/>
      <c r="BH961" s="65"/>
      <c r="BI961" s="65"/>
      <c r="BJ961" s="65"/>
      <c r="BK961" s="65"/>
      <c r="BL961" s="65"/>
      <c r="BM961" s="65"/>
      <c r="BN961" s="65"/>
      <c r="BO961" s="65"/>
    </row>
    <row r="962" spans="1:67" s="58" customFormat="1" x14ac:dyDescent="0.2">
      <c r="A962" s="49" t="s">
        <v>67</v>
      </c>
      <c r="B962" s="50">
        <v>43228</v>
      </c>
      <c r="C962" s="51">
        <v>0.48125000000000001</v>
      </c>
      <c r="D962" s="49" t="s">
        <v>68</v>
      </c>
      <c r="E962" s="49">
        <v>3</v>
      </c>
      <c r="F962" s="52">
        <v>59.5</v>
      </c>
      <c r="G962" s="53">
        <v>2</v>
      </c>
      <c r="H962" s="54">
        <v>3.3613445378151259E-2</v>
      </c>
      <c r="I962" s="55">
        <v>6.83E-2</v>
      </c>
      <c r="J962" s="53">
        <v>314.15899999999999</v>
      </c>
      <c r="K962" s="53">
        <v>0.75129999999999997</v>
      </c>
      <c r="L962" s="53">
        <v>11</v>
      </c>
      <c r="M962" s="56">
        <v>209.07693331558633</v>
      </c>
      <c r="N962" s="53">
        <v>1419</v>
      </c>
      <c r="O962" s="57" t="s">
        <v>94</v>
      </c>
      <c r="P962" s="57" t="s">
        <v>82</v>
      </c>
      <c r="Q962" s="53" t="s">
        <v>95</v>
      </c>
      <c r="R962" s="53" t="s">
        <v>96</v>
      </c>
      <c r="S962" s="53"/>
      <c r="T962" s="59">
        <v>414</v>
      </c>
      <c r="U962" s="59">
        <v>836</v>
      </c>
      <c r="V962" s="53">
        <v>0.8</v>
      </c>
      <c r="W962" s="53">
        <v>0.8</v>
      </c>
      <c r="X962" s="53">
        <v>0.8</v>
      </c>
      <c r="Y962" s="9">
        <f t="shared" si="14"/>
        <v>86557.850392652734</v>
      </c>
      <c r="Z962" s="60" t="s">
        <v>97</v>
      </c>
      <c r="AA962" s="58" t="s">
        <v>342</v>
      </c>
      <c r="AB962" s="58" t="s">
        <v>75</v>
      </c>
      <c r="AC962" s="61" t="s">
        <v>221</v>
      </c>
      <c r="AD962" s="53" t="s">
        <v>85</v>
      </c>
      <c r="AE962" s="56">
        <v>0.18</v>
      </c>
      <c r="AF962" s="56">
        <v>0.18</v>
      </c>
      <c r="AG962" s="56">
        <v>0.18</v>
      </c>
      <c r="AH962" s="56">
        <v>0.18</v>
      </c>
      <c r="AI962" s="56">
        <v>0.18</v>
      </c>
      <c r="AJ962" s="56">
        <v>0.18</v>
      </c>
      <c r="AK962" s="56">
        <v>0.18</v>
      </c>
      <c r="AL962" s="56">
        <v>0.18</v>
      </c>
      <c r="AM962" s="56">
        <v>0.18</v>
      </c>
      <c r="AN962" s="56">
        <v>0.18</v>
      </c>
      <c r="AO962" s="66" t="s">
        <v>78</v>
      </c>
      <c r="AP962" s="65">
        <v>0.75200000000000033</v>
      </c>
      <c r="AQ962" s="65">
        <v>0.7</v>
      </c>
      <c r="AR962" s="65">
        <v>0.7</v>
      </c>
      <c r="AS962" s="65">
        <v>0.7</v>
      </c>
      <c r="AT962" s="65">
        <v>0.7</v>
      </c>
      <c r="AU962" s="65">
        <v>0.7</v>
      </c>
      <c r="AV962" s="65">
        <v>0.7</v>
      </c>
      <c r="AW962" s="65">
        <v>0.7</v>
      </c>
      <c r="AX962" s="65">
        <v>0.7</v>
      </c>
      <c r="AY962" s="65">
        <v>0.7</v>
      </c>
      <c r="AZ962" s="65">
        <v>0.7</v>
      </c>
      <c r="BA962" s="65">
        <v>0.7</v>
      </c>
      <c r="BB962" s="65">
        <v>0.7</v>
      </c>
      <c r="BC962" s="65">
        <v>0.8</v>
      </c>
      <c r="BD962" s="65">
        <v>0.8</v>
      </c>
      <c r="BE962" s="65">
        <v>0.8</v>
      </c>
      <c r="BF962" s="65">
        <v>0.8</v>
      </c>
      <c r="BG962" s="65">
        <v>0.8</v>
      </c>
      <c r="BH962" s="65">
        <v>0.8</v>
      </c>
      <c r="BI962" s="65">
        <v>0.8</v>
      </c>
      <c r="BJ962" s="65">
        <v>0.8</v>
      </c>
      <c r="BK962" s="65">
        <v>0.8</v>
      </c>
      <c r="BL962" s="65">
        <v>0.8</v>
      </c>
      <c r="BM962" s="65">
        <v>0.8</v>
      </c>
      <c r="BN962" s="65">
        <v>0.8</v>
      </c>
      <c r="BO962" s="65">
        <v>0.8</v>
      </c>
    </row>
    <row r="963" spans="1:67" s="58" customFormat="1" x14ac:dyDescent="0.2">
      <c r="A963" s="49" t="s">
        <v>67</v>
      </c>
      <c r="B963" s="50">
        <v>43228</v>
      </c>
      <c r="C963" s="51">
        <v>0.60069444444444398</v>
      </c>
      <c r="D963" s="49" t="s">
        <v>158</v>
      </c>
      <c r="E963" s="49"/>
      <c r="F963" s="52">
        <v>61.5</v>
      </c>
      <c r="G963" s="53">
        <v>2</v>
      </c>
      <c r="H963" s="54">
        <v>3.2520325203252036E-2</v>
      </c>
      <c r="I963" s="55">
        <v>6.83E-2</v>
      </c>
      <c r="J963" s="53">
        <v>314.15899999999999</v>
      </c>
      <c r="K963" s="53">
        <v>0.68300000000000005</v>
      </c>
      <c r="L963" s="53">
        <v>10</v>
      </c>
      <c r="M963" s="56">
        <v>229.98462664714492</v>
      </c>
      <c r="N963" s="53">
        <v>464</v>
      </c>
      <c r="O963" s="57" t="s">
        <v>343</v>
      </c>
      <c r="P963" s="58" t="s">
        <v>70</v>
      </c>
      <c r="Q963" s="53" t="s">
        <v>344</v>
      </c>
      <c r="R963" s="53" t="s">
        <v>84</v>
      </c>
      <c r="S963" s="53"/>
      <c r="T963" s="59">
        <v>1</v>
      </c>
      <c r="U963" s="59">
        <v>1</v>
      </c>
      <c r="V963" s="53">
        <v>11.1</v>
      </c>
      <c r="W963" s="53"/>
      <c r="X963" s="53"/>
      <c r="Y963" s="9">
        <f t="shared" ref="Y963:Y1026" si="15">(T963*J963)/(G963*I963*L963)</f>
        <v>229.98462664714492</v>
      </c>
      <c r="Z963" s="60" t="s">
        <v>73</v>
      </c>
      <c r="AA963" s="58" t="s">
        <v>345</v>
      </c>
      <c r="AB963" s="58" t="s">
        <v>75</v>
      </c>
      <c r="AC963" s="61" t="s">
        <v>221</v>
      </c>
      <c r="AD963" s="53" t="s">
        <v>346</v>
      </c>
      <c r="AE963" s="56">
        <v>117.17553316166666</v>
      </c>
      <c r="AF963" s="62"/>
      <c r="AG963" s="63"/>
      <c r="AH963" s="61"/>
      <c r="AO963" s="64" t="s">
        <v>79</v>
      </c>
      <c r="AP963" s="65">
        <v>4.5999999999999996</v>
      </c>
      <c r="AQ963" s="65">
        <v>4.5999999999999996</v>
      </c>
      <c r="AR963" s="65"/>
      <c r="AS963" s="65"/>
      <c r="AT963" s="65"/>
      <c r="AU963" s="65"/>
      <c r="AV963" s="65"/>
      <c r="AW963" s="65"/>
      <c r="AX963" s="65"/>
      <c r="AY963" s="65"/>
      <c r="AZ963" s="65"/>
      <c r="BA963" s="65"/>
      <c r="BB963" s="65"/>
      <c r="BC963" s="65"/>
      <c r="BD963" s="65"/>
      <c r="BE963" s="65"/>
      <c r="BF963" s="65"/>
      <c r="BG963" s="65"/>
      <c r="BH963" s="65"/>
      <c r="BI963" s="65"/>
      <c r="BJ963" s="65"/>
      <c r="BK963" s="65"/>
      <c r="BL963" s="65"/>
      <c r="BM963" s="65"/>
      <c r="BN963" s="65"/>
      <c r="BO963" s="65"/>
    </row>
    <row r="964" spans="1:67" s="58" customFormat="1" x14ac:dyDescent="0.2">
      <c r="A964" s="49"/>
      <c r="B964" s="50"/>
      <c r="C964" s="51"/>
      <c r="D964" s="49"/>
      <c r="E964" s="49"/>
      <c r="F964" s="52"/>
      <c r="G964" s="53"/>
      <c r="H964" s="54"/>
      <c r="I964" s="55"/>
      <c r="J964" s="53"/>
      <c r="K964" s="53"/>
      <c r="L964" s="53"/>
      <c r="M964" s="56"/>
      <c r="N964" s="53"/>
      <c r="O964" s="57"/>
      <c r="Q964" s="53"/>
      <c r="R964" s="53"/>
      <c r="S964" s="53"/>
      <c r="T964" s="59"/>
      <c r="U964" s="59"/>
      <c r="V964" s="53"/>
      <c r="W964" s="53"/>
      <c r="X964" s="53"/>
      <c r="Y964" s="9" t="e">
        <f t="shared" si="15"/>
        <v>#DIV/0!</v>
      </c>
      <c r="Z964" s="60"/>
      <c r="AC964" s="61"/>
      <c r="AD964" s="53"/>
      <c r="AE964" s="56"/>
      <c r="AF964" s="62"/>
      <c r="AG964" s="63"/>
      <c r="AH964" s="61"/>
      <c r="AO964" s="64" t="s">
        <v>80</v>
      </c>
      <c r="AP964" s="65">
        <v>3.7</v>
      </c>
      <c r="AQ964" s="65">
        <v>3.7</v>
      </c>
      <c r="AR964" s="65"/>
      <c r="AS964" s="65"/>
      <c r="AT964" s="65"/>
      <c r="AU964" s="65"/>
      <c r="AV964" s="65"/>
      <c r="AW964" s="65"/>
      <c r="AX964" s="65"/>
      <c r="AY964" s="65"/>
      <c r="AZ964" s="65"/>
      <c r="BA964" s="65"/>
      <c r="BB964" s="65"/>
      <c r="BC964" s="65"/>
      <c r="BD964" s="65"/>
      <c r="BE964" s="65"/>
      <c r="BF964" s="65"/>
      <c r="BG964" s="65"/>
      <c r="BH964" s="65"/>
      <c r="BI964" s="65"/>
      <c r="BJ964" s="65"/>
      <c r="BK964" s="65"/>
      <c r="BL964" s="65"/>
      <c r="BM964" s="65"/>
      <c r="BN964" s="65"/>
      <c r="BO964" s="65"/>
    </row>
    <row r="965" spans="1:67" s="58" customFormat="1" x14ac:dyDescent="0.2">
      <c r="A965" s="49"/>
      <c r="B965" s="50"/>
      <c r="C965" s="51"/>
      <c r="D965" s="49"/>
      <c r="E965" s="49"/>
      <c r="F965" s="52"/>
      <c r="G965" s="53"/>
      <c r="H965" s="54"/>
      <c r="I965" s="55"/>
      <c r="J965" s="53"/>
      <c r="K965" s="53"/>
      <c r="L965" s="53"/>
      <c r="M965" s="56"/>
      <c r="N965" s="53"/>
      <c r="O965" s="57"/>
      <c r="Q965" s="53"/>
      <c r="R965" s="53"/>
      <c r="S965" s="53"/>
      <c r="T965" s="59"/>
      <c r="U965" s="59"/>
      <c r="V965" s="53"/>
      <c r="W965" s="53"/>
      <c r="X965" s="53"/>
      <c r="Y965" s="9" t="e">
        <f t="shared" si="15"/>
        <v>#DIV/0!</v>
      </c>
      <c r="Z965" s="60"/>
      <c r="AC965" s="61"/>
      <c r="AD965" s="53"/>
      <c r="AE965" s="56"/>
      <c r="AF965" s="62"/>
      <c r="AG965" s="63"/>
      <c r="AH965" s="61"/>
      <c r="AO965" s="64" t="s">
        <v>347</v>
      </c>
      <c r="AP965" s="65">
        <v>11.1</v>
      </c>
      <c r="AQ965" s="65">
        <v>11.1</v>
      </c>
      <c r="AR965" s="65"/>
      <c r="AS965" s="65"/>
      <c r="AT965" s="65"/>
      <c r="AU965" s="65"/>
      <c r="AV965" s="65"/>
      <c r="AW965" s="65"/>
      <c r="AX965" s="65"/>
      <c r="AY965" s="65"/>
      <c r="AZ965" s="65"/>
      <c r="BA965" s="65"/>
      <c r="BB965" s="65"/>
      <c r="BC965" s="65"/>
      <c r="BD965" s="65"/>
      <c r="BE965" s="65"/>
      <c r="BF965" s="65"/>
      <c r="BG965" s="65"/>
      <c r="BH965" s="65"/>
      <c r="BI965" s="65"/>
      <c r="BJ965" s="65"/>
      <c r="BK965" s="65"/>
      <c r="BL965" s="65"/>
      <c r="BM965" s="65"/>
      <c r="BN965" s="65"/>
      <c r="BO965" s="65"/>
    </row>
    <row r="966" spans="1:67" s="58" customFormat="1" x14ac:dyDescent="0.2">
      <c r="A966" s="49"/>
      <c r="B966" s="50"/>
      <c r="C966" s="51"/>
      <c r="D966" s="49"/>
      <c r="E966" s="49"/>
      <c r="F966" s="52"/>
      <c r="G966" s="53"/>
      <c r="H966" s="54"/>
      <c r="I966" s="55"/>
      <c r="J966" s="53"/>
      <c r="K966" s="53"/>
      <c r="L966" s="53"/>
      <c r="M966" s="56"/>
      <c r="N966" s="53"/>
      <c r="O966" s="57"/>
      <c r="Q966" s="53"/>
      <c r="R966" s="53"/>
      <c r="S966" s="53"/>
      <c r="T966" s="59"/>
      <c r="U966" s="59"/>
      <c r="V966" s="53"/>
      <c r="W966" s="53"/>
      <c r="X966" s="53"/>
      <c r="Y966" s="9" t="e">
        <f t="shared" si="15"/>
        <v>#DIV/0!</v>
      </c>
      <c r="Z966" s="60"/>
      <c r="AC966" s="61"/>
      <c r="AD966" s="53"/>
      <c r="AE966" s="56"/>
      <c r="AF966" s="62"/>
      <c r="AG966" s="63"/>
      <c r="AH966" s="61"/>
      <c r="AO966" s="64" t="s">
        <v>348</v>
      </c>
      <c r="AP966" s="65">
        <v>5.6</v>
      </c>
      <c r="AQ966" s="65">
        <v>5.6</v>
      </c>
      <c r="AR966" s="65"/>
      <c r="AS966" s="65"/>
      <c r="AT966" s="65"/>
      <c r="AU966" s="65"/>
      <c r="AV966" s="65"/>
      <c r="AW966" s="65"/>
      <c r="AX966" s="65"/>
      <c r="AY966" s="65"/>
      <c r="AZ966" s="65"/>
      <c r="BA966" s="65"/>
      <c r="BB966" s="65"/>
      <c r="BC966" s="65"/>
      <c r="BD966" s="65"/>
      <c r="BE966" s="65"/>
      <c r="BF966" s="65"/>
      <c r="BG966" s="65"/>
      <c r="BH966" s="65"/>
      <c r="BI966" s="65"/>
      <c r="BJ966" s="65"/>
      <c r="BK966" s="65"/>
      <c r="BL966" s="65"/>
      <c r="BM966" s="65"/>
      <c r="BN966" s="65"/>
      <c r="BO966" s="65"/>
    </row>
    <row r="967" spans="1:67" s="58" customFormat="1" x14ac:dyDescent="0.2">
      <c r="A967" s="49" t="s">
        <v>67</v>
      </c>
      <c r="B967" s="50">
        <v>43228</v>
      </c>
      <c r="C967" s="51">
        <v>0.60069444444444398</v>
      </c>
      <c r="D967" s="49" t="s">
        <v>158</v>
      </c>
      <c r="E967" s="49"/>
      <c r="F967" s="52">
        <v>61.5</v>
      </c>
      <c r="G967" s="53">
        <v>2</v>
      </c>
      <c r="H967" s="54">
        <v>3.2520325203252036E-2</v>
      </c>
      <c r="I967" s="55">
        <v>6.83E-2</v>
      </c>
      <c r="J967" s="53">
        <v>314.15899999999999</v>
      </c>
      <c r="K967" s="53">
        <v>0.68300000000000005</v>
      </c>
      <c r="L967" s="53">
        <v>10</v>
      </c>
      <c r="M967" s="56">
        <v>229.98462664714492</v>
      </c>
      <c r="N967" s="53">
        <v>1031</v>
      </c>
      <c r="O967" s="57" t="s">
        <v>81</v>
      </c>
      <c r="P967" s="57" t="s">
        <v>82</v>
      </c>
      <c r="Q967" s="53" t="s">
        <v>83</v>
      </c>
      <c r="R967" s="53" t="s">
        <v>84</v>
      </c>
      <c r="S967" s="53"/>
      <c r="T967" s="59">
        <v>1</v>
      </c>
      <c r="U967" s="59">
        <v>1</v>
      </c>
      <c r="V967" s="53">
        <v>5.6</v>
      </c>
      <c r="W967" s="53"/>
      <c r="X967" s="53"/>
      <c r="Y967" s="9">
        <f t="shared" si="15"/>
        <v>229.98462664714492</v>
      </c>
      <c r="Z967" s="60" t="s">
        <v>73</v>
      </c>
      <c r="AA967" s="58" t="s">
        <v>345</v>
      </c>
      <c r="AB967" s="58" t="s">
        <v>75</v>
      </c>
      <c r="AC967" s="61" t="s">
        <v>221</v>
      </c>
      <c r="AD967" s="53" t="s">
        <v>85</v>
      </c>
      <c r="AE967" s="56">
        <v>62.044308106666655</v>
      </c>
      <c r="AF967" s="62"/>
      <c r="AG967" s="63"/>
      <c r="AH967" s="61"/>
      <c r="AO967" s="64" t="s">
        <v>78</v>
      </c>
      <c r="AP967" s="65">
        <v>5.6</v>
      </c>
      <c r="AQ967" s="65">
        <v>5.6</v>
      </c>
      <c r="AR967" s="65"/>
      <c r="AS967" s="65"/>
      <c r="AT967" s="65"/>
      <c r="AU967" s="65"/>
      <c r="AV967" s="65"/>
      <c r="AW967" s="65"/>
      <c r="AX967" s="65"/>
      <c r="AY967" s="65"/>
      <c r="AZ967" s="65"/>
      <c r="BA967" s="65"/>
      <c r="BB967" s="65"/>
      <c r="BC967" s="65"/>
      <c r="BD967" s="65"/>
      <c r="BE967" s="65"/>
      <c r="BF967" s="65"/>
      <c r="BG967" s="65"/>
      <c r="BH967" s="65"/>
      <c r="BI967" s="65"/>
      <c r="BJ967" s="65"/>
      <c r="BK967" s="65"/>
      <c r="BL967" s="65"/>
      <c r="BM967" s="65"/>
      <c r="BN967" s="65"/>
      <c r="BO967" s="65"/>
    </row>
    <row r="968" spans="1:67" s="58" customFormat="1" x14ac:dyDescent="0.2">
      <c r="A968" s="49"/>
      <c r="B968" s="50"/>
      <c r="C968" s="51"/>
      <c r="D968" s="49"/>
      <c r="E968" s="49"/>
      <c r="F968" s="52"/>
      <c r="G968" s="53"/>
      <c r="H968" s="54"/>
      <c r="I968" s="55"/>
      <c r="J968" s="53"/>
      <c r="K968" s="53"/>
      <c r="L968" s="53"/>
      <c r="M968" s="56"/>
      <c r="N968" s="53"/>
      <c r="O968" s="57"/>
      <c r="P968" s="57"/>
      <c r="Q968" s="53"/>
      <c r="R968" s="53"/>
      <c r="S968" s="53"/>
      <c r="T968" s="59"/>
      <c r="U968" s="59"/>
      <c r="V968" s="53"/>
      <c r="W968" s="53"/>
      <c r="X968" s="53"/>
      <c r="Y968" s="9" t="e">
        <f t="shared" si="15"/>
        <v>#DIV/0!</v>
      </c>
      <c r="Z968" s="60"/>
      <c r="AC968" s="61"/>
      <c r="AD968" s="53"/>
      <c r="AE968" s="56"/>
      <c r="AF968" s="62"/>
      <c r="AG968" s="63"/>
      <c r="AH968" s="61"/>
      <c r="AO968" s="64" t="s">
        <v>79</v>
      </c>
      <c r="AP968" s="65">
        <v>4.5999999999999996</v>
      </c>
      <c r="AQ968" s="65">
        <v>4.5999999999999996</v>
      </c>
      <c r="AR968" s="65"/>
      <c r="AS968" s="65"/>
      <c r="AT968" s="65"/>
      <c r="AU968" s="65"/>
      <c r="AV968" s="65"/>
      <c r="AW968" s="65"/>
      <c r="AX968" s="65"/>
      <c r="AY968" s="65"/>
      <c r="AZ968" s="65"/>
      <c r="BA968" s="65"/>
      <c r="BB968" s="65"/>
      <c r="BC968" s="65"/>
      <c r="BD968" s="65"/>
      <c r="BE968" s="65"/>
      <c r="BF968" s="65"/>
      <c r="BG968" s="65"/>
      <c r="BH968" s="65"/>
      <c r="BI968" s="65"/>
      <c r="BJ968" s="65"/>
      <c r="BK968" s="65"/>
      <c r="BL968" s="65"/>
      <c r="BM968" s="65"/>
      <c r="BN968" s="65"/>
      <c r="BO968" s="65"/>
    </row>
    <row r="969" spans="1:67" s="58" customFormat="1" x14ac:dyDescent="0.2">
      <c r="A969" s="49"/>
      <c r="B969" s="50"/>
      <c r="C969" s="51"/>
      <c r="D969" s="49"/>
      <c r="E969" s="49"/>
      <c r="F969" s="52"/>
      <c r="G969" s="53"/>
      <c r="H969" s="54"/>
      <c r="I969" s="55"/>
      <c r="J969" s="53"/>
      <c r="K969" s="53"/>
      <c r="L969" s="53"/>
      <c r="M969" s="56"/>
      <c r="N969" s="53"/>
      <c r="O969" s="57"/>
      <c r="P969" s="57"/>
      <c r="Q969" s="53"/>
      <c r="R969" s="53"/>
      <c r="S969" s="53"/>
      <c r="T969" s="59"/>
      <c r="U969" s="59"/>
      <c r="V969" s="53"/>
      <c r="W969" s="53"/>
      <c r="X969" s="53"/>
      <c r="Y969" s="9" t="e">
        <f t="shared" si="15"/>
        <v>#DIV/0!</v>
      </c>
      <c r="Z969" s="60"/>
      <c r="AC969" s="61"/>
      <c r="AD969" s="53"/>
      <c r="AE969" s="56"/>
      <c r="AF969" s="62"/>
      <c r="AG969" s="63"/>
      <c r="AH969" s="61"/>
      <c r="AO969" s="64" t="s">
        <v>80</v>
      </c>
      <c r="AP969" s="65">
        <v>4.5999999999999996</v>
      </c>
      <c r="AQ969" s="65">
        <v>4.5999999999999996</v>
      </c>
      <c r="AR969" s="65"/>
      <c r="AS969" s="65"/>
      <c r="AT969" s="65"/>
      <c r="AU969" s="65"/>
      <c r="AV969" s="65"/>
      <c r="AW969" s="65"/>
      <c r="AX969" s="65"/>
      <c r="AY969" s="65"/>
      <c r="AZ969" s="65"/>
      <c r="BA969" s="65"/>
      <c r="BB969" s="65"/>
      <c r="BC969" s="65"/>
      <c r="BD969" s="65"/>
      <c r="BE969" s="65"/>
      <c r="BF969" s="65"/>
      <c r="BG969" s="65"/>
      <c r="BH969" s="65"/>
      <c r="BI969" s="65"/>
      <c r="BJ969" s="65"/>
      <c r="BK969" s="65"/>
      <c r="BL969" s="65"/>
      <c r="BM969" s="65"/>
      <c r="BN969" s="65"/>
      <c r="BO969" s="65"/>
    </row>
    <row r="970" spans="1:67" s="58" customFormat="1" x14ac:dyDescent="0.2">
      <c r="A970" s="49" t="s">
        <v>67</v>
      </c>
      <c r="B970" s="50">
        <v>43228</v>
      </c>
      <c r="C970" s="51">
        <v>0.60069444444444398</v>
      </c>
      <c r="D970" s="49" t="s">
        <v>158</v>
      </c>
      <c r="E970" s="49"/>
      <c r="F970" s="52">
        <v>61.5</v>
      </c>
      <c r="G970" s="53">
        <v>2</v>
      </c>
      <c r="H970" s="54">
        <v>3.2520325203252036E-2</v>
      </c>
      <c r="I970" s="55">
        <v>6.83E-2</v>
      </c>
      <c r="J970" s="53">
        <v>314.15899999999999</v>
      </c>
      <c r="K970" s="53">
        <v>0.68300000000000005</v>
      </c>
      <c r="L970" s="53">
        <v>10</v>
      </c>
      <c r="M970" s="56">
        <v>229.98462664714492</v>
      </c>
      <c r="N970" s="53">
        <v>1037</v>
      </c>
      <c r="O970" s="57" t="s">
        <v>86</v>
      </c>
      <c r="P970" s="57" t="s">
        <v>82</v>
      </c>
      <c r="Q970" s="53" t="s">
        <v>87</v>
      </c>
      <c r="R970" s="53" t="s">
        <v>84</v>
      </c>
      <c r="S970" s="53"/>
      <c r="T970" s="59">
        <v>8</v>
      </c>
      <c r="U970" s="59">
        <v>8</v>
      </c>
      <c r="V970" s="53">
        <v>2.8</v>
      </c>
      <c r="W970" s="53"/>
      <c r="X970" s="53"/>
      <c r="Y970" s="9">
        <f t="shared" si="15"/>
        <v>1839.8770131771594</v>
      </c>
      <c r="Z970" s="60" t="s">
        <v>73</v>
      </c>
      <c r="AA970" s="58" t="s">
        <v>345</v>
      </c>
      <c r="AB970" s="58" t="s">
        <v>75</v>
      </c>
      <c r="AC970" s="61" t="s">
        <v>221</v>
      </c>
      <c r="AD970" s="53" t="s">
        <v>85</v>
      </c>
      <c r="AE970" s="56">
        <v>6.3706209216666645</v>
      </c>
      <c r="AF970" s="62"/>
      <c r="AG970" s="63"/>
      <c r="AH970" s="61"/>
      <c r="AO970" s="64" t="s">
        <v>78</v>
      </c>
      <c r="AP970" s="65">
        <v>2.2599999999999998</v>
      </c>
      <c r="AQ970" s="65">
        <v>2.8</v>
      </c>
      <c r="AR970" s="65">
        <v>1.9</v>
      </c>
      <c r="AS970" s="65">
        <v>2.8</v>
      </c>
      <c r="AT970" s="65">
        <v>1.9</v>
      </c>
      <c r="AU970" s="65">
        <v>1.9</v>
      </c>
      <c r="AV970" s="65"/>
      <c r="AW970" s="65"/>
      <c r="AX970" s="65"/>
      <c r="AY970" s="65"/>
      <c r="AZ970" s="65"/>
      <c r="BA970" s="65"/>
      <c r="BB970" s="65"/>
      <c r="BC970" s="65"/>
      <c r="BD970" s="65"/>
      <c r="BE970" s="65"/>
      <c r="BF970" s="65"/>
      <c r="BG970" s="65"/>
      <c r="BH970" s="65"/>
      <c r="BI970" s="65"/>
      <c r="BJ970" s="65"/>
      <c r="BK970" s="65"/>
      <c r="BL970" s="65"/>
      <c r="BM970" s="65"/>
      <c r="BN970" s="65"/>
      <c r="BO970" s="65"/>
    </row>
    <row r="971" spans="1:67" s="58" customFormat="1" x14ac:dyDescent="0.2">
      <c r="A971" s="49" t="s">
        <v>67</v>
      </c>
      <c r="B971" s="50">
        <v>43228</v>
      </c>
      <c r="C971" s="51">
        <v>0.60069444444444398</v>
      </c>
      <c r="D971" s="49" t="s">
        <v>158</v>
      </c>
      <c r="E971" s="49"/>
      <c r="F971" s="52">
        <v>61.5</v>
      </c>
      <c r="G971" s="53">
        <v>2</v>
      </c>
      <c r="H971" s="54">
        <v>3.2520325203252036E-2</v>
      </c>
      <c r="I971" s="55">
        <v>6.83E-2</v>
      </c>
      <c r="J971" s="53">
        <v>314.15899999999999</v>
      </c>
      <c r="K971" s="53">
        <v>0.68300000000000005</v>
      </c>
      <c r="L971" s="53">
        <v>10</v>
      </c>
      <c r="M971" s="56">
        <v>229.98462664714492</v>
      </c>
      <c r="N971" s="53">
        <v>1364</v>
      </c>
      <c r="O971" s="57" t="s">
        <v>88</v>
      </c>
      <c r="P971" s="57" t="s">
        <v>82</v>
      </c>
      <c r="Q971" s="53" t="s">
        <v>89</v>
      </c>
      <c r="R971" s="53" t="s">
        <v>90</v>
      </c>
      <c r="S971" s="53"/>
      <c r="T971" s="59">
        <v>1</v>
      </c>
      <c r="U971" s="59">
        <v>1</v>
      </c>
      <c r="V971" s="53">
        <v>9.3000000000000007</v>
      </c>
      <c r="W971" s="53"/>
      <c r="X971" s="53"/>
      <c r="Y971" s="9">
        <f t="shared" si="15"/>
        <v>229.98462664714492</v>
      </c>
      <c r="Z971" s="60" t="s">
        <v>73</v>
      </c>
      <c r="AA971" s="58" t="s">
        <v>345</v>
      </c>
      <c r="AB971" s="58" t="s">
        <v>75</v>
      </c>
      <c r="AC971" s="61" t="s">
        <v>221</v>
      </c>
      <c r="AD971" s="53" t="s">
        <v>91</v>
      </c>
      <c r="AE971" s="56">
        <v>337.38084788249995</v>
      </c>
      <c r="AF971" s="62"/>
      <c r="AG971" s="63"/>
      <c r="AH971" s="61"/>
      <c r="AO971" s="64" t="s">
        <v>78</v>
      </c>
      <c r="AP971" s="65">
        <v>9.3000000000000007</v>
      </c>
      <c r="AQ971" s="65">
        <v>9.3000000000000007</v>
      </c>
      <c r="AR971" s="65"/>
      <c r="AS971" s="65"/>
      <c r="AT971" s="65"/>
      <c r="AU971" s="65"/>
      <c r="AV971" s="65"/>
      <c r="AW971" s="65"/>
      <c r="AX971" s="65"/>
      <c r="AY971" s="65"/>
      <c r="AZ971" s="65"/>
      <c r="BA971" s="65"/>
      <c r="BB971" s="65"/>
      <c r="BC971" s="65"/>
      <c r="BD971" s="65"/>
      <c r="BE971" s="65"/>
      <c r="BF971" s="65"/>
      <c r="BG971" s="65"/>
      <c r="BH971" s="65"/>
      <c r="BI971" s="65"/>
      <c r="BJ971" s="65"/>
      <c r="BK971" s="65"/>
      <c r="BL971" s="65"/>
      <c r="BM971" s="65"/>
      <c r="BN971" s="65"/>
      <c r="BO971" s="65"/>
    </row>
    <row r="972" spans="1:67" s="58" customFormat="1" x14ac:dyDescent="0.2">
      <c r="A972" s="49"/>
      <c r="B972" s="50"/>
      <c r="C972" s="51"/>
      <c r="D972" s="49"/>
      <c r="E972" s="49"/>
      <c r="F972" s="52"/>
      <c r="G972" s="53"/>
      <c r="H972" s="54"/>
      <c r="I972" s="55"/>
      <c r="J972" s="53"/>
      <c r="K972" s="53"/>
      <c r="L972" s="53"/>
      <c r="M972" s="56"/>
      <c r="N972" s="53"/>
      <c r="O972" s="57"/>
      <c r="P972" s="57"/>
      <c r="Q972" s="53"/>
      <c r="R972" s="53"/>
      <c r="S972" s="53"/>
      <c r="T972" s="59"/>
      <c r="U972" s="59"/>
      <c r="V972" s="53"/>
      <c r="W972" s="53"/>
      <c r="X972" s="53"/>
      <c r="Y972" s="9" t="e">
        <f t="shared" si="15"/>
        <v>#DIV/0!</v>
      </c>
      <c r="Z972" s="60"/>
      <c r="AC972" s="61"/>
      <c r="AD972" s="53"/>
      <c r="AE972" s="56"/>
      <c r="AF972" s="62"/>
      <c r="AG972" s="63"/>
      <c r="AH972" s="61"/>
      <c r="AO972" s="64" t="s">
        <v>79</v>
      </c>
      <c r="AP972" s="65">
        <v>5.6</v>
      </c>
      <c r="AQ972" s="65">
        <v>5.6</v>
      </c>
      <c r="AR972" s="65"/>
      <c r="AS972" s="65"/>
      <c r="AT972" s="65"/>
      <c r="AU972" s="65"/>
      <c r="AV972" s="65"/>
      <c r="AW972" s="65"/>
      <c r="AX972" s="65"/>
      <c r="AY972" s="65"/>
      <c r="AZ972" s="65"/>
      <c r="BA972" s="65"/>
      <c r="BB972" s="65"/>
      <c r="BC972" s="65"/>
      <c r="BD972" s="65"/>
      <c r="BE972" s="65"/>
      <c r="BF972" s="65"/>
      <c r="BG972" s="65"/>
      <c r="BH972" s="65"/>
      <c r="BI972" s="65"/>
      <c r="BJ972" s="65"/>
      <c r="BK972" s="65"/>
      <c r="BL972" s="65"/>
      <c r="BM972" s="65"/>
      <c r="BN972" s="65"/>
      <c r="BO972" s="65"/>
    </row>
    <row r="973" spans="1:67" s="58" customFormat="1" x14ac:dyDescent="0.2">
      <c r="A973" s="49" t="s">
        <v>67</v>
      </c>
      <c r="B973" s="50">
        <v>43228</v>
      </c>
      <c r="C973" s="51">
        <v>0.60069444444444398</v>
      </c>
      <c r="D973" s="49" t="s">
        <v>158</v>
      </c>
      <c r="E973" s="49"/>
      <c r="F973" s="52">
        <v>61.5</v>
      </c>
      <c r="G973" s="53">
        <v>2</v>
      </c>
      <c r="H973" s="54">
        <v>3.2520325203252036E-2</v>
      </c>
      <c r="I973" s="55">
        <v>6.83E-2</v>
      </c>
      <c r="J973" s="53">
        <v>314.15899999999999</v>
      </c>
      <c r="K973" s="53">
        <v>0.68300000000000005</v>
      </c>
      <c r="L973" s="53">
        <v>10</v>
      </c>
      <c r="M973" s="56">
        <v>229.98462664714492</v>
      </c>
      <c r="N973" s="53">
        <v>1733</v>
      </c>
      <c r="O973" s="57" t="s">
        <v>92</v>
      </c>
      <c r="P973" s="57" t="s">
        <v>82</v>
      </c>
      <c r="Q973" s="53" t="s">
        <v>89</v>
      </c>
      <c r="R973" s="53" t="s">
        <v>93</v>
      </c>
      <c r="S973" s="53"/>
      <c r="T973" s="59">
        <v>1</v>
      </c>
      <c r="U973" s="59">
        <v>1</v>
      </c>
      <c r="V973" s="53">
        <v>5.6</v>
      </c>
      <c r="W973" s="53"/>
      <c r="X973" s="53"/>
      <c r="Y973" s="9">
        <f t="shared" si="15"/>
        <v>229.98462664714492</v>
      </c>
      <c r="Z973" s="60" t="s">
        <v>73</v>
      </c>
      <c r="AA973" s="58" t="s">
        <v>345</v>
      </c>
      <c r="AB973" s="58" t="s">
        <v>75</v>
      </c>
      <c r="AC973" s="61" t="s">
        <v>221</v>
      </c>
      <c r="AD973" s="53" t="s">
        <v>91</v>
      </c>
      <c r="AE973" s="56">
        <v>83.742223039999971</v>
      </c>
      <c r="AF973" s="62"/>
      <c r="AG973" s="63"/>
      <c r="AH973" s="61"/>
      <c r="AO973" s="64" t="s">
        <v>78</v>
      </c>
      <c r="AP973" s="65">
        <v>5.6</v>
      </c>
      <c r="AQ973" s="65">
        <v>5.6</v>
      </c>
      <c r="AR973" s="65"/>
      <c r="AS973" s="65"/>
      <c r="AT973" s="65"/>
      <c r="AU973" s="65"/>
      <c r="AV973" s="65"/>
      <c r="AW973" s="65"/>
      <c r="AX973" s="65"/>
      <c r="AY973" s="65"/>
      <c r="AZ973" s="65"/>
      <c r="BA973" s="65"/>
      <c r="BB973" s="65"/>
      <c r="BC973" s="65"/>
      <c r="BD973" s="65"/>
      <c r="BE973" s="65"/>
      <c r="BF973" s="65"/>
      <c r="BG973" s="65"/>
      <c r="BH973" s="65"/>
      <c r="BI973" s="65"/>
      <c r="BJ973" s="65"/>
      <c r="BK973" s="65"/>
      <c r="BL973" s="65"/>
      <c r="BM973" s="65"/>
      <c r="BN973" s="65"/>
      <c r="BO973" s="65"/>
    </row>
    <row r="974" spans="1:67" s="58" customFormat="1" x14ac:dyDescent="0.2">
      <c r="A974" s="49"/>
      <c r="B974" s="50"/>
      <c r="C974" s="51"/>
      <c r="D974" s="49"/>
      <c r="E974" s="49"/>
      <c r="F974" s="52"/>
      <c r="G974" s="53"/>
      <c r="H974" s="54"/>
      <c r="I974" s="55"/>
      <c r="J974" s="53"/>
      <c r="K974" s="53"/>
      <c r="L974" s="53"/>
      <c r="M974" s="56"/>
      <c r="N974" s="53"/>
      <c r="O974" s="57"/>
      <c r="P974" s="57"/>
      <c r="Q974" s="53"/>
      <c r="R974" s="53"/>
      <c r="S974" s="53"/>
      <c r="T974" s="59"/>
      <c r="U974" s="59"/>
      <c r="V974" s="53"/>
      <c r="W974" s="53"/>
      <c r="X974" s="53"/>
      <c r="Y974" s="9" t="e">
        <f t="shared" si="15"/>
        <v>#DIV/0!</v>
      </c>
      <c r="Z974" s="60"/>
      <c r="AC974" s="61"/>
      <c r="AD974" s="53"/>
      <c r="AE974" s="56"/>
      <c r="AF974" s="62"/>
      <c r="AG974" s="63"/>
      <c r="AH974" s="61"/>
      <c r="AO974" s="64" t="s">
        <v>79</v>
      </c>
      <c r="AP974" s="65">
        <v>4.5999999999999996</v>
      </c>
      <c r="AQ974" s="65">
        <v>4.5999999999999996</v>
      </c>
      <c r="AR974" s="65"/>
      <c r="AS974" s="65"/>
      <c r="AT974" s="65"/>
      <c r="AU974" s="65"/>
      <c r="AV974" s="65"/>
      <c r="AW974" s="65"/>
      <c r="AX974" s="65"/>
      <c r="AY974" s="65"/>
      <c r="AZ974" s="65"/>
      <c r="BA974" s="65"/>
      <c r="BB974" s="65"/>
      <c r="BC974" s="65"/>
      <c r="BD974" s="65"/>
      <c r="BE974" s="65"/>
      <c r="BF974" s="65"/>
      <c r="BG974" s="65"/>
      <c r="BH974" s="65"/>
      <c r="BI974" s="65"/>
      <c r="BJ974" s="65"/>
      <c r="BK974" s="65"/>
      <c r="BL974" s="65"/>
      <c r="BM974" s="65"/>
      <c r="BN974" s="65"/>
      <c r="BO974" s="65"/>
    </row>
    <row r="975" spans="1:67" s="58" customFormat="1" x14ac:dyDescent="0.2">
      <c r="A975" s="49" t="s">
        <v>67</v>
      </c>
      <c r="B975" s="50">
        <v>43228</v>
      </c>
      <c r="C975" s="51">
        <v>0.60069444444444398</v>
      </c>
      <c r="D975" s="49" t="s">
        <v>158</v>
      </c>
      <c r="E975" s="49"/>
      <c r="F975" s="52">
        <v>61.5</v>
      </c>
      <c r="G975" s="53">
        <v>2</v>
      </c>
      <c r="H975" s="54">
        <v>3.2520325203252036E-2</v>
      </c>
      <c r="I975" s="55">
        <v>6.83E-2</v>
      </c>
      <c r="J975" s="53">
        <v>314.15899999999999</v>
      </c>
      <c r="K975" s="53">
        <v>0.68300000000000005</v>
      </c>
      <c r="L975" s="53">
        <v>10</v>
      </c>
      <c r="M975" s="56">
        <v>229.98462664714492</v>
      </c>
      <c r="N975" s="53">
        <v>1419</v>
      </c>
      <c r="O975" s="57" t="s">
        <v>94</v>
      </c>
      <c r="P975" s="57" t="s">
        <v>82</v>
      </c>
      <c r="Q975" s="53" t="s">
        <v>95</v>
      </c>
      <c r="R975" s="53" t="s">
        <v>96</v>
      </c>
      <c r="S975" s="53"/>
      <c r="T975" s="59">
        <v>416</v>
      </c>
      <c r="U975" s="59">
        <v>842</v>
      </c>
      <c r="V975" s="53">
        <v>0.8</v>
      </c>
      <c r="W975" s="53">
        <v>0.8</v>
      </c>
      <c r="X975" s="53">
        <v>0.8</v>
      </c>
      <c r="Y975" s="9">
        <f t="shared" si="15"/>
        <v>95673.604685212296</v>
      </c>
      <c r="Z975" s="60" t="s">
        <v>97</v>
      </c>
      <c r="AA975" s="58" t="s">
        <v>345</v>
      </c>
      <c r="AB975" s="58" t="s">
        <v>75</v>
      </c>
      <c r="AC975" s="61" t="s">
        <v>221</v>
      </c>
      <c r="AD975" s="53" t="s">
        <v>85</v>
      </c>
      <c r="AE975" s="56">
        <v>0.18</v>
      </c>
      <c r="AF975" s="56">
        <v>0.18</v>
      </c>
      <c r="AG975" s="56">
        <v>0.18</v>
      </c>
      <c r="AH975" s="56">
        <v>0.18</v>
      </c>
      <c r="AI975" s="56">
        <v>0.18</v>
      </c>
      <c r="AJ975" s="56">
        <v>0.18</v>
      </c>
      <c r="AK975" s="56">
        <v>0.18</v>
      </c>
      <c r="AL975" s="56">
        <v>0.18</v>
      </c>
      <c r="AM975" s="56">
        <v>0.18</v>
      </c>
      <c r="AN975" s="56">
        <v>0.18</v>
      </c>
      <c r="AO975" s="66" t="s">
        <v>78</v>
      </c>
      <c r="AP975" s="65">
        <v>0.75200000000000033</v>
      </c>
      <c r="AQ975" s="65">
        <v>0.7</v>
      </c>
      <c r="AR975" s="65">
        <v>0.7</v>
      </c>
      <c r="AS975" s="65">
        <v>0.7</v>
      </c>
      <c r="AT975" s="65">
        <v>0.7</v>
      </c>
      <c r="AU975" s="65">
        <v>0.7</v>
      </c>
      <c r="AV975" s="65">
        <v>0.7</v>
      </c>
      <c r="AW975" s="65">
        <v>0.7</v>
      </c>
      <c r="AX975" s="65">
        <v>0.7</v>
      </c>
      <c r="AY975" s="65">
        <v>0.7</v>
      </c>
      <c r="AZ975" s="65">
        <v>0.7</v>
      </c>
      <c r="BA975" s="65">
        <v>0.7</v>
      </c>
      <c r="BB975" s="65">
        <v>0.7</v>
      </c>
      <c r="BC975" s="65">
        <v>0.8</v>
      </c>
      <c r="BD975" s="65">
        <v>0.8</v>
      </c>
      <c r="BE975" s="65">
        <v>0.8</v>
      </c>
      <c r="BF975" s="65">
        <v>0.8</v>
      </c>
      <c r="BG975" s="65">
        <v>0.8</v>
      </c>
      <c r="BH975" s="65">
        <v>0.8</v>
      </c>
      <c r="BI975" s="65">
        <v>0.8</v>
      </c>
      <c r="BJ975" s="65">
        <v>0.8</v>
      </c>
      <c r="BK975" s="65">
        <v>0.8</v>
      </c>
      <c r="BL975" s="65">
        <v>0.8</v>
      </c>
      <c r="BM975" s="65">
        <v>0.8</v>
      </c>
      <c r="BN975" s="65">
        <v>0.8</v>
      </c>
      <c r="BO975" s="65">
        <v>0.8</v>
      </c>
    </row>
    <row r="976" spans="1:67" s="58" customFormat="1" x14ac:dyDescent="0.2">
      <c r="A976" s="49" t="s">
        <v>67</v>
      </c>
      <c r="B976" s="50">
        <v>43228</v>
      </c>
      <c r="C976" s="51">
        <v>0.62013888888888902</v>
      </c>
      <c r="D976" s="49" t="s">
        <v>170</v>
      </c>
      <c r="E976" s="49">
        <v>3</v>
      </c>
      <c r="F976" s="52">
        <v>62.5</v>
      </c>
      <c r="G976" s="53">
        <v>2</v>
      </c>
      <c r="H976" s="54">
        <v>3.2000000000000001E-2</v>
      </c>
      <c r="I976" s="55">
        <v>6.83E-2</v>
      </c>
      <c r="J976" s="53">
        <v>314.15899999999999</v>
      </c>
      <c r="K976" s="53">
        <v>0.8196</v>
      </c>
      <c r="L976" s="53">
        <v>12</v>
      </c>
      <c r="M976" s="56">
        <v>191.65385553928746</v>
      </c>
      <c r="N976" s="53">
        <v>1037</v>
      </c>
      <c r="O976" s="57" t="s">
        <v>86</v>
      </c>
      <c r="P976" s="57" t="s">
        <v>82</v>
      </c>
      <c r="Q976" s="53" t="s">
        <v>87</v>
      </c>
      <c r="R976" s="53" t="s">
        <v>84</v>
      </c>
      <c r="S976" s="53"/>
      <c r="T976" s="59">
        <v>7</v>
      </c>
      <c r="U976" s="59">
        <v>7</v>
      </c>
      <c r="V976" s="53">
        <v>2.8</v>
      </c>
      <c r="W976" s="53"/>
      <c r="X976" s="53"/>
      <c r="Y976" s="9">
        <f t="shared" si="15"/>
        <v>1341.5769887750121</v>
      </c>
      <c r="Z976" s="60" t="s">
        <v>73</v>
      </c>
      <c r="AA976" s="58" t="s">
        <v>349</v>
      </c>
      <c r="AB976" s="58" t="s">
        <v>75</v>
      </c>
      <c r="AC976" s="61" t="s">
        <v>281</v>
      </c>
      <c r="AD976" s="53" t="s">
        <v>85</v>
      </c>
      <c r="AE976" s="56">
        <v>9.2027643066666673</v>
      </c>
      <c r="AF976" s="62"/>
      <c r="AG976" s="63"/>
      <c r="AH976" s="61"/>
      <c r="AO976" s="64" t="s">
        <v>78</v>
      </c>
      <c r="AP976" s="65">
        <v>2.62</v>
      </c>
      <c r="AQ976" s="65">
        <v>2.8</v>
      </c>
      <c r="AR976" s="65">
        <v>2.8</v>
      </c>
      <c r="AS976" s="65">
        <v>1.9</v>
      </c>
      <c r="AT976" s="65">
        <v>2.8</v>
      </c>
      <c r="AU976" s="65">
        <v>2.8</v>
      </c>
      <c r="AV976" s="65"/>
      <c r="AW976" s="65"/>
      <c r="AX976" s="65"/>
      <c r="AY976" s="65"/>
      <c r="AZ976" s="65"/>
      <c r="BA976" s="65"/>
      <c r="BB976" s="65"/>
      <c r="BC976" s="65"/>
      <c r="BD976" s="65"/>
      <c r="BE976" s="65"/>
      <c r="BF976" s="65"/>
      <c r="BG976" s="65"/>
      <c r="BH976" s="65"/>
      <c r="BI976" s="65"/>
      <c r="BJ976" s="65"/>
      <c r="BK976" s="65"/>
      <c r="BL976" s="65"/>
      <c r="BM976" s="65"/>
      <c r="BN976" s="65"/>
      <c r="BO976" s="65"/>
    </row>
    <row r="977" spans="1:67" s="58" customFormat="1" x14ac:dyDescent="0.2">
      <c r="A977" s="49" t="s">
        <v>67</v>
      </c>
      <c r="B977" s="50">
        <v>43228</v>
      </c>
      <c r="C977" s="51">
        <v>0.62013888888888902</v>
      </c>
      <c r="D977" s="49" t="s">
        <v>170</v>
      </c>
      <c r="E977" s="49">
        <v>3</v>
      </c>
      <c r="F977" s="52">
        <v>62.5</v>
      </c>
      <c r="G977" s="53">
        <v>2</v>
      </c>
      <c r="H977" s="54">
        <v>3.2000000000000001E-2</v>
      </c>
      <c r="I977" s="55">
        <v>6.83E-2</v>
      </c>
      <c r="J977" s="53">
        <v>314.15899999999999</v>
      </c>
      <c r="K977" s="53">
        <v>0.8196</v>
      </c>
      <c r="L977" s="53">
        <v>12</v>
      </c>
      <c r="M977" s="56">
        <v>191.65385553928746</v>
      </c>
      <c r="N977" s="53">
        <v>1419</v>
      </c>
      <c r="O977" s="57" t="s">
        <v>94</v>
      </c>
      <c r="P977" s="57" t="s">
        <v>82</v>
      </c>
      <c r="Q977" s="53" t="s">
        <v>95</v>
      </c>
      <c r="R977" s="53" t="s">
        <v>96</v>
      </c>
      <c r="S977" s="53"/>
      <c r="T977" s="59">
        <v>399</v>
      </c>
      <c r="U977" s="59">
        <v>800</v>
      </c>
      <c r="V977" s="53">
        <v>0.8</v>
      </c>
      <c r="W977" s="53">
        <v>0.8</v>
      </c>
      <c r="X977" s="53">
        <v>0.8</v>
      </c>
      <c r="Y977" s="9">
        <f t="shared" si="15"/>
        <v>76469.888360175697</v>
      </c>
      <c r="Z977" s="60" t="s">
        <v>97</v>
      </c>
      <c r="AA977" s="58" t="s">
        <v>349</v>
      </c>
      <c r="AB977" s="58" t="s">
        <v>75</v>
      </c>
      <c r="AC977" s="61" t="s">
        <v>281</v>
      </c>
      <c r="AD977" s="53" t="s">
        <v>85</v>
      </c>
      <c r="AE977" s="56">
        <v>0.18</v>
      </c>
      <c r="AF977" s="56">
        <v>0.18</v>
      </c>
      <c r="AG977" s="56">
        <v>0.18</v>
      </c>
      <c r="AH977" s="56">
        <v>0.18</v>
      </c>
      <c r="AI977" s="56">
        <v>0.18</v>
      </c>
      <c r="AJ977" s="56">
        <v>0.18</v>
      </c>
      <c r="AK977" s="56">
        <v>0.18</v>
      </c>
      <c r="AL977" s="56">
        <v>0.18</v>
      </c>
      <c r="AM977" s="56">
        <v>0.18</v>
      </c>
      <c r="AN977" s="56">
        <v>0.18</v>
      </c>
      <c r="AO977" s="66" t="s">
        <v>78</v>
      </c>
      <c r="AP977" s="65">
        <v>0.75200000000000033</v>
      </c>
      <c r="AQ977" s="65">
        <v>0.7</v>
      </c>
      <c r="AR977" s="65">
        <v>0.7</v>
      </c>
      <c r="AS977" s="65">
        <v>0.7</v>
      </c>
      <c r="AT977" s="65">
        <v>0.7</v>
      </c>
      <c r="AU977" s="65">
        <v>0.7</v>
      </c>
      <c r="AV977" s="65">
        <v>0.7</v>
      </c>
      <c r="AW977" s="65">
        <v>0.7</v>
      </c>
      <c r="AX977" s="65">
        <v>0.7</v>
      </c>
      <c r="AY977" s="65">
        <v>0.7</v>
      </c>
      <c r="AZ977" s="65">
        <v>0.7</v>
      </c>
      <c r="BA977" s="65">
        <v>0.7</v>
      </c>
      <c r="BB977" s="65">
        <v>0.7</v>
      </c>
      <c r="BC977" s="65">
        <v>0.8</v>
      </c>
      <c r="BD977" s="65">
        <v>0.8</v>
      </c>
      <c r="BE977" s="65">
        <v>0.8</v>
      </c>
      <c r="BF977" s="65">
        <v>0.8</v>
      </c>
      <c r="BG977" s="65">
        <v>0.8</v>
      </c>
      <c r="BH977" s="65">
        <v>0.8</v>
      </c>
      <c r="BI977" s="65">
        <v>0.8</v>
      </c>
      <c r="BJ977" s="65">
        <v>0.8</v>
      </c>
      <c r="BK977" s="65">
        <v>0.8</v>
      </c>
      <c r="BL977" s="65">
        <v>0.8</v>
      </c>
      <c r="BM977" s="65">
        <v>0.8</v>
      </c>
      <c r="BN977" s="65">
        <v>0.8</v>
      </c>
      <c r="BO977" s="65">
        <v>0.8</v>
      </c>
    </row>
    <row r="978" spans="1:67" s="58" customFormat="1" x14ac:dyDescent="0.2">
      <c r="A978" s="49" t="s">
        <v>67</v>
      </c>
      <c r="B978" s="50">
        <v>43228</v>
      </c>
      <c r="C978" s="51">
        <v>0.58958333333333302</v>
      </c>
      <c r="D978" s="49" t="s">
        <v>173</v>
      </c>
      <c r="E978" s="49"/>
      <c r="F978" s="52">
        <v>60</v>
      </c>
      <c r="G978" s="53">
        <v>3</v>
      </c>
      <c r="H978" s="54">
        <v>0.05</v>
      </c>
      <c r="I978" s="55">
        <v>6.83E-2</v>
      </c>
      <c r="J978" s="53">
        <v>314.15899999999999</v>
      </c>
      <c r="K978" s="53">
        <v>0.75129999999999997</v>
      </c>
      <c r="L978" s="53">
        <v>11</v>
      </c>
      <c r="M978" s="56">
        <v>139.38462221039089</v>
      </c>
      <c r="N978" s="53">
        <v>145</v>
      </c>
      <c r="O978" s="57" t="s">
        <v>69</v>
      </c>
      <c r="P978" s="58" t="s">
        <v>70</v>
      </c>
      <c r="Q978" s="53" t="s">
        <v>71</v>
      </c>
      <c r="R978" s="53" t="s">
        <v>72</v>
      </c>
      <c r="S978" s="53"/>
      <c r="T978" s="59">
        <v>2</v>
      </c>
      <c r="U978" s="59">
        <v>2</v>
      </c>
      <c r="V978" s="53">
        <v>24.1</v>
      </c>
      <c r="W978" s="53"/>
      <c r="X978" s="53"/>
      <c r="Y978" s="9">
        <f t="shared" si="15"/>
        <v>278.76924442078177</v>
      </c>
      <c r="Z978" s="60" t="s">
        <v>73</v>
      </c>
      <c r="AA978" s="58" t="s">
        <v>350</v>
      </c>
      <c r="AB978" s="58" t="s">
        <v>75</v>
      </c>
      <c r="AC978" s="61" t="s">
        <v>281</v>
      </c>
      <c r="AD978" s="53" t="s">
        <v>77</v>
      </c>
      <c r="AE978" s="56">
        <v>555.33101032499997</v>
      </c>
      <c r="AF978" s="62"/>
      <c r="AG978" s="63"/>
      <c r="AH978" s="61"/>
      <c r="AO978" s="64" t="s">
        <v>78</v>
      </c>
      <c r="AP978" s="65">
        <v>19.450000000000003</v>
      </c>
      <c r="AQ978" s="65">
        <v>14.8</v>
      </c>
      <c r="AR978" s="65">
        <v>24.1</v>
      </c>
      <c r="AS978" s="65"/>
      <c r="AT978" s="65"/>
      <c r="AU978" s="65"/>
      <c r="AV978" s="65"/>
      <c r="AW978" s="65"/>
      <c r="AX978" s="65"/>
      <c r="AY978" s="65"/>
      <c r="AZ978" s="65"/>
      <c r="BA978" s="65"/>
      <c r="BB978" s="65"/>
      <c r="BC978" s="65"/>
      <c r="BD978" s="65"/>
      <c r="BE978" s="65"/>
      <c r="BF978" s="65"/>
      <c r="BG978" s="65"/>
      <c r="BH978" s="65"/>
      <c r="BI978" s="65"/>
      <c r="BJ978" s="65"/>
      <c r="BK978" s="65"/>
      <c r="BL978" s="65"/>
      <c r="BM978" s="65"/>
      <c r="BN978" s="65"/>
      <c r="BO978" s="65"/>
    </row>
    <row r="979" spans="1:67" s="58" customFormat="1" x14ac:dyDescent="0.2">
      <c r="A979" s="49"/>
      <c r="B979" s="50"/>
      <c r="C979" s="51"/>
      <c r="D979" s="49"/>
      <c r="E979" s="49"/>
      <c r="F979" s="52"/>
      <c r="G979" s="53"/>
      <c r="H979" s="54"/>
      <c r="I979" s="55"/>
      <c r="J979" s="53"/>
      <c r="K979" s="53"/>
      <c r="L979" s="53"/>
      <c r="M979" s="56"/>
      <c r="N979" s="53"/>
      <c r="O979" s="57"/>
      <c r="Q979" s="53"/>
      <c r="R979" s="53"/>
      <c r="S979" s="53"/>
      <c r="T979" s="59"/>
      <c r="U979" s="59"/>
      <c r="V979" s="53"/>
      <c r="W979" s="53"/>
      <c r="X979" s="53"/>
      <c r="Y979" s="9" t="e">
        <f t="shared" si="15"/>
        <v>#DIV/0!</v>
      </c>
      <c r="Z979" s="60"/>
      <c r="AC979" s="61"/>
      <c r="AD979" s="53"/>
      <c r="AE979" s="56"/>
      <c r="AF979" s="62"/>
      <c r="AG979" s="63"/>
      <c r="AH979" s="61"/>
      <c r="AO979" s="64" t="s">
        <v>79</v>
      </c>
      <c r="AP979" s="65">
        <v>9.75</v>
      </c>
      <c r="AQ979" s="65">
        <v>9.3000000000000007</v>
      </c>
      <c r="AR979" s="65">
        <v>10.199999999999999</v>
      </c>
      <c r="AS979" s="65"/>
      <c r="AT979" s="65"/>
      <c r="AU979" s="65"/>
      <c r="AV979" s="65"/>
      <c r="AW979" s="65"/>
      <c r="AX979" s="65"/>
      <c r="AY979" s="65"/>
      <c r="AZ979" s="65"/>
      <c r="BA979" s="65"/>
      <c r="BB979" s="65"/>
      <c r="BC979" s="65"/>
      <c r="BD979" s="65"/>
      <c r="BE979" s="65"/>
      <c r="BF979" s="65"/>
      <c r="BG979" s="65"/>
      <c r="BH979" s="65"/>
      <c r="BI979" s="65"/>
      <c r="BJ979" s="65"/>
      <c r="BK979" s="65"/>
      <c r="BL979" s="65"/>
      <c r="BM979" s="65"/>
      <c r="BN979" s="65"/>
      <c r="BO979" s="65"/>
    </row>
    <row r="980" spans="1:67" s="58" customFormat="1" x14ac:dyDescent="0.2">
      <c r="A980" s="49"/>
      <c r="B980" s="50"/>
      <c r="C980" s="51"/>
      <c r="D980" s="49"/>
      <c r="E980" s="49"/>
      <c r="F980" s="52"/>
      <c r="G980" s="53"/>
      <c r="H980" s="54"/>
      <c r="I980" s="55"/>
      <c r="J980" s="53"/>
      <c r="K980" s="53"/>
      <c r="L980" s="53"/>
      <c r="M980" s="56"/>
      <c r="N980" s="53"/>
      <c r="O980" s="57"/>
      <c r="Q980" s="53"/>
      <c r="R980" s="53"/>
      <c r="S980" s="53"/>
      <c r="T980" s="59"/>
      <c r="U980" s="59"/>
      <c r="V980" s="53"/>
      <c r="W980" s="53"/>
      <c r="X980" s="53"/>
      <c r="Y980" s="9" t="e">
        <f t="shared" si="15"/>
        <v>#DIV/0!</v>
      </c>
      <c r="Z980" s="60"/>
      <c r="AC980" s="61"/>
      <c r="AD980" s="53"/>
      <c r="AE980" s="56"/>
      <c r="AF980" s="62"/>
      <c r="AG980" s="63"/>
      <c r="AH980" s="61"/>
      <c r="AO980" s="64" t="s">
        <v>80</v>
      </c>
      <c r="AP980" s="65">
        <v>3.7</v>
      </c>
      <c r="AQ980" s="65">
        <v>3.7</v>
      </c>
      <c r="AR980" s="65">
        <v>3.7</v>
      </c>
      <c r="AS980" s="65"/>
      <c r="AT980" s="65"/>
      <c r="AU980" s="65"/>
      <c r="AV980" s="65"/>
      <c r="AW980" s="65"/>
      <c r="AX980" s="65"/>
      <c r="AY980" s="65"/>
      <c r="AZ980" s="65"/>
      <c r="BA980" s="65"/>
      <c r="BB980" s="65"/>
      <c r="BC980" s="65"/>
      <c r="BD980" s="65"/>
      <c r="BE980" s="65"/>
      <c r="BF980" s="65"/>
      <c r="BG980" s="65"/>
      <c r="BH980" s="65"/>
      <c r="BI980" s="65"/>
      <c r="BJ980" s="65"/>
      <c r="BK980" s="65"/>
      <c r="BL980" s="65"/>
      <c r="BM980" s="65"/>
      <c r="BN980" s="65"/>
      <c r="BO980" s="65"/>
    </row>
    <row r="981" spans="1:67" s="58" customFormat="1" x14ac:dyDescent="0.2">
      <c r="A981" s="49" t="s">
        <v>67</v>
      </c>
      <c r="B981" s="50">
        <v>43228</v>
      </c>
      <c r="C981" s="51">
        <v>0.58958333333333302</v>
      </c>
      <c r="D981" s="49" t="s">
        <v>173</v>
      </c>
      <c r="E981" s="49"/>
      <c r="F981" s="52">
        <v>60</v>
      </c>
      <c r="G981" s="53">
        <v>3</v>
      </c>
      <c r="H981" s="54">
        <v>0.05</v>
      </c>
      <c r="I981" s="55">
        <v>6.83E-2</v>
      </c>
      <c r="J981" s="53">
        <v>314.15899999999999</v>
      </c>
      <c r="K981" s="53">
        <v>0.75129999999999997</v>
      </c>
      <c r="L981" s="53">
        <v>11</v>
      </c>
      <c r="M981" s="56">
        <v>139.38462221039089</v>
      </c>
      <c r="N981" s="53">
        <v>1031</v>
      </c>
      <c r="O981" s="57" t="s">
        <v>81</v>
      </c>
      <c r="P981" s="57" t="s">
        <v>82</v>
      </c>
      <c r="Q981" s="53" t="s">
        <v>83</v>
      </c>
      <c r="R981" s="53" t="s">
        <v>84</v>
      </c>
      <c r="S981" s="53"/>
      <c r="T981" s="59">
        <v>1</v>
      </c>
      <c r="U981" s="59">
        <v>1</v>
      </c>
      <c r="V981" s="53">
        <v>6.5</v>
      </c>
      <c r="W981" s="53"/>
      <c r="X981" s="53"/>
      <c r="Y981" s="9">
        <f t="shared" si="15"/>
        <v>139.38462221039089</v>
      </c>
      <c r="Z981" s="60" t="s">
        <v>73</v>
      </c>
      <c r="AA981" s="58" t="s">
        <v>350</v>
      </c>
      <c r="AB981" s="58" t="s">
        <v>75</v>
      </c>
      <c r="AC981" s="61" t="s">
        <v>281</v>
      </c>
      <c r="AD981" s="53" t="s">
        <v>85</v>
      </c>
      <c r="AE981" s="56">
        <v>87.671304933333303</v>
      </c>
      <c r="AF981" s="62"/>
      <c r="AG981" s="63"/>
      <c r="AH981" s="61"/>
      <c r="AO981" s="64" t="s">
        <v>78</v>
      </c>
      <c r="AP981" s="65">
        <v>6.5</v>
      </c>
      <c r="AQ981" s="65">
        <v>6.5</v>
      </c>
      <c r="AR981" s="65"/>
      <c r="AS981" s="65"/>
      <c r="AT981" s="65"/>
      <c r="AU981" s="65"/>
      <c r="AV981" s="65"/>
      <c r="AW981" s="65"/>
      <c r="AX981" s="65"/>
      <c r="AY981" s="65"/>
      <c r="AZ981" s="65"/>
      <c r="BA981" s="65"/>
      <c r="BB981" s="65"/>
      <c r="BC981" s="65"/>
      <c r="BD981" s="65"/>
      <c r="BE981" s="65"/>
      <c r="BF981" s="65"/>
      <c r="BG981" s="65"/>
      <c r="BH981" s="65"/>
      <c r="BI981" s="65"/>
      <c r="BJ981" s="65"/>
      <c r="BK981" s="65"/>
      <c r="BL981" s="65"/>
      <c r="BM981" s="65"/>
      <c r="BN981" s="65"/>
      <c r="BO981" s="65"/>
    </row>
    <row r="982" spans="1:67" s="58" customFormat="1" x14ac:dyDescent="0.2">
      <c r="A982" s="49"/>
      <c r="B982" s="50"/>
      <c r="C982" s="51"/>
      <c r="D982" s="49"/>
      <c r="E982" s="49"/>
      <c r="F982" s="52"/>
      <c r="G982" s="53"/>
      <c r="H982" s="54"/>
      <c r="I982" s="55"/>
      <c r="J982" s="53"/>
      <c r="K982" s="53"/>
      <c r="L982" s="53"/>
      <c r="M982" s="56"/>
      <c r="N982" s="53"/>
      <c r="O982" s="57"/>
      <c r="P982" s="57"/>
      <c r="Q982" s="53"/>
      <c r="R982" s="53"/>
      <c r="S982" s="53"/>
      <c r="T982" s="59"/>
      <c r="U982" s="59"/>
      <c r="V982" s="53"/>
      <c r="W982" s="53"/>
      <c r="X982" s="53"/>
      <c r="Y982" s="9" t="e">
        <f t="shared" si="15"/>
        <v>#DIV/0!</v>
      </c>
      <c r="Z982" s="60"/>
      <c r="AC982" s="61"/>
      <c r="AD982" s="53"/>
      <c r="AE982" s="56"/>
      <c r="AF982" s="62"/>
      <c r="AG982" s="63"/>
      <c r="AH982" s="61"/>
      <c r="AO982" s="64" t="s">
        <v>79</v>
      </c>
      <c r="AP982" s="65">
        <v>5.6</v>
      </c>
      <c r="AQ982" s="65">
        <v>5.6</v>
      </c>
      <c r="AR982" s="65"/>
      <c r="AS982" s="65"/>
      <c r="AT982" s="65"/>
      <c r="AU982" s="65"/>
      <c r="AV982" s="65"/>
      <c r="AW982" s="65"/>
      <c r="AX982" s="65"/>
      <c r="AY982" s="65"/>
      <c r="AZ982" s="65"/>
      <c r="BA982" s="65"/>
      <c r="BB982" s="65"/>
      <c r="BC982" s="65"/>
      <c r="BD982" s="65"/>
      <c r="BE982" s="65"/>
      <c r="BF982" s="65"/>
      <c r="BG982" s="65"/>
      <c r="BH982" s="65"/>
      <c r="BI982" s="65"/>
      <c r="BJ982" s="65"/>
      <c r="BK982" s="65"/>
      <c r="BL982" s="65"/>
      <c r="BM982" s="65"/>
      <c r="BN982" s="65"/>
      <c r="BO982" s="65"/>
    </row>
    <row r="983" spans="1:67" s="58" customFormat="1" x14ac:dyDescent="0.2">
      <c r="A983" s="49"/>
      <c r="B983" s="50"/>
      <c r="C983" s="51"/>
      <c r="D983" s="49"/>
      <c r="E983" s="49"/>
      <c r="F983" s="52"/>
      <c r="G983" s="53"/>
      <c r="H983" s="54"/>
      <c r="I983" s="55"/>
      <c r="J983" s="53"/>
      <c r="K983" s="53"/>
      <c r="L983" s="53"/>
      <c r="M983" s="56"/>
      <c r="N983" s="53"/>
      <c r="O983" s="57"/>
      <c r="P983" s="57"/>
      <c r="Q983" s="53"/>
      <c r="R983" s="53"/>
      <c r="S983" s="53"/>
      <c r="T983" s="59"/>
      <c r="U983" s="59"/>
      <c r="V983" s="53"/>
      <c r="W983" s="53"/>
      <c r="X983" s="53"/>
      <c r="Y983" s="9" t="e">
        <f t="shared" si="15"/>
        <v>#DIV/0!</v>
      </c>
      <c r="Z983" s="60"/>
      <c r="AC983" s="61"/>
      <c r="AD983" s="53"/>
      <c r="AE983" s="56"/>
      <c r="AF983" s="62"/>
      <c r="AG983" s="63"/>
      <c r="AH983" s="61"/>
      <c r="AO983" s="64" t="s">
        <v>80</v>
      </c>
      <c r="AP983" s="65">
        <v>4.5999999999999996</v>
      </c>
      <c r="AQ983" s="65">
        <v>4.5999999999999996</v>
      </c>
      <c r="AR983" s="65"/>
      <c r="AS983" s="65"/>
      <c r="AT983" s="65"/>
      <c r="AU983" s="65"/>
      <c r="AV983" s="65"/>
      <c r="AW983" s="65"/>
      <c r="AX983" s="65"/>
      <c r="AY983" s="65"/>
      <c r="AZ983" s="65"/>
      <c r="BA983" s="65"/>
      <c r="BB983" s="65"/>
      <c r="BC983" s="65"/>
      <c r="BD983" s="65"/>
      <c r="BE983" s="65"/>
      <c r="BF983" s="65"/>
      <c r="BG983" s="65"/>
      <c r="BH983" s="65"/>
      <c r="BI983" s="65"/>
      <c r="BJ983" s="65"/>
      <c r="BK983" s="65"/>
      <c r="BL983" s="65"/>
      <c r="BM983" s="65"/>
      <c r="BN983" s="65"/>
      <c r="BO983" s="65"/>
    </row>
    <row r="984" spans="1:67" s="58" customFormat="1" x14ac:dyDescent="0.2">
      <c r="A984" s="49" t="s">
        <v>67</v>
      </c>
      <c r="B984" s="50">
        <v>43228</v>
      </c>
      <c r="C984" s="51">
        <v>0.58958333333333302</v>
      </c>
      <c r="D984" s="49" t="s">
        <v>173</v>
      </c>
      <c r="E984" s="49"/>
      <c r="F984" s="52">
        <v>60</v>
      </c>
      <c r="G984" s="53">
        <v>3</v>
      </c>
      <c r="H984" s="54">
        <v>0.05</v>
      </c>
      <c r="I984" s="55">
        <v>6.83E-2</v>
      </c>
      <c r="J984" s="53">
        <v>314.15899999999999</v>
      </c>
      <c r="K984" s="53">
        <v>0.75129999999999997</v>
      </c>
      <c r="L984" s="53">
        <v>11</v>
      </c>
      <c r="M984" s="56">
        <v>139.38462221039089</v>
      </c>
      <c r="N984" s="53">
        <v>1037</v>
      </c>
      <c r="O984" s="57" t="s">
        <v>243</v>
      </c>
      <c r="P984" s="57" t="s">
        <v>82</v>
      </c>
      <c r="Q984" s="53" t="s">
        <v>87</v>
      </c>
      <c r="R984" s="53" t="s">
        <v>84</v>
      </c>
      <c r="S984" s="53"/>
      <c r="T984" s="59">
        <v>15</v>
      </c>
      <c r="U984" s="59">
        <v>15</v>
      </c>
      <c r="V984" s="53">
        <v>2.8</v>
      </c>
      <c r="W984" s="53"/>
      <c r="X984" s="53"/>
      <c r="Y984" s="9">
        <f t="shared" si="15"/>
        <v>2090.7693331558635</v>
      </c>
      <c r="Z984" s="60" t="s">
        <v>73</v>
      </c>
      <c r="AA984" s="58" t="s">
        <v>350</v>
      </c>
      <c r="AB984" s="58" t="s">
        <v>75</v>
      </c>
      <c r="AC984" s="61" t="s">
        <v>281</v>
      </c>
      <c r="AD984" s="53" t="s">
        <v>85</v>
      </c>
      <c r="AE984" s="56">
        <v>9.2027643066666673</v>
      </c>
      <c r="AF984" s="62"/>
      <c r="AG984" s="63"/>
      <c r="AH984" s="61"/>
      <c r="AO984" s="64" t="s">
        <v>78</v>
      </c>
      <c r="AP984" s="65">
        <v>2.6199999999999997</v>
      </c>
      <c r="AQ984" s="65">
        <v>2.8</v>
      </c>
      <c r="AR984" s="65">
        <v>2.8</v>
      </c>
      <c r="AS984" s="65">
        <v>2.8</v>
      </c>
      <c r="AT984" s="65">
        <v>1.9</v>
      </c>
      <c r="AU984" s="65">
        <v>2.8</v>
      </c>
      <c r="AV984" s="65"/>
      <c r="AW984" s="65"/>
      <c r="AX984" s="65"/>
      <c r="AY984" s="65"/>
      <c r="AZ984" s="65"/>
      <c r="BA984" s="65"/>
      <c r="BB984" s="65"/>
      <c r="BC984" s="65"/>
      <c r="BD984" s="65"/>
      <c r="BE984" s="65"/>
      <c r="BF984" s="65"/>
      <c r="BG984" s="65"/>
      <c r="BH984" s="65"/>
      <c r="BI984" s="65"/>
      <c r="BJ984" s="65"/>
      <c r="BK984" s="65"/>
      <c r="BL984" s="65"/>
      <c r="BM984" s="65"/>
      <c r="BN984" s="65"/>
      <c r="BO984" s="65"/>
    </row>
    <row r="985" spans="1:67" s="58" customFormat="1" x14ac:dyDescent="0.2">
      <c r="A985" s="49" t="s">
        <v>67</v>
      </c>
      <c r="B985" s="50">
        <v>43228</v>
      </c>
      <c r="C985" s="51">
        <v>0.58958333333333302</v>
      </c>
      <c r="D985" s="49" t="s">
        <v>173</v>
      </c>
      <c r="E985" s="49"/>
      <c r="F985" s="52">
        <v>60</v>
      </c>
      <c r="G985" s="53">
        <v>3</v>
      </c>
      <c r="H985" s="54">
        <v>0.05</v>
      </c>
      <c r="I985" s="55">
        <v>6.83E-2</v>
      </c>
      <c r="J985" s="53">
        <v>314.15899999999999</v>
      </c>
      <c r="K985" s="53">
        <v>0.75129999999999997</v>
      </c>
      <c r="L985" s="53">
        <v>11</v>
      </c>
      <c r="M985" s="56">
        <v>139.38462221039089</v>
      </c>
      <c r="N985" s="53">
        <v>1419</v>
      </c>
      <c r="O985" s="57" t="s">
        <v>94</v>
      </c>
      <c r="P985" s="57" t="s">
        <v>82</v>
      </c>
      <c r="Q985" s="53" t="s">
        <v>95</v>
      </c>
      <c r="R985" s="53" t="s">
        <v>96</v>
      </c>
      <c r="S985" s="53"/>
      <c r="T985" s="59">
        <v>382</v>
      </c>
      <c r="U985" s="59">
        <v>765</v>
      </c>
      <c r="V985" s="53">
        <v>0.8</v>
      </c>
      <c r="W985" s="53">
        <v>0.8</v>
      </c>
      <c r="X985" s="53">
        <v>0.8</v>
      </c>
      <c r="Y985" s="9">
        <f t="shared" si="15"/>
        <v>53244.925684369322</v>
      </c>
      <c r="Z985" s="60" t="s">
        <v>97</v>
      </c>
      <c r="AA985" s="58" t="s">
        <v>350</v>
      </c>
      <c r="AB985" s="58" t="s">
        <v>75</v>
      </c>
      <c r="AC985" s="61" t="s">
        <v>281</v>
      </c>
      <c r="AD985" s="53" t="s">
        <v>85</v>
      </c>
      <c r="AE985" s="56">
        <v>0.18</v>
      </c>
      <c r="AF985" s="56">
        <v>0.18</v>
      </c>
      <c r="AG985" s="56">
        <v>0.18</v>
      </c>
      <c r="AH985" s="56">
        <v>0.18</v>
      </c>
      <c r="AI985" s="56">
        <v>0.18</v>
      </c>
      <c r="AJ985" s="56">
        <v>0.18</v>
      </c>
      <c r="AK985" s="56">
        <v>0.18</v>
      </c>
      <c r="AL985" s="56">
        <v>0.18</v>
      </c>
      <c r="AM985" s="56">
        <v>0.18</v>
      </c>
      <c r="AN985" s="56">
        <v>0.18</v>
      </c>
      <c r="AO985" s="66" t="s">
        <v>78</v>
      </c>
      <c r="AP985" s="65">
        <v>0.75200000000000033</v>
      </c>
      <c r="AQ985" s="65">
        <v>0.7</v>
      </c>
      <c r="AR985" s="65">
        <v>0.7</v>
      </c>
      <c r="AS985" s="65">
        <v>0.7</v>
      </c>
      <c r="AT985" s="65">
        <v>0.7</v>
      </c>
      <c r="AU985" s="65">
        <v>0.7</v>
      </c>
      <c r="AV985" s="65">
        <v>0.7</v>
      </c>
      <c r="AW985" s="65">
        <v>0.7</v>
      </c>
      <c r="AX985" s="65">
        <v>0.7</v>
      </c>
      <c r="AY985" s="65">
        <v>0.7</v>
      </c>
      <c r="AZ985" s="65">
        <v>0.7</v>
      </c>
      <c r="BA985" s="65">
        <v>0.7</v>
      </c>
      <c r="BB985" s="65">
        <v>0.7</v>
      </c>
      <c r="BC985" s="65">
        <v>0.8</v>
      </c>
      <c r="BD985" s="65">
        <v>0.8</v>
      </c>
      <c r="BE985" s="65">
        <v>0.8</v>
      </c>
      <c r="BF985" s="65">
        <v>0.8</v>
      </c>
      <c r="BG985" s="65">
        <v>0.8</v>
      </c>
      <c r="BH985" s="65">
        <v>0.8</v>
      </c>
      <c r="BI985" s="65">
        <v>0.8</v>
      </c>
      <c r="BJ985" s="65">
        <v>0.8</v>
      </c>
      <c r="BK985" s="65">
        <v>0.8</v>
      </c>
      <c r="BL985" s="65">
        <v>0.8</v>
      </c>
      <c r="BM985" s="65">
        <v>0.8</v>
      </c>
      <c r="BN985" s="65">
        <v>0.8</v>
      </c>
      <c r="BO985" s="65">
        <v>0.8</v>
      </c>
    </row>
    <row r="986" spans="1:67" s="58" customFormat="1" x14ac:dyDescent="0.2">
      <c r="A986" s="49" t="s">
        <v>67</v>
      </c>
      <c r="B986" s="50">
        <v>43200</v>
      </c>
      <c r="C986" s="51">
        <v>0.55208333333333304</v>
      </c>
      <c r="D986" s="50" t="s">
        <v>209</v>
      </c>
      <c r="E986" s="49">
        <v>3</v>
      </c>
      <c r="F986" s="52">
        <v>61</v>
      </c>
      <c r="G986" s="53">
        <v>2</v>
      </c>
      <c r="H986" s="54">
        <v>3.2786885245901641E-2</v>
      </c>
      <c r="I986" s="55">
        <v>6.83E-2</v>
      </c>
      <c r="J986" s="53">
        <v>314.15899999999999</v>
      </c>
      <c r="K986" s="53">
        <v>1.1611</v>
      </c>
      <c r="L986" s="53">
        <v>17</v>
      </c>
      <c r="M986" s="56">
        <v>135.28507449832054</v>
      </c>
      <c r="N986" s="53">
        <v>328</v>
      </c>
      <c r="O986" s="57" t="s">
        <v>351</v>
      </c>
      <c r="P986" s="58" t="s">
        <v>70</v>
      </c>
      <c r="Q986" s="53" t="s">
        <v>352</v>
      </c>
      <c r="R986" s="53" t="s">
        <v>353</v>
      </c>
      <c r="S986" s="53"/>
      <c r="T986" s="59">
        <v>1</v>
      </c>
      <c r="U986" s="59">
        <v>1</v>
      </c>
      <c r="V986" s="53">
        <v>42.6</v>
      </c>
      <c r="W986" s="53"/>
      <c r="X986" s="53"/>
      <c r="Y986" s="9">
        <f t="shared" si="15"/>
        <v>135.28507449832054</v>
      </c>
      <c r="Z986" s="60" t="s">
        <v>73</v>
      </c>
      <c r="AA986" s="58" t="s">
        <v>354</v>
      </c>
      <c r="AB986" s="58" t="s">
        <v>75</v>
      </c>
      <c r="AC986" s="61" t="s">
        <v>115</v>
      </c>
      <c r="AD986" s="53" t="s">
        <v>293</v>
      </c>
      <c r="AE986" s="56">
        <v>1071.9193925426678</v>
      </c>
      <c r="AF986" s="62"/>
      <c r="AG986" s="63"/>
      <c r="AH986" s="61"/>
      <c r="AO986" s="64" t="s">
        <v>78</v>
      </c>
      <c r="AP986" s="65">
        <v>42.6</v>
      </c>
      <c r="AQ986" s="65">
        <v>42.6</v>
      </c>
      <c r="AR986" s="65"/>
      <c r="AS986" s="65"/>
      <c r="AT986" s="65"/>
      <c r="AU986" s="65"/>
      <c r="AV986" s="65"/>
      <c r="AW986" s="65"/>
      <c r="AX986" s="65"/>
      <c r="AY986" s="65"/>
      <c r="AZ986" s="65"/>
      <c r="BA986" s="65"/>
      <c r="BB986" s="65"/>
      <c r="BC986" s="65"/>
      <c r="BD986" s="65"/>
      <c r="BE986" s="65"/>
      <c r="BF986" s="65"/>
      <c r="BG986" s="65"/>
      <c r="BH986" s="65"/>
      <c r="BI986" s="65"/>
      <c r="BJ986" s="65"/>
      <c r="BK986" s="65"/>
      <c r="BL986" s="65"/>
      <c r="BM986" s="65"/>
      <c r="BN986" s="65"/>
      <c r="BO986" s="65"/>
    </row>
    <row r="987" spans="1:67" s="58" customFormat="1" x14ac:dyDescent="0.2">
      <c r="A987" s="49"/>
      <c r="B987" s="50"/>
      <c r="C987" s="51"/>
      <c r="D987" s="50"/>
      <c r="E987" s="49"/>
      <c r="F987" s="52"/>
      <c r="G987" s="53"/>
      <c r="H987" s="54"/>
      <c r="I987" s="55"/>
      <c r="J987" s="53"/>
      <c r="K987" s="53"/>
      <c r="L987" s="53"/>
      <c r="M987" s="56"/>
      <c r="N987" s="53"/>
      <c r="O987" s="57"/>
      <c r="Q987" s="53"/>
      <c r="R987" s="53"/>
      <c r="S987" s="53"/>
      <c r="T987" s="59"/>
      <c r="U987" s="59"/>
      <c r="V987" s="53"/>
      <c r="W987" s="53"/>
      <c r="X987" s="53"/>
      <c r="Y987" s="9" t="e">
        <f t="shared" si="15"/>
        <v>#DIV/0!</v>
      </c>
      <c r="Z987" s="60"/>
      <c r="AC987" s="61"/>
      <c r="AD987" s="53"/>
      <c r="AE987" s="56"/>
      <c r="AF987" s="62"/>
      <c r="AG987" s="63"/>
      <c r="AH987" s="61"/>
      <c r="AO987" s="64" t="s">
        <v>79</v>
      </c>
      <c r="AP987" s="65">
        <v>10.199999999999999</v>
      </c>
      <c r="AQ987" s="65">
        <v>10.199999999999999</v>
      </c>
      <c r="AR987" s="65"/>
      <c r="AS987" s="65"/>
      <c r="AT987" s="65"/>
      <c r="AU987" s="65"/>
      <c r="AV987" s="65"/>
      <c r="AW987" s="65"/>
      <c r="AX987" s="65"/>
      <c r="AY987" s="65"/>
      <c r="AZ987" s="65"/>
      <c r="BA987" s="65"/>
      <c r="BB987" s="65"/>
      <c r="BC987" s="65"/>
      <c r="BD987" s="65"/>
      <c r="BE987" s="65"/>
      <c r="BF987" s="65"/>
      <c r="BG987" s="65"/>
      <c r="BH987" s="65"/>
      <c r="BI987" s="65"/>
      <c r="BJ987" s="65"/>
      <c r="BK987" s="65"/>
      <c r="BL987" s="65"/>
      <c r="BM987" s="65"/>
      <c r="BN987" s="65"/>
      <c r="BO987" s="65"/>
    </row>
    <row r="988" spans="1:67" s="58" customFormat="1" x14ac:dyDescent="0.2">
      <c r="A988" s="49"/>
      <c r="B988" s="50"/>
      <c r="C988" s="51"/>
      <c r="D988" s="50"/>
      <c r="E988" s="49"/>
      <c r="F988" s="52"/>
      <c r="G988" s="53"/>
      <c r="H988" s="54"/>
      <c r="I988" s="55"/>
      <c r="J988" s="53"/>
      <c r="K988" s="53"/>
      <c r="L988" s="53"/>
      <c r="M988" s="56"/>
      <c r="N988" s="53"/>
      <c r="O988" s="57"/>
      <c r="Q988" s="53"/>
      <c r="R988" s="53"/>
      <c r="S988" s="53"/>
      <c r="T988" s="59"/>
      <c r="U988" s="59"/>
      <c r="V988" s="53"/>
      <c r="W988" s="53"/>
      <c r="X988" s="53"/>
      <c r="Y988" s="9" t="e">
        <f t="shared" si="15"/>
        <v>#DIV/0!</v>
      </c>
      <c r="Z988" s="60"/>
      <c r="AC988" s="61"/>
      <c r="AD988" s="53"/>
      <c r="AE988" s="56"/>
      <c r="AF988" s="62"/>
      <c r="AG988" s="63"/>
      <c r="AH988" s="61"/>
      <c r="AO988" s="64" t="s">
        <v>80</v>
      </c>
      <c r="AP988" s="65">
        <v>7.4</v>
      </c>
      <c r="AQ988" s="65">
        <v>7.4</v>
      </c>
      <c r="AR988" s="65"/>
      <c r="AS988" s="65"/>
      <c r="AT988" s="65"/>
      <c r="AU988" s="65"/>
      <c r="AV988" s="65"/>
      <c r="AW988" s="65"/>
      <c r="AX988" s="65"/>
      <c r="AY988" s="65"/>
      <c r="AZ988" s="65"/>
      <c r="BA988" s="65"/>
      <c r="BB988" s="65"/>
      <c r="BC988" s="65"/>
      <c r="BD988" s="65"/>
      <c r="BE988" s="65"/>
      <c r="BF988" s="65"/>
      <c r="BG988" s="65"/>
      <c r="BH988" s="65"/>
      <c r="BI988" s="65"/>
      <c r="BJ988" s="65"/>
      <c r="BK988" s="65"/>
      <c r="BL988" s="65"/>
      <c r="BM988" s="65"/>
      <c r="BN988" s="65"/>
      <c r="BO988" s="65"/>
    </row>
    <row r="989" spans="1:67" s="58" customFormat="1" x14ac:dyDescent="0.2">
      <c r="A989" s="49" t="s">
        <v>67</v>
      </c>
      <c r="B989" s="50">
        <v>43200</v>
      </c>
      <c r="C989" s="51">
        <v>0.55208333333333304</v>
      </c>
      <c r="D989" s="50" t="s">
        <v>209</v>
      </c>
      <c r="E989" s="49">
        <v>3</v>
      </c>
      <c r="F989" s="52">
        <v>61</v>
      </c>
      <c r="G989" s="53">
        <v>2</v>
      </c>
      <c r="H989" s="54">
        <v>3.2786885245901641E-2</v>
      </c>
      <c r="I989" s="55">
        <v>6.83E-2</v>
      </c>
      <c r="J989" s="53">
        <v>314.15899999999999</v>
      </c>
      <c r="K989" s="53">
        <v>1.1611</v>
      </c>
      <c r="L989" s="53">
        <v>17</v>
      </c>
      <c r="M989" s="56">
        <v>135.28507449832054</v>
      </c>
      <c r="N989" s="53">
        <v>1031</v>
      </c>
      <c r="O989" s="57" t="s">
        <v>81</v>
      </c>
      <c r="P989" s="57" t="s">
        <v>82</v>
      </c>
      <c r="Q989" s="53" t="s">
        <v>83</v>
      </c>
      <c r="R989" s="53" t="s">
        <v>84</v>
      </c>
      <c r="S989" s="53"/>
      <c r="T989" s="59">
        <v>1</v>
      </c>
      <c r="U989" s="59">
        <v>1</v>
      </c>
      <c r="V989" s="53">
        <v>4.5999999999999996</v>
      </c>
      <c r="W989" s="53"/>
      <c r="X989" s="53"/>
      <c r="Y989" s="9">
        <f t="shared" si="15"/>
        <v>135.28507449832054</v>
      </c>
      <c r="Z989" s="60" t="s">
        <v>73</v>
      </c>
      <c r="AA989" s="58" t="s">
        <v>354</v>
      </c>
      <c r="AB989" s="58" t="s">
        <v>75</v>
      </c>
      <c r="AC989" s="61" t="s">
        <v>115</v>
      </c>
      <c r="AD989" s="53" t="s">
        <v>85</v>
      </c>
      <c r="AE989" s="56">
        <v>50.964967373333316</v>
      </c>
      <c r="AF989" s="62"/>
      <c r="AG989" s="63"/>
      <c r="AH989" s="61"/>
      <c r="AO989" s="64" t="s">
        <v>78</v>
      </c>
      <c r="AP989" s="65">
        <v>4.5999999999999996</v>
      </c>
      <c r="AQ989" s="65">
        <v>4.5999999999999996</v>
      </c>
      <c r="AR989" s="65"/>
      <c r="AS989" s="65"/>
      <c r="AT989" s="65"/>
      <c r="AU989" s="65"/>
      <c r="AV989" s="65"/>
      <c r="AW989" s="65"/>
      <c r="AX989" s="65"/>
      <c r="AY989" s="65"/>
      <c r="AZ989" s="65"/>
      <c r="BA989" s="65"/>
      <c r="BB989" s="65"/>
      <c r="BC989" s="65"/>
      <c r="BD989" s="65"/>
      <c r="BE989" s="65"/>
      <c r="BF989" s="65"/>
      <c r="BG989" s="65"/>
      <c r="BH989" s="65"/>
      <c r="BI989" s="65"/>
      <c r="BJ989" s="65"/>
      <c r="BK989" s="65"/>
      <c r="BL989" s="65"/>
      <c r="BM989" s="65"/>
      <c r="BN989" s="65"/>
      <c r="BO989" s="65"/>
    </row>
    <row r="990" spans="1:67" s="58" customFormat="1" x14ac:dyDescent="0.2">
      <c r="A990" s="49"/>
      <c r="B990" s="50"/>
      <c r="C990" s="51"/>
      <c r="D990" s="50"/>
      <c r="E990" s="49"/>
      <c r="F990" s="52"/>
      <c r="G990" s="53"/>
      <c r="H990" s="54"/>
      <c r="I990" s="55"/>
      <c r="J990" s="53"/>
      <c r="K990" s="53"/>
      <c r="L990" s="53"/>
      <c r="M990" s="56"/>
      <c r="N990" s="53"/>
      <c r="O990" s="57"/>
      <c r="P990" s="57"/>
      <c r="Q990" s="53"/>
      <c r="R990" s="53"/>
      <c r="S990" s="53"/>
      <c r="T990" s="59"/>
      <c r="U990" s="59"/>
      <c r="V990" s="53"/>
      <c r="W990" s="53"/>
      <c r="X990" s="53"/>
      <c r="Y990" s="9" t="e">
        <f t="shared" si="15"/>
        <v>#DIV/0!</v>
      </c>
      <c r="Z990" s="60"/>
      <c r="AC990" s="61"/>
      <c r="AD990" s="53"/>
      <c r="AE990" s="56"/>
      <c r="AF990" s="62"/>
      <c r="AG990" s="63"/>
      <c r="AH990" s="61"/>
      <c r="AO990" s="64" t="s">
        <v>79</v>
      </c>
      <c r="AP990" s="65">
        <v>4.5999999999999996</v>
      </c>
      <c r="AQ990" s="65">
        <v>4.5999999999999996</v>
      </c>
      <c r="AR990" s="65"/>
      <c r="AS990" s="65"/>
      <c r="AT990" s="65"/>
      <c r="AU990" s="65"/>
      <c r="AV990" s="65"/>
      <c r="AW990" s="65"/>
      <c r="AX990" s="65"/>
      <c r="AY990" s="65"/>
      <c r="AZ990" s="65"/>
      <c r="BA990" s="65"/>
      <c r="BB990" s="65"/>
      <c r="BC990" s="65"/>
      <c r="BD990" s="65"/>
      <c r="BE990" s="65"/>
      <c r="BF990" s="65"/>
      <c r="BG990" s="65"/>
      <c r="BH990" s="65"/>
      <c r="BI990" s="65"/>
      <c r="BJ990" s="65"/>
      <c r="BK990" s="65"/>
      <c r="BL990" s="65"/>
      <c r="BM990" s="65"/>
      <c r="BN990" s="65"/>
      <c r="BO990" s="65"/>
    </row>
    <row r="991" spans="1:67" s="58" customFormat="1" x14ac:dyDescent="0.2">
      <c r="A991" s="49"/>
      <c r="B991" s="50"/>
      <c r="C991" s="51"/>
      <c r="D991" s="50"/>
      <c r="E991" s="49"/>
      <c r="F991" s="52"/>
      <c r="G991" s="53"/>
      <c r="H991" s="54"/>
      <c r="I991" s="55"/>
      <c r="J991" s="53"/>
      <c r="K991" s="53"/>
      <c r="L991" s="53"/>
      <c r="M991" s="56"/>
      <c r="N991" s="53"/>
      <c r="O991" s="57"/>
      <c r="P991" s="57"/>
      <c r="Q991" s="53"/>
      <c r="R991" s="53"/>
      <c r="S991" s="53"/>
      <c r="T991" s="59"/>
      <c r="U991" s="59"/>
      <c r="V991" s="53"/>
      <c r="W991" s="53"/>
      <c r="X991" s="53"/>
      <c r="Y991" s="9" t="e">
        <f t="shared" si="15"/>
        <v>#DIV/0!</v>
      </c>
      <c r="Z991" s="60"/>
      <c r="AC991" s="61"/>
      <c r="AD991" s="53"/>
      <c r="AE991" s="56"/>
      <c r="AF991" s="62"/>
      <c r="AG991" s="63"/>
      <c r="AH991" s="61"/>
      <c r="AO991" s="64" t="s">
        <v>80</v>
      </c>
      <c r="AP991" s="65">
        <v>4.5999999999999996</v>
      </c>
      <c r="AQ991" s="65">
        <v>4.5999999999999996</v>
      </c>
      <c r="AR991" s="65"/>
      <c r="AS991" s="65"/>
      <c r="AT991" s="65"/>
      <c r="AU991" s="65"/>
      <c r="AV991" s="65"/>
      <c r="AW991" s="65"/>
      <c r="AX991" s="65"/>
      <c r="AY991" s="65"/>
      <c r="AZ991" s="65"/>
      <c r="BA991" s="65"/>
      <c r="BB991" s="65"/>
      <c r="BC991" s="65"/>
      <c r="BD991" s="65"/>
      <c r="BE991" s="65"/>
      <c r="BF991" s="65"/>
      <c r="BG991" s="65"/>
      <c r="BH991" s="65"/>
      <c r="BI991" s="65"/>
      <c r="BJ991" s="65"/>
      <c r="BK991" s="65"/>
      <c r="BL991" s="65"/>
      <c r="BM991" s="65"/>
      <c r="BN991" s="65"/>
      <c r="BO991" s="65"/>
    </row>
    <row r="992" spans="1:67" s="58" customFormat="1" x14ac:dyDescent="0.2">
      <c r="A992" s="49" t="s">
        <v>67</v>
      </c>
      <c r="B992" s="50">
        <v>43200</v>
      </c>
      <c r="C992" s="51">
        <v>0.55208333333333304</v>
      </c>
      <c r="D992" s="50" t="s">
        <v>209</v>
      </c>
      <c r="E992" s="49">
        <v>3</v>
      </c>
      <c r="F992" s="52">
        <v>61</v>
      </c>
      <c r="G992" s="53">
        <v>2</v>
      </c>
      <c r="H992" s="54">
        <v>3.2786885245901641E-2</v>
      </c>
      <c r="I992" s="55">
        <v>6.83E-2</v>
      </c>
      <c r="J992" s="53">
        <v>314.15899999999999</v>
      </c>
      <c r="K992" s="53">
        <v>1.1611</v>
      </c>
      <c r="L992" s="53">
        <v>17</v>
      </c>
      <c r="M992" s="56">
        <v>135.28507449832054</v>
      </c>
      <c r="N992" s="53">
        <v>1037</v>
      </c>
      <c r="O992" s="57" t="s">
        <v>243</v>
      </c>
      <c r="P992" s="57" t="s">
        <v>82</v>
      </c>
      <c r="Q992" s="53" t="s">
        <v>87</v>
      </c>
      <c r="R992" s="53" t="s">
        <v>84</v>
      </c>
      <c r="S992" s="53"/>
      <c r="T992" s="59">
        <v>12</v>
      </c>
      <c r="U992" s="59">
        <v>12</v>
      </c>
      <c r="V992" s="53">
        <v>3.7</v>
      </c>
      <c r="W992" s="53"/>
      <c r="X992" s="53"/>
      <c r="Y992" s="9">
        <f t="shared" si="15"/>
        <v>1623.4208939798466</v>
      </c>
      <c r="Z992" s="60" t="s">
        <v>73</v>
      </c>
      <c r="AA992" s="58" t="s">
        <v>354</v>
      </c>
      <c r="AB992" s="58" t="s">
        <v>75</v>
      </c>
      <c r="AC992" s="61" t="s">
        <v>115</v>
      </c>
      <c r="AD992" s="53" t="s">
        <v>85</v>
      </c>
      <c r="AE992" s="56">
        <v>17.157270186666665</v>
      </c>
      <c r="AF992" s="62"/>
      <c r="AG992" s="63"/>
      <c r="AH992" s="61"/>
      <c r="AO992" s="64" t="s">
        <v>78</v>
      </c>
      <c r="AP992" s="65">
        <v>3.16</v>
      </c>
      <c r="AQ992" s="65">
        <v>3.7</v>
      </c>
      <c r="AR992" s="65">
        <v>3.7</v>
      </c>
      <c r="AS992" s="65">
        <v>1.9</v>
      </c>
      <c r="AT992" s="65">
        <v>2.8</v>
      </c>
      <c r="AU992" s="65">
        <v>3.7</v>
      </c>
      <c r="AV992" s="65"/>
      <c r="AW992" s="65"/>
      <c r="AX992" s="65"/>
      <c r="AY992" s="65"/>
      <c r="AZ992" s="65"/>
      <c r="BA992" s="65"/>
      <c r="BB992" s="65"/>
      <c r="BC992" s="65"/>
      <c r="BD992" s="65"/>
      <c r="BE992" s="65"/>
      <c r="BF992" s="65"/>
      <c r="BG992" s="65"/>
      <c r="BH992" s="65"/>
      <c r="BI992" s="65"/>
      <c r="BJ992" s="65"/>
      <c r="BK992" s="65"/>
      <c r="BL992" s="65"/>
      <c r="BM992" s="65"/>
      <c r="BN992" s="65"/>
      <c r="BO992" s="65"/>
    </row>
    <row r="993" spans="1:67" s="58" customFormat="1" x14ac:dyDescent="0.2">
      <c r="A993" s="49" t="s">
        <v>67</v>
      </c>
      <c r="B993" s="50">
        <v>43200</v>
      </c>
      <c r="C993" s="51">
        <v>0.55208333333333304</v>
      </c>
      <c r="D993" s="50" t="s">
        <v>209</v>
      </c>
      <c r="E993" s="49">
        <v>3</v>
      </c>
      <c r="F993" s="52">
        <v>61</v>
      </c>
      <c r="G993" s="53">
        <v>2</v>
      </c>
      <c r="H993" s="54">
        <v>3.2786885245901641E-2</v>
      </c>
      <c r="I993" s="55">
        <v>6.83E-2</v>
      </c>
      <c r="J993" s="53">
        <v>314.15899999999999</v>
      </c>
      <c r="K993" s="53">
        <v>1.1611</v>
      </c>
      <c r="L993" s="53">
        <v>17</v>
      </c>
      <c r="M993" s="56">
        <v>135.28507449832054</v>
      </c>
      <c r="N993" s="53">
        <v>1364</v>
      </c>
      <c r="O993" s="57" t="s">
        <v>88</v>
      </c>
      <c r="P993" s="57" t="s">
        <v>82</v>
      </c>
      <c r="Q993" s="53" t="s">
        <v>89</v>
      </c>
      <c r="R993" s="53" t="s">
        <v>90</v>
      </c>
      <c r="S993" s="53"/>
      <c r="T993" s="59">
        <v>2</v>
      </c>
      <c r="U993" s="59">
        <v>2</v>
      </c>
      <c r="V993" s="53">
        <v>10.199999999999999</v>
      </c>
      <c r="W993" s="53"/>
      <c r="X993" s="53"/>
      <c r="Y993" s="9">
        <f t="shared" si="15"/>
        <v>270.57014899664108</v>
      </c>
      <c r="Z993" s="60" t="s">
        <v>73</v>
      </c>
      <c r="AA993" s="58" t="s">
        <v>354</v>
      </c>
      <c r="AB993" s="58" t="s">
        <v>75</v>
      </c>
      <c r="AC993" s="61" t="s">
        <v>115</v>
      </c>
      <c r="AD993" s="53" t="s">
        <v>91</v>
      </c>
      <c r="AE993" s="56">
        <v>387.20515628666669</v>
      </c>
      <c r="AF993" s="62"/>
      <c r="AG993" s="63"/>
      <c r="AH993" s="61"/>
      <c r="AO993" s="64" t="s">
        <v>78</v>
      </c>
      <c r="AP993" s="65">
        <v>9.75</v>
      </c>
      <c r="AQ993" s="65">
        <v>10.199999999999999</v>
      </c>
      <c r="AR993" s="65">
        <v>9.3000000000000007</v>
      </c>
      <c r="AS993" s="65"/>
      <c r="AT993" s="65"/>
      <c r="AU993" s="65"/>
      <c r="AV993" s="65"/>
      <c r="AW993" s="65"/>
      <c r="AX993" s="65"/>
      <c r="AY993" s="65"/>
      <c r="AZ993" s="65"/>
      <c r="BA993" s="65"/>
      <c r="BB993" s="65"/>
      <c r="BC993" s="65"/>
      <c r="BD993" s="65"/>
      <c r="BE993" s="65"/>
      <c r="BF993" s="65"/>
      <c r="BG993" s="65"/>
      <c r="BH993" s="65"/>
      <c r="BI993" s="65"/>
      <c r="BJ993" s="65"/>
      <c r="BK993" s="65"/>
      <c r="BL993" s="65"/>
      <c r="BM993" s="65"/>
      <c r="BN993" s="65"/>
      <c r="BO993" s="65"/>
    </row>
    <row r="994" spans="1:67" s="58" customFormat="1" x14ac:dyDescent="0.2">
      <c r="A994" s="49"/>
      <c r="B994" s="50"/>
      <c r="C994" s="51"/>
      <c r="D994" s="50"/>
      <c r="E994" s="49"/>
      <c r="F994" s="52"/>
      <c r="G994" s="53"/>
      <c r="H994" s="54"/>
      <c r="I994" s="55"/>
      <c r="J994" s="53"/>
      <c r="K994" s="53"/>
      <c r="L994" s="53"/>
      <c r="M994" s="56"/>
      <c r="N994" s="53"/>
      <c r="O994" s="57"/>
      <c r="P994" s="57"/>
      <c r="Q994" s="53"/>
      <c r="R994" s="53"/>
      <c r="S994" s="53"/>
      <c r="T994" s="59"/>
      <c r="U994" s="59"/>
      <c r="V994" s="53"/>
      <c r="W994" s="53"/>
      <c r="X994" s="53"/>
      <c r="Y994" s="9" t="e">
        <f t="shared" si="15"/>
        <v>#DIV/0!</v>
      </c>
      <c r="Z994" s="60"/>
      <c r="AC994" s="61"/>
      <c r="AD994" s="53"/>
      <c r="AE994" s="56"/>
      <c r="AF994" s="62"/>
      <c r="AG994" s="63"/>
      <c r="AH994" s="61"/>
      <c r="AO994" s="64" t="s">
        <v>79</v>
      </c>
      <c r="AP994" s="65">
        <v>5.6</v>
      </c>
      <c r="AQ994" s="65">
        <v>5.6</v>
      </c>
      <c r="AR994" s="65">
        <v>5.6</v>
      </c>
      <c r="AS994" s="65"/>
      <c r="AT994" s="65"/>
      <c r="AU994" s="65"/>
      <c r="AV994" s="65"/>
      <c r="AW994" s="65"/>
      <c r="AX994" s="65"/>
      <c r="AY994" s="65"/>
      <c r="AZ994" s="65"/>
      <c r="BA994" s="65"/>
      <c r="BB994" s="65"/>
      <c r="BC994" s="65"/>
      <c r="BD994" s="65"/>
      <c r="BE994" s="65"/>
      <c r="BF994" s="65"/>
      <c r="BG994" s="65"/>
      <c r="BH994" s="65"/>
      <c r="BI994" s="65"/>
      <c r="BJ994" s="65"/>
      <c r="BK994" s="65"/>
      <c r="BL994" s="65"/>
      <c r="BM994" s="65"/>
      <c r="BN994" s="65"/>
      <c r="BO994" s="65"/>
    </row>
    <row r="995" spans="1:67" s="58" customFormat="1" x14ac:dyDescent="0.2">
      <c r="A995" s="49" t="s">
        <v>67</v>
      </c>
      <c r="B995" s="50">
        <v>43200</v>
      </c>
      <c r="C995" s="51">
        <v>0.55208333333333304</v>
      </c>
      <c r="D995" s="50" t="s">
        <v>209</v>
      </c>
      <c r="E995" s="49">
        <v>3</v>
      </c>
      <c r="F995" s="52">
        <v>61</v>
      </c>
      <c r="G995" s="53">
        <v>2</v>
      </c>
      <c r="H995" s="54">
        <v>3.2786885245901641E-2</v>
      </c>
      <c r="I995" s="55">
        <v>6.83E-2</v>
      </c>
      <c r="J995" s="53">
        <v>314.15899999999999</v>
      </c>
      <c r="K995" s="53">
        <v>1.1611</v>
      </c>
      <c r="L995" s="53">
        <v>17</v>
      </c>
      <c r="M995" s="56">
        <v>135.28507449832054</v>
      </c>
      <c r="N995" s="53">
        <v>1419</v>
      </c>
      <c r="O995" s="57" t="s">
        <v>94</v>
      </c>
      <c r="P995" s="57" t="s">
        <v>82</v>
      </c>
      <c r="Q995" s="53" t="s">
        <v>95</v>
      </c>
      <c r="R995" s="53" t="s">
        <v>96</v>
      </c>
      <c r="S995" s="53"/>
      <c r="T995" s="59">
        <v>407</v>
      </c>
      <c r="U995" s="59">
        <v>816</v>
      </c>
      <c r="V995" s="53">
        <v>0.8</v>
      </c>
      <c r="W995" s="53">
        <v>0.8</v>
      </c>
      <c r="X995" s="53">
        <v>0.8</v>
      </c>
      <c r="Y995" s="9">
        <f t="shared" si="15"/>
        <v>55061.025320816465</v>
      </c>
      <c r="Z995" s="60" t="s">
        <v>97</v>
      </c>
      <c r="AA995" s="58" t="s">
        <v>354</v>
      </c>
      <c r="AB995" s="58" t="s">
        <v>75</v>
      </c>
      <c r="AC995" s="61" t="s">
        <v>115</v>
      </c>
      <c r="AD995" s="53" t="s">
        <v>85</v>
      </c>
      <c r="AE995" s="56">
        <v>0.18</v>
      </c>
      <c r="AF995" s="56">
        <v>0.18</v>
      </c>
      <c r="AG995" s="56">
        <v>0.18</v>
      </c>
      <c r="AH995" s="56">
        <v>0.18</v>
      </c>
      <c r="AI995" s="56">
        <v>0.18</v>
      </c>
      <c r="AJ995" s="56">
        <v>0.18</v>
      </c>
      <c r="AK995" s="56">
        <v>0.18</v>
      </c>
      <c r="AL995" s="56">
        <v>0.18</v>
      </c>
      <c r="AM995" s="56">
        <v>0.18</v>
      </c>
      <c r="AN995" s="56">
        <v>0.18</v>
      </c>
      <c r="AO995" s="66" t="s">
        <v>78</v>
      </c>
      <c r="AP995" s="65">
        <v>0.75200000000000033</v>
      </c>
      <c r="AQ995" s="65">
        <v>0.7</v>
      </c>
      <c r="AR995" s="65">
        <v>0.7</v>
      </c>
      <c r="AS995" s="65">
        <v>0.7</v>
      </c>
      <c r="AT995" s="65">
        <v>0.7</v>
      </c>
      <c r="AU995" s="65">
        <v>0.7</v>
      </c>
      <c r="AV995" s="65">
        <v>0.7</v>
      </c>
      <c r="AW995" s="65">
        <v>0.7</v>
      </c>
      <c r="AX995" s="65">
        <v>0.7</v>
      </c>
      <c r="AY995" s="65">
        <v>0.7</v>
      </c>
      <c r="AZ995" s="65">
        <v>0.7</v>
      </c>
      <c r="BA995" s="65">
        <v>0.7</v>
      </c>
      <c r="BB995" s="65">
        <v>0.7</v>
      </c>
      <c r="BC995" s="65">
        <v>0.8</v>
      </c>
      <c r="BD995" s="65">
        <v>0.8</v>
      </c>
      <c r="BE995" s="65">
        <v>0.8</v>
      </c>
      <c r="BF995" s="65">
        <v>0.8</v>
      </c>
      <c r="BG995" s="65">
        <v>0.8</v>
      </c>
      <c r="BH995" s="65">
        <v>0.8</v>
      </c>
      <c r="BI995" s="65">
        <v>0.8</v>
      </c>
      <c r="BJ995" s="65">
        <v>0.8</v>
      </c>
      <c r="BK995" s="65">
        <v>0.8</v>
      </c>
      <c r="BL995" s="65">
        <v>0.8</v>
      </c>
      <c r="BM995" s="65">
        <v>0.8</v>
      </c>
      <c r="BN995" s="65">
        <v>0.8</v>
      </c>
      <c r="BO995" s="65">
        <v>0.8</v>
      </c>
    </row>
    <row r="996" spans="1:67" s="58" customFormat="1" x14ac:dyDescent="0.2">
      <c r="A996" s="49" t="s">
        <v>67</v>
      </c>
      <c r="B996" s="50">
        <v>43200</v>
      </c>
      <c r="C996" s="51">
        <v>0.55208333333333304</v>
      </c>
      <c r="D996" s="50" t="s">
        <v>209</v>
      </c>
      <c r="E996" s="49">
        <v>3</v>
      </c>
      <c r="F996" s="52">
        <v>61</v>
      </c>
      <c r="G996" s="53">
        <v>2</v>
      </c>
      <c r="H996" s="54">
        <v>3.2786885245901641E-2</v>
      </c>
      <c r="I996" s="55">
        <v>6.83E-2</v>
      </c>
      <c r="J996" s="53">
        <v>314.15899999999999</v>
      </c>
      <c r="K996" s="53">
        <v>1.1611</v>
      </c>
      <c r="L996" s="53">
        <v>17</v>
      </c>
      <c r="M996" s="56">
        <v>135.28507449832054</v>
      </c>
      <c r="N996" s="53">
        <v>1519</v>
      </c>
      <c r="O996" s="58" t="s">
        <v>301</v>
      </c>
      <c r="P996" s="57" t="s">
        <v>82</v>
      </c>
      <c r="Q996" s="53" t="s">
        <v>302</v>
      </c>
      <c r="R996" s="53" t="s">
        <v>84</v>
      </c>
      <c r="S996" s="53"/>
      <c r="T996" s="59">
        <v>1</v>
      </c>
      <c r="U996" s="59">
        <v>7</v>
      </c>
      <c r="V996" s="53">
        <v>0.9</v>
      </c>
      <c r="W996" s="53"/>
      <c r="X996" s="53"/>
      <c r="Y996" s="9">
        <f t="shared" si="15"/>
        <v>135.28507449832054</v>
      </c>
      <c r="Z996" s="60" t="s">
        <v>97</v>
      </c>
      <c r="AA996" s="58" t="s">
        <v>354</v>
      </c>
      <c r="AB996" s="58" t="s">
        <v>75</v>
      </c>
      <c r="AC996" s="61" t="s">
        <v>115</v>
      </c>
      <c r="AD996" s="53" t="s">
        <v>85</v>
      </c>
      <c r="AE996" s="56">
        <v>0.381703185</v>
      </c>
      <c r="AF996" s="62"/>
      <c r="AG996" s="63"/>
      <c r="AH996" s="61"/>
      <c r="AO996" s="64" t="s">
        <v>78</v>
      </c>
      <c r="AP996" s="65">
        <v>0.9</v>
      </c>
      <c r="AQ996" s="65">
        <v>0.9</v>
      </c>
      <c r="AR996" s="65">
        <v>0.9</v>
      </c>
      <c r="AS996" s="65">
        <v>0.9</v>
      </c>
      <c r="AT996" s="65">
        <v>0.9</v>
      </c>
      <c r="AU996" s="65">
        <v>0.9</v>
      </c>
      <c r="AV996" s="65"/>
      <c r="AW996" s="65"/>
      <c r="AX996" s="65"/>
      <c r="AY996" s="65"/>
      <c r="AZ996" s="65"/>
      <c r="BA996" s="65"/>
      <c r="BB996" s="65"/>
      <c r="BC996" s="65"/>
      <c r="BD996" s="65"/>
      <c r="BE996" s="65"/>
      <c r="BF996" s="65"/>
      <c r="BG996" s="65"/>
      <c r="BH996" s="65"/>
      <c r="BI996" s="65"/>
      <c r="BJ996" s="65"/>
      <c r="BK996" s="65"/>
      <c r="BL996" s="65"/>
      <c r="BM996" s="65"/>
      <c r="BN996" s="65"/>
      <c r="BO996" s="65"/>
    </row>
    <row r="997" spans="1:67" s="58" customFormat="1" x14ac:dyDescent="0.2">
      <c r="A997" s="49" t="s">
        <v>67</v>
      </c>
      <c r="B997" s="50">
        <v>43200</v>
      </c>
      <c r="C997" s="51">
        <v>0.55208333333333304</v>
      </c>
      <c r="D997" s="50" t="s">
        <v>209</v>
      </c>
      <c r="E997" s="49">
        <v>3</v>
      </c>
      <c r="F997" s="52">
        <v>61</v>
      </c>
      <c r="G997" s="53">
        <v>2</v>
      </c>
      <c r="H997" s="54">
        <v>3.2786885245901641E-2</v>
      </c>
      <c r="I997" s="55">
        <v>6.83E-2</v>
      </c>
      <c r="J997" s="53">
        <v>314.15899999999999</v>
      </c>
      <c r="K997" s="53">
        <v>1.1611</v>
      </c>
      <c r="L997" s="53">
        <v>17</v>
      </c>
      <c r="M997" s="56">
        <v>135.28507449832054</v>
      </c>
      <c r="N997" s="53">
        <v>1588</v>
      </c>
      <c r="O997" s="57" t="s">
        <v>355</v>
      </c>
      <c r="P997" s="57" t="s">
        <v>82</v>
      </c>
      <c r="Q997" s="53" t="s">
        <v>356</v>
      </c>
      <c r="R997" s="53" t="s">
        <v>84</v>
      </c>
      <c r="S997" s="53"/>
      <c r="T997" s="59">
        <v>1</v>
      </c>
      <c r="U997" s="59">
        <v>1</v>
      </c>
      <c r="V997" s="53">
        <v>6.5</v>
      </c>
      <c r="W997" s="53"/>
      <c r="X997" s="53"/>
      <c r="Y997" s="9">
        <f t="shared" si="15"/>
        <v>135.28507449832054</v>
      </c>
      <c r="Z997" s="60" t="s">
        <v>73</v>
      </c>
      <c r="AA997" s="58" t="s">
        <v>354</v>
      </c>
      <c r="AB997" s="58" t="s">
        <v>75</v>
      </c>
      <c r="AC997" s="61" t="s">
        <v>115</v>
      </c>
      <c r="AD997" s="53" t="s">
        <v>150</v>
      </c>
      <c r="AE997" s="56">
        <v>87.671304933333303</v>
      </c>
      <c r="AF997" s="62"/>
      <c r="AG997" s="63"/>
      <c r="AH997" s="61"/>
      <c r="AO997" s="64" t="s">
        <v>78</v>
      </c>
      <c r="AP997" s="65">
        <v>6.5</v>
      </c>
      <c r="AQ997" s="65">
        <v>6.5</v>
      </c>
      <c r="AR997" s="65"/>
      <c r="AS997" s="65"/>
      <c r="AT997" s="65"/>
      <c r="AU997" s="65"/>
      <c r="AV997" s="65"/>
      <c r="AW997" s="65"/>
      <c r="AX997" s="65"/>
      <c r="AY997" s="65"/>
      <c r="AZ997" s="65"/>
      <c r="BA997" s="65"/>
      <c r="BB997" s="65"/>
      <c r="BC997" s="65"/>
      <c r="BD997" s="65"/>
      <c r="BE997" s="65"/>
      <c r="BF997" s="65"/>
      <c r="BG997" s="65"/>
      <c r="BH997" s="65"/>
      <c r="BI997" s="65"/>
      <c r="BJ997" s="65"/>
      <c r="BK997" s="65"/>
      <c r="BL997" s="65"/>
      <c r="BM997" s="65"/>
      <c r="BN997" s="65"/>
      <c r="BO997" s="65"/>
    </row>
    <row r="998" spans="1:67" s="58" customFormat="1" x14ac:dyDescent="0.2">
      <c r="A998" s="49"/>
      <c r="B998" s="50"/>
      <c r="C998" s="51"/>
      <c r="D998" s="50"/>
      <c r="E998" s="49"/>
      <c r="F998" s="52"/>
      <c r="G998" s="53"/>
      <c r="H998" s="54"/>
      <c r="I998" s="55"/>
      <c r="J998" s="53"/>
      <c r="K998" s="53"/>
      <c r="L998" s="53"/>
      <c r="M998" s="56"/>
      <c r="N998" s="53"/>
      <c r="O998" s="57"/>
      <c r="P998" s="57"/>
      <c r="Q998" s="53"/>
      <c r="R998" s="53"/>
      <c r="S998" s="53"/>
      <c r="T998" s="59"/>
      <c r="U998" s="59"/>
      <c r="V998" s="53"/>
      <c r="W998" s="53"/>
      <c r="X998" s="53"/>
      <c r="Y998" s="9" t="e">
        <f t="shared" si="15"/>
        <v>#DIV/0!</v>
      </c>
      <c r="Z998" s="60"/>
      <c r="AC998" s="61"/>
      <c r="AD998" s="53"/>
      <c r="AE998" s="56"/>
      <c r="AF998" s="62"/>
      <c r="AG998" s="63"/>
      <c r="AH998" s="61"/>
      <c r="AO998" s="64" t="s">
        <v>79</v>
      </c>
      <c r="AP998" s="65">
        <v>5.6</v>
      </c>
      <c r="AQ998" s="65">
        <v>5.6</v>
      </c>
      <c r="AR998" s="65"/>
      <c r="AS998" s="65"/>
      <c r="AT998" s="65"/>
      <c r="AU998" s="65"/>
      <c r="AV998" s="65"/>
      <c r="AW998" s="65"/>
      <c r="AX998" s="65"/>
      <c r="AY998" s="65"/>
      <c r="AZ998" s="65"/>
      <c r="BA998" s="65"/>
      <c r="BB998" s="65"/>
      <c r="BC998" s="65"/>
      <c r="BD998" s="65"/>
      <c r="BE998" s="65"/>
      <c r="BF998" s="65"/>
      <c r="BG998" s="65"/>
      <c r="BH998" s="65"/>
      <c r="BI998" s="65"/>
      <c r="BJ998" s="65"/>
      <c r="BK998" s="65"/>
      <c r="BL998" s="65"/>
      <c r="BM998" s="65"/>
      <c r="BN998" s="65"/>
      <c r="BO998" s="65"/>
    </row>
    <row r="999" spans="1:67" s="58" customFormat="1" x14ac:dyDescent="0.2">
      <c r="A999" s="49"/>
      <c r="B999" s="50"/>
      <c r="C999" s="51"/>
      <c r="D999" s="50"/>
      <c r="E999" s="49"/>
      <c r="F999" s="52"/>
      <c r="G999" s="53"/>
      <c r="H999" s="54"/>
      <c r="I999" s="55"/>
      <c r="J999" s="53"/>
      <c r="K999" s="53"/>
      <c r="L999" s="53"/>
      <c r="M999" s="56"/>
      <c r="N999" s="53"/>
      <c r="O999" s="57"/>
      <c r="P999" s="57"/>
      <c r="Q999" s="53"/>
      <c r="R999" s="53"/>
      <c r="S999" s="53"/>
      <c r="T999" s="59"/>
      <c r="U999" s="59"/>
      <c r="V999" s="53"/>
      <c r="W999" s="53"/>
      <c r="X999" s="53"/>
      <c r="Y999" s="9" t="e">
        <f t="shared" si="15"/>
        <v>#DIV/0!</v>
      </c>
      <c r="Z999" s="60"/>
      <c r="AC999" s="61"/>
      <c r="AD999" s="53"/>
      <c r="AE999" s="56"/>
      <c r="AF999" s="62"/>
      <c r="AG999" s="63"/>
      <c r="AH999" s="61"/>
      <c r="AO999" s="64" t="s">
        <v>80</v>
      </c>
      <c r="AP999" s="65">
        <v>4.5999999999999996</v>
      </c>
      <c r="AQ999" s="65">
        <v>4.5999999999999996</v>
      </c>
      <c r="AR999" s="65"/>
      <c r="AS999" s="65"/>
      <c r="AT999" s="65"/>
      <c r="AU999" s="65"/>
      <c r="AV999" s="65"/>
      <c r="AW999" s="65"/>
      <c r="AX999" s="65"/>
      <c r="AY999" s="65"/>
      <c r="AZ999" s="65"/>
      <c r="BA999" s="65"/>
      <c r="BB999" s="65"/>
      <c r="BC999" s="65"/>
      <c r="BD999" s="65"/>
      <c r="BE999" s="65"/>
      <c r="BF999" s="65"/>
      <c r="BG999" s="65"/>
      <c r="BH999" s="65"/>
      <c r="BI999" s="65"/>
      <c r="BJ999" s="65"/>
      <c r="BK999" s="65"/>
      <c r="BL999" s="65"/>
      <c r="BM999" s="65"/>
      <c r="BN999" s="65"/>
      <c r="BO999" s="65"/>
    </row>
    <row r="1000" spans="1:67" s="58" customFormat="1" x14ac:dyDescent="0.2">
      <c r="A1000" s="49" t="s">
        <v>67</v>
      </c>
      <c r="B1000" s="50">
        <v>43200</v>
      </c>
      <c r="C1000" s="51">
        <v>0.59375</v>
      </c>
      <c r="D1000" s="49" t="s">
        <v>158</v>
      </c>
      <c r="E1000" s="49"/>
      <c r="F1000" s="52">
        <v>60</v>
      </c>
      <c r="G1000" s="53">
        <v>3</v>
      </c>
      <c r="H1000" s="54">
        <v>0.05</v>
      </c>
      <c r="I1000" s="55">
        <v>6.83E-2</v>
      </c>
      <c r="J1000" s="53">
        <v>314.15899999999999</v>
      </c>
      <c r="K1000" s="53">
        <v>0.95619999999999994</v>
      </c>
      <c r="L1000" s="53">
        <v>14</v>
      </c>
      <c r="M1000" s="56">
        <v>109.51648887959283</v>
      </c>
      <c r="N1000" s="53">
        <v>145</v>
      </c>
      <c r="O1000" s="57" t="s">
        <v>69</v>
      </c>
      <c r="P1000" s="58" t="s">
        <v>70</v>
      </c>
      <c r="Q1000" s="53" t="s">
        <v>71</v>
      </c>
      <c r="R1000" s="53" t="s">
        <v>72</v>
      </c>
      <c r="S1000" s="53"/>
      <c r="T1000" s="59">
        <v>2</v>
      </c>
      <c r="U1000" s="59">
        <v>2</v>
      </c>
      <c r="V1000" s="53">
        <v>22.1</v>
      </c>
      <c r="W1000" s="53"/>
      <c r="X1000" s="53"/>
      <c r="Y1000" s="9">
        <f t="shared" si="15"/>
        <v>219.03297775918568</v>
      </c>
      <c r="Z1000" s="60" t="s">
        <v>73</v>
      </c>
      <c r="AA1000" s="58" t="s">
        <v>357</v>
      </c>
      <c r="AB1000" s="58" t="s">
        <v>75</v>
      </c>
      <c r="AC1000" s="61" t="s">
        <v>112</v>
      </c>
      <c r="AD1000" s="53" t="s">
        <v>77</v>
      </c>
      <c r="AE1000" s="56">
        <v>804.66330067500007</v>
      </c>
      <c r="AF1000" s="62"/>
      <c r="AG1000" s="63"/>
      <c r="AH1000" s="61"/>
      <c r="AO1000" s="64" t="s">
        <v>78</v>
      </c>
      <c r="AP1000" s="65">
        <v>21.25</v>
      </c>
      <c r="AQ1000" s="65">
        <v>22.1</v>
      </c>
      <c r="AR1000" s="65">
        <v>20.399999999999999</v>
      </c>
      <c r="AS1000" s="65"/>
      <c r="AT1000" s="65"/>
      <c r="AU1000" s="65"/>
      <c r="AV1000" s="65"/>
      <c r="AW1000" s="65"/>
      <c r="AX1000" s="65"/>
      <c r="AY1000" s="65"/>
      <c r="AZ1000" s="65"/>
      <c r="BA1000" s="65"/>
      <c r="BB1000" s="65"/>
      <c r="BC1000" s="65"/>
      <c r="BD1000" s="65"/>
      <c r="BE1000" s="65"/>
      <c r="BF1000" s="65"/>
      <c r="BG1000" s="65"/>
      <c r="BH1000" s="65"/>
      <c r="BI1000" s="65"/>
      <c r="BJ1000" s="65"/>
      <c r="BK1000" s="65"/>
      <c r="BL1000" s="65"/>
      <c r="BM1000" s="65"/>
      <c r="BN1000" s="65"/>
      <c r="BO1000" s="65"/>
    </row>
    <row r="1001" spans="1:67" s="58" customFormat="1" x14ac:dyDescent="0.2">
      <c r="A1001" s="49"/>
      <c r="B1001" s="50"/>
      <c r="C1001" s="51"/>
      <c r="D1001" s="49"/>
      <c r="E1001" s="49"/>
      <c r="F1001" s="52"/>
      <c r="G1001" s="53"/>
      <c r="H1001" s="54"/>
      <c r="I1001" s="55"/>
      <c r="J1001" s="53"/>
      <c r="K1001" s="53"/>
      <c r="L1001" s="53"/>
      <c r="M1001" s="56"/>
      <c r="N1001" s="53"/>
      <c r="O1001" s="57"/>
      <c r="Q1001" s="53"/>
      <c r="R1001" s="53"/>
      <c r="S1001" s="53"/>
      <c r="T1001" s="59"/>
      <c r="U1001" s="59"/>
      <c r="V1001" s="53"/>
      <c r="W1001" s="53"/>
      <c r="X1001" s="53"/>
      <c r="Y1001" s="9" t="e">
        <f t="shared" si="15"/>
        <v>#DIV/0!</v>
      </c>
      <c r="Z1001" s="60"/>
      <c r="AC1001" s="61"/>
      <c r="AD1001" s="53"/>
      <c r="AE1001" s="56"/>
      <c r="AF1001" s="62"/>
      <c r="AG1001" s="63"/>
      <c r="AH1001" s="61"/>
      <c r="AO1001" s="64" t="s">
        <v>79</v>
      </c>
      <c r="AP1001" s="65">
        <v>12.95</v>
      </c>
      <c r="AQ1001" s="65">
        <v>14.8</v>
      </c>
      <c r="AR1001" s="65">
        <v>11.1</v>
      </c>
      <c r="AS1001" s="65"/>
      <c r="AT1001" s="65"/>
      <c r="AU1001" s="65"/>
      <c r="AV1001" s="65"/>
      <c r="AW1001" s="65"/>
      <c r="AX1001" s="65"/>
      <c r="AY1001" s="65"/>
      <c r="AZ1001" s="65"/>
      <c r="BA1001" s="65"/>
      <c r="BB1001" s="65"/>
      <c r="BC1001" s="65"/>
      <c r="BD1001" s="65"/>
      <c r="BE1001" s="65"/>
      <c r="BF1001" s="65"/>
      <c r="BG1001" s="65"/>
      <c r="BH1001" s="65"/>
      <c r="BI1001" s="65"/>
      <c r="BJ1001" s="65"/>
      <c r="BK1001" s="65"/>
      <c r="BL1001" s="65"/>
      <c r="BM1001" s="65"/>
      <c r="BN1001" s="65"/>
      <c r="BO1001" s="65"/>
    </row>
    <row r="1002" spans="1:67" s="58" customFormat="1" x14ac:dyDescent="0.2">
      <c r="A1002" s="49"/>
      <c r="B1002" s="50"/>
      <c r="C1002" s="51"/>
      <c r="D1002" s="49"/>
      <c r="E1002" s="49"/>
      <c r="F1002" s="52"/>
      <c r="G1002" s="53"/>
      <c r="H1002" s="54"/>
      <c r="I1002" s="55"/>
      <c r="J1002" s="53"/>
      <c r="K1002" s="53"/>
      <c r="L1002" s="53"/>
      <c r="M1002" s="56"/>
      <c r="N1002" s="53"/>
      <c r="O1002" s="57"/>
      <c r="Q1002" s="53"/>
      <c r="R1002" s="53"/>
      <c r="S1002" s="53"/>
      <c r="T1002" s="59"/>
      <c r="U1002" s="59"/>
      <c r="V1002" s="53"/>
      <c r="W1002" s="53"/>
      <c r="X1002" s="53"/>
      <c r="Y1002" s="9" t="e">
        <f t="shared" si="15"/>
        <v>#DIV/0!</v>
      </c>
      <c r="Z1002" s="60"/>
      <c r="AC1002" s="61"/>
      <c r="AD1002" s="53"/>
      <c r="AE1002" s="56"/>
      <c r="AF1002" s="62"/>
      <c r="AG1002" s="63"/>
      <c r="AH1002" s="61"/>
      <c r="AO1002" s="64" t="s">
        <v>80</v>
      </c>
      <c r="AP1002" s="65">
        <v>3.7</v>
      </c>
      <c r="AQ1002" s="65">
        <v>3.7</v>
      </c>
      <c r="AR1002" s="65">
        <v>3.7</v>
      </c>
      <c r="AS1002" s="65"/>
      <c r="AT1002" s="65"/>
      <c r="AU1002" s="65"/>
      <c r="AV1002" s="65"/>
      <c r="AW1002" s="65"/>
      <c r="AX1002" s="65"/>
      <c r="AY1002" s="65"/>
      <c r="AZ1002" s="65"/>
      <c r="BA1002" s="65"/>
      <c r="BB1002" s="65"/>
      <c r="BC1002" s="65"/>
      <c r="BD1002" s="65"/>
      <c r="BE1002" s="65"/>
      <c r="BF1002" s="65"/>
      <c r="BG1002" s="65"/>
      <c r="BH1002" s="65"/>
      <c r="BI1002" s="65"/>
      <c r="BJ1002" s="65"/>
      <c r="BK1002" s="65"/>
      <c r="BL1002" s="65"/>
      <c r="BM1002" s="65"/>
      <c r="BN1002" s="65"/>
      <c r="BO1002" s="65"/>
    </row>
    <row r="1003" spans="1:67" s="58" customFormat="1" x14ac:dyDescent="0.2">
      <c r="A1003" s="49" t="s">
        <v>67</v>
      </c>
      <c r="B1003" s="50">
        <v>43200</v>
      </c>
      <c r="C1003" s="51">
        <v>0.59375</v>
      </c>
      <c r="D1003" s="49" t="s">
        <v>158</v>
      </c>
      <c r="E1003" s="49"/>
      <c r="F1003" s="52">
        <v>60</v>
      </c>
      <c r="G1003" s="53">
        <v>3</v>
      </c>
      <c r="H1003" s="54">
        <v>0.05</v>
      </c>
      <c r="I1003" s="55">
        <v>6.83E-2</v>
      </c>
      <c r="J1003" s="53">
        <v>314.15899999999999</v>
      </c>
      <c r="K1003" s="53">
        <v>0.95619999999999994</v>
      </c>
      <c r="L1003" s="53">
        <v>14</v>
      </c>
      <c r="M1003" s="56">
        <v>109.51648887959283</v>
      </c>
      <c r="N1003" s="53">
        <v>190</v>
      </c>
      <c r="O1003" s="57" t="s">
        <v>102</v>
      </c>
      <c r="P1003" s="58" t="s">
        <v>70</v>
      </c>
      <c r="Q1003" s="53" t="s">
        <v>103</v>
      </c>
      <c r="R1003" s="53" t="s">
        <v>84</v>
      </c>
      <c r="S1003" s="53"/>
      <c r="T1003" s="59">
        <v>1</v>
      </c>
      <c r="U1003" s="59">
        <v>1</v>
      </c>
      <c r="V1003" s="53">
        <v>5.6</v>
      </c>
      <c r="W1003" s="53"/>
      <c r="X1003" s="53"/>
      <c r="Y1003" s="9">
        <f t="shared" si="15"/>
        <v>109.51648887959284</v>
      </c>
      <c r="Z1003" s="60" t="s">
        <v>73</v>
      </c>
      <c r="AA1003" s="58" t="s">
        <v>357</v>
      </c>
      <c r="AB1003" s="58" t="s">
        <v>75</v>
      </c>
      <c r="AC1003" s="61" t="s">
        <v>112</v>
      </c>
      <c r="AD1003" s="53" t="s">
        <v>104</v>
      </c>
      <c r="AE1003" s="56">
        <v>91.131242719999989</v>
      </c>
      <c r="AF1003" s="62"/>
      <c r="AG1003" s="63"/>
      <c r="AH1003" s="61"/>
      <c r="AO1003" s="64" t="s">
        <v>78</v>
      </c>
      <c r="AP1003" s="65">
        <v>3.7</v>
      </c>
      <c r="AQ1003" s="65">
        <v>3.7</v>
      </c>
      <c r="AR1003" s="65"/>
      <c r="AS1003" s="65"/>
      <c r="AT1003" s="65"/>
      <c r="AU1003" s="65"/>
      <c r="AV1003" s="65"/>
      <c r="AW1003" s="65"/>
      <c r="AX1003" s="65"/>
      <c r="AY1003" s="65"/>
      <c r="AZ1003" s="65"/>
      <c r="BA1003" s="65"/>
      <c r="BB1003" s="65"/>
      <c r="BC1003" s="65"/>
      <c r="BD1003" s="65"/>
      <c r="BE1003" s="65"/>
      <c r="BF1003" s="65"/>
      <c r="BG1003" s="65"/>
      <c r="BH1003" s="65"/>
      <c r="BI1003" s="65"/>
      <c r="BJ1003" s="65"/>
      <c r="BK1003" s="65"/>
      <c r="BL1003" s="65"/>
      <c r="BM1003" s="65"/>
      <c r="BN1003" s="65"/>
      <c r="BO1003" s="65"/>
    </row>
    <row r="1004" spans="1:67" s="58" customFormat="1" x14ac:dyDescent="0.2">
      <c r="A1004" s="49"/>
      <c r="B1004" s="50"/>
      <c r="C1004" s="51"/>
      <c r="D1004" s="49"/>
      <c r="E1004" s="49"/>
      <c r="F1004" s="52"/>
      <c r="G1004" s="53"/>
      <c r="H1004" s="54"/>
      <c r="I1004" s="55"/>
      <c r="J1004" s="53"/>
      <c r="K1004" s="53"/>
      <c r="L1004" s="53"/>
      <c r="M1004" s="56"/>
      <c r="N1004" s="53"/>
      <c r="O1004" s="57"/>
      <c r="Q1004" s="53"/>
      <c r="R1004" s="53"/>
      <c r="S1004" s="53"/>
      <c r="T1004" s="59"/>
      <c r="U1004" s="59"/>
      <c r="V1004" s="53"/>
      <c r="W1004" s="53"/>
      <c r="X1004" s="53"/>
      <c r="Y1004" s="9" t="e">
        <f t="shared" si="15"/>
        <v>#DIV/0!</v>
      </c>
      <c r="Z1004" s="60"/>
      <c r="AC1004" s="61"/>
      <c r="AD1004" s="53"/>
      <c r="AE1004" s="56"/>
      <c r="AF1004" s="62"/>
      <c r="AG1004" s="63"/>
      <c r="AH1004" s="61"/>
      <c r="AO1004" s="64" t="s">
        <v>79</v>
      </c>
      <c r="AP1004" s="65">
        <v>5.6</v>
      </c>
      <c r="AQ1004" s="65">
        <v>5.6</v>
      </c>
      <c r="AR1004" s="65"/>
      <c r="AS1004" s="65"/>
      <c r="AT1004" s="65"/>
      <c r="AU1004" s="65"/>
      <c r="AV1004" s="65"/>
      <c r="AW1004" s="65"/>
      <c r="AX1004" s="65"/>
      <c r="AY1004" s="65"/>
      <c r="AZ1004" s="65"/>
      <c r="BA1004" s="65"/>
      <c r="BB1004" s="65"/>
      <c r="BC1004" s="65"/>
      <c r="BD1004" s="65"/>
      <c r="BE1004" s="65"/>
      <c r="BF1004" s="65"/>
      <c r="BG1004" s="65"/>
      <c r="BH1004" s="65"/>
      <c r="BI1004" s="65"/>
      <c r="BJ1004" s="65"/>
      <c r="BK1004" s="65"/>
      <c r="BL1004" s="65"/>
      <c r="BM1004" s="65"/>
      <c r="BN1004" s="65"/>
      <c r="BO1004" s="65"/>
    </row>
    <row r="1005" spans="1:67" s="58" customFormat="1" x14ac:dyDescent="0.2">
      <c r="A1005" s="49" t="s">
        <v>67</v>
      </c>
      <c r="B1005" s="50">
        <v>43200</v>
      </c>
      <c r="C1005" s="51">
        <v>0.59375</v>
      </c>
      <c r="D1005" s="49" t="s">
        <v>158</v>
      </c>
      <c r="E1005" s="49"/>
      <c r="F1005" s="52">
        <v>60</v>
      </c>
      <c r="G1005" s="53">
        <v>3</v>
      </c>
      <c r="H1005" s="54">
        <v>0.05</v>
      </c>
      <c r="I1005" s="55">
        <v>6.83E-2</v>
      </c>
      <c r="J1005" s="53">
        <v>314.15899999999999</v>
      </c>
      <c r="K1005" s="53">
        <v>0.95619999999999994</v>
      </c>
      <c r="L1005" s="53">
        <v>14</v>
      </c>
      <c r="M1005" s="56">
        <v>109.51648887959283</v>
      </c>
      <c r="N1005" s="53">
        <v>749</v>
      </c>
      <c r="O1005" s="57" t="s">
        <v>190</v>
      </c>
      <c r="P1005" s="58" t="s">
        <v>70</v>
      </c>
      <c r="Q1005" s="53" t="s">
        <v>191</v>
      </c>
      <c r="R1005" s="53" t="s">
        <v>84</v>
      </c>
      <c r="S1005" s="53"/>
      <c r="T1005" s="59">
        <v>1</v>
      </c>
      <c r="U1005" s="59">
        <v>1</v>
      </c>
      <c r="V1005" s="53">
        <v>18.5</v>
      </c>
      <c r="W1005" s="53"/>
      <c r="X1005" s="53"/>
      <c r="Y1005" s="9">
        <f t="shared" si="15"/>
        <v>109.51648887959284</v>
      </c>
      <c r="Z1005" s="60" t="s">
        <v>73</v>
      </c>
      <c r="AA1005" s="58" t="s">
        <v>357</v>
      </c>
      <c r="AB1005" s="58" t="s">
        <v>75</v>
      </c>
      <c r="AC1005" s="61" t="s">
        <v>112</v>
      </c>
      <c r="AD1005" s="53" t="s">
        <v>193</v>
      </c>
      <c r="AE1005" s="56">
        <v>126.63250000000001</v>
      </c>
      <c r="AF1005" s="62"/>
      <c r="AG1005" s="63"/>
      <c r="AH1005" s="61"/>
      <c r="AO1005" s="64" t="s">
        <v>78</v>
      </c>
      <c r="AP1005" s="65">
        <v>18.5</v>
      </c>
      <c r="AQ1005" s="65">
        <v>18.5</v>
      </c>
      <c r="AR1005" s="65"/>
      <c r="AS1005" s="65"/>
      <c r="AT1005" s="65"/>
      <c r="AU1005" s="65"/>
      <c r="AV1005" s="65"/>
      <c r="AW1005" s="65"/>
      <c r="AX1005" s="65"/>
      <c r="AY1005" s="65"/>
      <c r="AZ1005" s="65"/>
      <c r="BA1005" s="65"/>
      <c r="BB1005" s="65"/>
      <c r="BC1005" s="65"/>
      <c r="BD1005" s="65"/>
      <c r="BE1005" s="65"/>
      <c r="BF1005" s="65"/>
      <c r="BG1005" s="65"/>
      <c r="BH1005" s="65"/>
      <c r="BI1005" s="65"/>
      <c r="BJ1005" s="65"/>
      <c r="BK1005" s="65"/>
      <c r="BL1005" s="65"/>
      <c r="BM1005" s="65"/>
      <c r="BN1005" s="65"/>
      <c r="BO1005" s="65"/>
    </row>
    <row r="1006" spans="1:67" s="58" customFormat="1" x14ac:dyDescent="0.2">
      <c r="A1006" s="49"/>
      <c r="B1006" s="50"/>
      <c r="C1006" s="51"/>
      <c r="D1006" s="49"/>
      <c r="E1006" s="49"/>
      <c r="F1006" s="52"/>
      <c r="G1006" s="53"/>
      <c r="H1006" s="54"/>
      <c r="I1006" s="55"/>
      <c r="J1006" s="53"/>
      <c r="K1006" s="53"/>
      <c r="L1006" s="53"/>
      <c r="M1006" s="56"/>
      <c r="N1006" s="53"/>
      <c r="O1006" s="57"/>
      <c r="Q1006" s="53"/>
      <c r="R1006" s="53"/>
      <c r="S1006" s="53"/>
      <c r="T1006" s="59"/>
      <c r="U1006" s="59"/>
      <c r="V1006" s="53"/>
      <c r="W1006" s="53"/>
      <c r="X1006" s="53"/>
      <c r="Y1006" s="9" t="e">
        <f t="shared" si="15"/>
        <v>#DIV/0!</v>
      </c>
      <c r="Z1006" s="60"/>
      <c r="AC1006" s="61"/>
      <c r="AD1006" s="53"/>
      <c r="AE1006" s="56"/>
      <c r="AF1006" s="62"/>
      <c r="AG1006" s="63"/>
      <c r="AH1006" s="61"/>
      <c r="AO1006" s="64" t="s">
        <v>79</v>
      </c>
      <c r="AP1006" s="65">
        <v>3.7</v>
      </c>
      <c r="AQ1006" s="65">
        <v>3.7</v>
      </c>
      <c r="AR1006" s="65"/>
      <c r="AS1006" s="65"/>
      <c r="AT1006" s="65"/>
      <c r="AU1006" s="65"/>
      <c r="AV1006" s="65"/>
      <c r="AW1006" s="65"/>
      <c r="AX1006" s="65"/>
      <c r="AY1006" s="65"/>
      <c r="AZ1006" s="65"/>
      <c r="BA1006" s="65"/>
      <c r="BB1006" s="65"/>
      <c r="BC1006" s="65"/>
      <c r="BD1006" s="65"/>
      <c r="BE1006" s="65"/>
      <c r="BF1006" s="65"/>
      <c r="BG1006" s="65"/>
      <c r="BH1006" s="65"/>
      <c r="BI1006" s="65"/>
      <c r="BJ1006" s="65"/>
      <c r="BK1006" s="65"/>
      <c r="BL1006" s="65"/>
      <c r="BM1006" s="65"/>
      <c r="BN1006" s="65"/>
      <c r="BO1006" s="65"/>
    </row>
    <row r="1007" spans="1:67" s="58" customFormat="1" x14ac:dyDescent="0.2">
      <c r="A1007" s="49"/>
      <c r="B1007" s="50"/>
      <c r="C1007" s="51"/>
      <c r="D1007" s="49"/>
      <c r="E1007" s="49"/>
      <c r="F1007" s="52"/>
      <c r="G1007" s="53"/>
      <c r="H1007" s="54"/>
      <c r="I1007" s="55"/>
      <c r="J1007" s="53"/>
      <c r="K1007" s="53"/>
      <c r="L1007" s="53"/>
      <c r="M1007" s="56"/>
      <c r="N1007" s="53"/>
      <c r="O1007" s="57"/>
      <c r="Q1007" s="53"/>
      <c r="R1007" s="53"/>
      <c r="S1007" s="53"/>
      <c r="T1007" s="59"/>
      <c r="U1007" s="59"/>
      <c r="V1007" s="53"/>
      <c r="W1007" s="53"/>
      <c r="X1007" s="53"/>
      <c r="Y1007" s="9" t="e">
        <f t="shared" si="15"/>
        <v>#DIV/0!</v>
      </c>
      <c r="Z1007" s="60"/>
      <c r="AC1007" s="61"/>
      <c r="AD1007" s="53"/>
      <c r="AE1007" s="56"/>
      <c r="AF1007" s="62"/>
      <c r="AG1007" s="63"/>
      <c r="AH1007" s="61"/>
      <c r="AO1007" s="64" t="s">
        <v>80</v>
      </c>
      <c r="AP1007" s="65">
        <v>3.7</v>
      </c>
      <c r="AQ1007" s="65">
        <v>3.7</v>
      </c>
      <c r="AR1007" s="65"/>
      <c r="AS1007" s="65"/>
      <c r="AT1007" s="65"/>
      <c r="AU1007" s="65"/>
      <c r="AV1007" s="65"/>
      <c r="AW1007" s="65"/>
      <c r="AX1007" s="65"/>
      <c r="AY1007" s="65"/>
      <c r="AZ1007" s="65"/>
      <c r="BA1007" s="65"/>
      <c r="BB1007" s="65"/>
      <c r="BC1007" s="65"/>
      <c r="BD1007" s="65"/>
      <c r="BE1007" s="65"/>
      <c r="BF1007" s="65"/>
      <c r="BG1007" s="65"/>
      <c r="BH1007" s="65"/>
      <c r="BI1007" s="65"/>
      <c r="BJ1007" s="65"/>
      <c r="BK1007" s="65"/>
      <c r="BL1007" s="65"/>
      <c r="BM1007" s="65"/>
      <c r="BN1007" s="65"/>
      <c r="BO1007" s="65"/>
    </row>
    <row r="1008" spans="1:67" s="58" customFormat="1" x14ac:dyDescent="0.2">
      <c r="A1008" s="49" t="s">
        <v>67</v>
      </c>
      <c r="B1008" s="50">
        <v>43200</v>
      </c>
      <c r="C1008" s="51">
        <v>0.59375</v>
      </c>
      <c r="D1008" s="49" t="s">
        <v>158</v>
      </c>
      <c r="E1008" s="49"/>
      <c r="F1008" s="52">
        <v>60</v>
      </c>
      <c r="G1008" s="53">
        <v>3</v>
      </c>
      <c r="H1008" s="54">
        <v>0.05</v>
      </c>
      <c r="I1008" s="55">
        <v>6.83E-2</v>
      </c>
      <c r="J1008" s="53">
        <v>314.15899999999999</v>
      </c>
      <c r="K1008" s="53">
        <v>0.95619999999999994</v>
      </c>
      <c r="L1008" s="53">
        <v>14</v>
      </c>
      <c r="M1008" s="56">
        <v>109.51648887959283</v>
      </c>
      <c r="N1008" s="53">
        <v>1037</v>
      </c>
      <c r="O1008" s="57" t="s">
        <v>86</v>
      </c>
      <c r="P1008" s="57" t="s">
        <v>82</v>
      </c>
      <c r="Q1008" s="53" t="s">
        <v>87</v>
      </c>
      <c r="R1008" s="53" t="s">
        <v>84</v>
      </c>
      <c r="S1008" s="53"/>
      <c r="T1008" s="59">
        <v>22</v>
      </c>
      <c r="U1008" s="59">
        <v>22</v>
      </c>
      <c r="V1008" s="53">
        <v>3.7</v>
      </c>
      <c r="W1008" s="53"/>
      <c r="X1008" s="53"/>
      <c r="Y1008" s="9">
        <f t="shared" si="15"/>
        <v>2409.3627553510423</v>
      </c>
      <c r="Z1008" s="60" t="s">
        <v>73</v>
      </c>
      <c r="AA1008" s="58" t="s">
        <v>357</v>
      </c>
      <c r="AB1008" s="58" t="s">
        <v>75</v>
      </c>
      <c r="AC1008" s="61" t="s">
        <v>112</v>
      </c>
      <c r="AD1008" s="53" t="s">
        <v>85</v>
      </c>
      <c r="AE1008" s="56">
        <v>14.137154999999998</v>
      </c>
      <c r="AF1008" s="62"/>
      <c r="AG1008" s="63"/>
      <c r="AH1008" s="61"/>
      <c r="AO1008" s="64" t="s">
        <v>78</v>
      </c>
      <c r="AP1008" s="65">
        <v>2.9800000000000004</v>
      </c>
      <c r="AQ1008" s="65">
        <v>2.8</v>
      </c>
      <c r="AR1008" s="65">
        <v>2.8</v>
      </c>
      <c r="AS1008" s="65">
        <v>3.7</v>
      </c>
      <c r="AT1008" s="65">
        <v>2.8</v>
      </c>
      <c r="AU1008" s="65">
        <v>2.8</v>
      </c>
      <c r="AV1008" s="65"/>
      <c r="AW1008" s="65"/>
      <c r="AX1008" s="65"/>
      <c r="AY1008" s="65"/>
      <c r="AZ1008" s="65"/>
      <c r="BA1008" s="65"/>
      <c r="BB1008" s="65"/>
      <c r="BC1008" s="65"/>
      <c r="BD1008" s="65"/>
      <c r="BE1008" s="65"/>
      <c r="BF1008" s="65"/>
      <c r="BG1008" s="65"/>
      <c r="BH1008" s="65"/>
      <c r="BI1008" s="65"/>
      <c r="BJ1008" s="65"/>
      <c r="BK1008" s="65"/>
      <c r="BL1008" s="65"/>
      <c r="BM1008" s="65"/>
      <c r="BN1008" s="65"/>
      <c r="BO1008" s="65"/>
    </row>
    <row r="1009" spans="1:67" s="58" customFormat="1" x14ac:dyDescent="0.2">
      <c r="A1009" s="49" t="s">
        <v>67</v>
      </c>
      <c r="B1009" s="50">
        <v>43200</v>
      </c>
      <c r="C1009" s="51">
        <v>0.59375</v>
      </c>
      <c r="D1009" s="49" t="s">
        <v>158</v>
      </c>
      <c r="E1009" s="49"/>
      <c r="F1009" s="52">
        <v>60</v>
      </c>
      <c r="G1009" s="53">
        <v>3</v>
      </c>
      <c r="H1009" s="54">
        <v>0.05</v>
      </c>
      <c r="I1009" s="55">
        <v>6.83E-2</v>
      </c>
      <c r="J1009" s="53">
        <v>314.15899999999999</v>
      </c>
      <c r="K1009" s="53">
        <v>0.95619999999999994</v>
      </c>
      <c r="L1009" s="53">
        <v>14</v>
      </c>
      <c r="M1009" s="56">
        <v>109.51648887959283</v>
      </c>
      <c r="N1009" s="53">
        <v>1806</v>
      </c>
      <c r="O1009" s="57" t="s">
        <v>206</v>
      </c>
      <c r="P1009" s="57" t="s">
        <v>82</v>
      </c>
      <c r="Q1009" s="53" t="s">
        <v>207</v>
      </c>
      <c r="R1009" s="53" t="s">
        <v>84</v>
      </c>
      <c r="S1009" s="53"/>
      <c r="T1009" s="59">
        <v>1</v>
      </c>
      <c r="U1009" s="59">
        <v>1</v>
      </c>
      <c r="V1009" s="53">
        <v>3.7</v>
      </c>
      <c r="W1009" s="53"/>
      <c r="X1009" s="53"/>
      <c r="Y1009" s="9">
        <f t="shared" si="15"/>
        <v>109.51648887959284</v>
      </c>
      <c r="Z1009" s="60" t="s">
        <v>73</v>
      </c>
      <c r="AA1009" s="58" t="s">
        <v>357</v>
      </c>
      <c r="AB1009" s="58" t="s">
        <v>75</v>
      </c>
      <c r="AC1009" s="61" t="s">
        <v>112</v>
      </c>
      <c r="AD1009" s="53" t="s">
        <v>120</v>
      </c>
      <c r="AE1009" s="56">
        <v>26.521826378333333</v>
      </c>
      <c r="AF1009" s="62"/>
      <c r="AG1009" s="63"/>
      <c r="AH1009" s="61"/>
      <c r="AO1009" s="64" t="s">
        <v>78</v>
      </c>
      <c r="AP1009" s="65">
        <v>3.7</v>
      </c>
      <c r="AQ1009" s="65">
        <v>3.7</v>
      </c>
      <c r="AR1009" s="65"/>
      <c r="AS1009" s="65"/>
      <c r="AT1009" s="65"/>
      <c r="AU1009" s="65"/>
      <c r="AV1009" s="65"/>
      <c r="AW1009" s="65"/>
      <c r="AX1009" s="65"/>
      <c r="AY1009" s="65"/>
      <c r="AZ1009" s="65"/>
      <c r="BA1009" s="65"/>
      <c r="BB1009" s="65"/>
      <c r="BC1009" s="65"/>
      <c r="BD1009" s="65"/>
      <c r="BE1009" s="65"/>
      <c r="BF1009" s="65"/>
      <c r="BG1009" s="65"/>
      <c r="BH1009" s="65"/>
      <c r="BI1009" s="65"/>
      <c r="BJ1009" s="65"/>
      <c r="BK1009" s="65"/>
      <c r="BL1009" s="65"/>
      <c r="BM1009" s="65"/>
      <c r="BN1009" s="65"/>
      <c r="BO1009" s="65"/>
    </row>
    <row r="1010" spans="1:67" s="58" customFormat="1" x14ac:dyDescent="0.2">
      <c r="A1010" s="49"/>
      <c r="B1010" s="50"/>
      <c r="C1010" s="51"/>
      <c r="D1010" s="49"/>
      <c r="E1010" s="49"/>
      <c r="F1010" s="52"/>
      <c r="G1010" s="53"/>
      <c r="H1010" s="54"/>
      <c r="I1010" s="55"/>
      <c r="J1010" s="53"/>
      <c r="K1010" s="53"/>
      <c r="L1010" s="53"/>
      <c r="M1010" s="56"/>
      <c r="N1010" s="53"/>
      <c r="O1010" s="57"/>
      <c r="P1010" s="57"/>
      <c r="Q1010" s="53"/>
      <c r="R1010" s="53"/>
      <c r="S1010" s="53"/>
      <c r="T1010" s="59"/>
      <c r="U1010" s="59"/>
      <c r="V1010" s="53"/>
      <c r="W1010" s="53"/>
      <c r="X1010" s="53"/>
      <c r="Y1010" s="9" t="e">
        <f t="shared" si="15"/>
        <v>#DIV/0!</v>
      </c>
      <c r="Z1010" s="60"/>
      <c r="AC1010" s="61"/>
      <c r="AD1010" s="53"/>
      <c r="AE1010" s="56"/>
      <c r="AF1010" s="62"/>
      <c r="AG1010" s="63"/>
      <c r="AH1010" s="61"/>
      <c r="AO1010" s="64" t="s">
        <v>79</v>
      </c>
      <c r="AP1010" s="65">
        <v>3.7</v>
      </c>
      <c r="AQ1010" s="65">
        <v>3.7</v>
      </c>
      <c r="AR1010" s="65"/>
      <c r="AS1010" s="65"/>
      <c r="AT1010" s="65"/>
      <c r="AU1010" s="65"/>
      <c r="AV1010" s="65"/>
      <c r="AW1010" s="65"/>
      <c r="AX1010" s="65"/>
      <c r="AY1010" s="65"/>
      <c r="AZ1010" s="65"/>
      <c r="BA1010" s="65"/>
      <c r="BB1010" s="65"/>
      <c r="BC1010" s="65"/>
      <c r="BD1010" s="65"/>
      <c r="BE1010" s="65"/>
      <c r="BF1010" s="65"/>
      <c r="BG1010" s="65"/>
      <c r="BH1010" s="65"/>
      <c r="BI1010" s="65"/>
      <c r="BJ1010" s="65"/>
      <c r="BK1010" s="65"/>
      <c r="BL1010" s="65"/>
      <c r="BM1010" s="65"/>
      <c r="BN1010" s="65"/>
      <c r="BO1010" s="65"/>
    </row>
    <row r="1011" spans="1:67" s="58" customFormat="1" x14ac:dyDescent="0.2">
      <c r="A1011" s="49" t="s">
        <v>67</v>
      </c>
      <c r="B1011" s="50">
        <v>43200</v>
      </c>
      <c r="C1011" s="51">
        <v>0.59375</v>
      </c>
      <c r="D1011" s="49" t="s">
        <v>158</v>
      </c>
      <c r="E1011" s="49"/>
      <c r="F1011" s="52">
        <v>60</v>
      </c>
      <c r="G1011" s="53">
        <v>3</v>
      </c>
      <c r="H1011" s="54">
        <v>0.05</v>
      </c>
      <c r="I1011" s="55">
        <v>6.83E-2</v>
      </c>
      <c r="J1011" s="53">
        <v>314.15899999999999</v>
      </c>
      <c r="K1011" s="53">
        <v>0.95619999999999994</v>
      </c>
      <c r="L1011" s="53">
        <v>14</v>
      </c>
      <c r="M1011" s="56">
        <v>109.51648887959283</v>
      </c>
      <c r="N1011" s="53">
        <v>1692</v>
      </c>
      <c r="O1011" s="58" t="s">
        <v>179</v>
      </c>
      <c r="P1011" s="57" t="s">
        <v>82</v>
      </c>
      <c r="Q1011" s="53" t="s">
        <v>180</v>
      </c>
      <c r="R1011" s="53" t="s">
        <v>84</v>
      </c>
      <c r="S1011" s="53"/>
      <c r="T1011" s="59">
        <v>1</v>
      </c>
      <c r="U1011" s="59">
        <v>1</v>
      </c>
      <c r="V1011" s="53">
        <v>5.6</v>
      </c>
      <c r="W1011" s="53"/>
      <c r="X1011" s="53"/>
      <c r="Y1011" s="9">
        <f t="shared" si="15"/>
        <v>109.51648887959284</v>
      </c>
      <c r="Z1011" s="60" t="s">
        <v>73</v>
      </c>
      <c r="AA1011" s="58" t="s">
        <v>357</v>
      </c>
      <c r="AB1011" s="58" t="s">
        <v>75</v>
      </c>
      <c r="AC1011" s="61" t="s">
        <v>112</v>
      </c>
      <c r="AD1011" s="53" t="s">
        <v>120</v>
      </c>
      <c r="AE1011" s="56">
        <v>40.141142626666664</v>
      </c>
      <c r="AF1011" s="62"/>
      <c r="AG1011" s="63"/>
      <c r="AH1011" s="61"/>
      <c r="AO1011" s="64" t="s">
        <v>78</v>
      </c>
      <c r="AP1011" s="65">
        <v>5.6</v>
      </c>
      <c r="AQ1011" s="65">
        <v>5.6</v>
      </c>
      <c r="AR1011" s="65"/>
      <c r="AS1011" s="65"/>
      <c r="AT1011" s="65"/>
      <c r="AU1011" s="65"/>
      <c r="AV1011" s="65"/>
      <c r="AW1011" s="65"/>
      <c r="AX1011" s="65"/>
      <c r="AY1011" s="65"/>
      <c r="AZ1011" s="65"/>
      <c r="BA1011" s="65"/>
      <c r="BB1011" s="65"/>
      <c r="BC1011" s="65"/>
      <c r="BD1011" s="65"/>
      <c r="BE1011" s="65"/>
      <c r="BF1011" s="65"/>
      <c r="BG1011" s="65"/>
      <c r="BH1011" s="65"/>
      <c r="BI1011" s="65"/>
      <c r="BJ1011" s="65"/>
      <c r="BK1011" s="65"/>
      <c r="BL1011" s="65"/>
      <c r="BM1011" s="65"/>
      <c r="BN1011" s="65"/>
      <c r="BO1011" s="65"/>
    </row>
    <row r="1012" spans="1:67" s="58" customFormat="1" x14ac:dyDescent="0.2">
      <c r="A1012" s="49"/>
      <c r="B1012" s="50"/>
      <c r="C1012" s="51"/>
      <c r="D1012" s="49"/>
      <c r="E1012" s="49"/>
      <c r="F1012" s="52"/>
      <c r="G1012" s="53"/>
      <c r="H1012" s="54"/>
      <c r="I1012" s="55"/>
      <c r="J1012" s="53"/>
      <c r="K1012" s="53"/>
      <c r="L1012" s="53"/>
      <c r="M1012" s="56"/>
      <c r="N1012" s="53"/>
      <c r="P1012" s="57"/>
      <c r="Q1012" s="53"/>
      <c r="R1012" s="53"/>
      <c r="S1012" s="53"/>
      <c r="T1012" s="59"/>
      <c r="U1012" s="59"/>
      <c r="V1012" s="53"/>
      <c r="W1012" s="53"/>
      <c r="X1012" s="53"/>
      <c r="Y1012" s="9" t="e">
        <f t="shared" si="15"/>
        <v>#DIV/0!</v>
      </c>
      <c r="Z1012" s="60"/>
      <c r="AC1012" s="61"/>
      <c r="AD1012" s="53"/>
      <c r="AE1012" s="56"/>
      <c r="AF1012" s="62"/>
      <c r="AG1012" s="63"/>
      <c r="AH1012" s="61"/>
      <c r="AO1012" s="64" t="s">
        <v>79</v>
      </c>
      <c r="AP1012" s="65">
        <v>3.7</v>
      </c>
      <c r="AQ1012" s="65">
        <v>3.7</v>
      </c>
      <c r="AR1012" s="65"/>
      <c r="AS1012" s="65"/>
      <c r="AT1012" s="65"/>
      <c r="AU1012" s="65"/>
      <c r="AV1012" s="65"/>
      <c r="AW1012" s="65"/>
      <c r="AX1012" s="65"/>
      <c r="AY1012" s="65"/>
      <c r="AZ1012" s="65"/>
      <c r="BA1012" s="65"/>
      <c r="BB1012" s="65"/>
      <c r="BC1012" s="65"/>
      <c r="BD1012" s="65"/>
      <c r="BE1012" s="65"/>
      <c r="BF1012" s="65"/>
      <c r="BG1012" s="65"/>
      <c r="BH1012" s="65"/>
      <c r="BI1012" s="65"/>
      <c r="BJ1012" s="65"/>
      <c r="BK1012" s="65"/>
      <c r="BL1012" s="65"/>
      <c r="BM1012" s="65"/>
      <c r="BN1012" s="65"/>
      <c r="BO1012" s="65"/>
    </row>
    <row r="1013" spans="1:67" s="58" customFormat="1" x14ac:dyDescent="0.2">
      <c r="A1013" s="49" t="s">
        <v>67</v>
      </c>
      <c r="B1013" s="50">
        <v>43200</v>
      </c>
      <c r="C1013" s="51">
        <v>0.59375</v>
      </c>
      <c r="D1013" s="49" t="s">
        <v>158</v>
      </c>
      <c r="E1013" s="49"/>
      <c r="F1013" s="52">
        <v>60</v>
      </c>
      <c r="G1013" s="53">
        <v>3</v>
      </c>
      <c r="H1013" s="54">
        <v>0.05</v>
      </c>
      <c r="I1013" s="55">
        <v>6.83E-2</v>
      </c>
      <c r="J1013" s="53">
        <v>314.15899999999999</v>
      </c>
      <c r="K1013" s="53">
        <v>0.95619999999999994</v>
      </c>
      <c r="L1013" s="53">
        <v>14</v>
      </c>
      <c r="M1013" s="56">
        <v>109.51648887959283</v>
      </c>
      <c r="N1013" s="53">
        <v>1364</v>
      </c>
      <c r="O1013" s="57" t="s">
        <v>88</v>
      </c>
      <c r="P1013" s="57" t="s">
        <v>82</v>
      </c>
      <c r="Q1013" s="53" t="s">
        <v>89</v>
      </c>
      <c r="R1013" s="53" t="s">
        <v>90</v>
      </c>
      <c r="S1013" s="53"/>
      <c r="T1013" s="59">
        <v>3</v>
      </c>
      <c r="U1013" s="59">
        <v>3</v>
      </c>
      <c r="V1013" s="53">
        <v>11.1</v>
      </c>
      <c r="W1013" s="53"/>
      <c r="X1013" s="53"/>
      <c r="Y1013" s="9">
        <f t="shared" si="15"/>
        <v>328.54946663877848</v>
      </c>
      <c r="Z1013" s="60" t="s">
        <v>73</v>
      </c>
      <c r="AA1013" s="58" t="s">
        <v>357</v>
      </c>
      <c r="AB1013" s="58" t="s">
        <v>75</v>
      </c>
      <c r="AC1013" s="61" t="s">
        <v>112</v>
      </c>
      <c r="AD1013" s="53" t="s">
        <v>91</v>
      </c>
      <c r="AE1013" s="56">
        <v>397.71351303749998</v>
      </c>
      <c r="AF1013" s="62"/>
      <c r="AG1013" s="63"/>
      <c r="AH1013" s="61"/>
      <c r="AO1013" s="64" t="s">
        <v>78</v>
      </c>
      <c r="AP1013" s="65">
        <v>9.9</v>
      </c>
      <c r="AQ1013" s="65">
        <v>9.3000000000000007</v>
      </c>
      <c r="AR1013" s="65">
        <v>11.1</v>
      </c>
      <c r="AS1013" s="65">
        <v>9.3000000000000007</v>
      </c>
      <c r="AT1013" s="65"/>
      <c r="AU1013" s="65"/>
      <c r="AV1013" s="65"/>
      <c r="AW1013" s="65"/>
      <c r="AX1013" s="65"/>
      <c r="AY1013" s="65"/>
      <c r="AZ1013" s="65"/>
      <c r="BA1013" s="65"/>
      <c r="BB1013" s="65"/>
      <c r="BC1013" s="65"/>
      <c r="BD1013" s="65"/>
      <c r="BE1013" s="65"/>
      <c r="BF1013" s="65"/>
      <c r="BG1013" s="65"/>
      <c r="BH1013" s="65"/>
      <c r="BI1013" s="65"/>
      <c r="BJ1013" s="65"/>
      <c r="BK1013" s="65"/>
      <c r="BL1013" s="65"/>
      <c r="BM1013" s="65"/>
      <c r="BN1013" s="65"/>
      <c r="BO1013" s="65"/>
    </row>
    <row r="1014" spans="1:67" s="58" customFormat="1" x14ac:dyDescent="0.2">
      <c r="A1014" s="49"/>
      <c r="B1014" s="50"/>
      <c r="C1014" s="51"/>
      <c r="D1014" s="49"/>
      <c r="E1014" s="49"/>
      <c r="F1014" s="52"/>
      <c r="G1014" s="53"/>
      <c r="H1014" s="54"/>
      <c r="I1014" s="55"/>
      <c r="J1014" s="53"/>
      <c r="K1014" s="53"/>
      <c r="L1014" s="53"/>
      <c r="M1014" s="56"/>
      <c r="N1014" s="53"/>
      <c r="O1014" s="57"/>
      <c r="P1014" s="57"/>
      <c r="Q1014" s="53"/>
      <c r="R1014" s="53"/>
      <c r="S1014" s="53"/>
      <c r="T1014" s="59"/>
      <c r="U1014" s="59"/>
      <c r="V1014" s="53"/>
      <c r="W1014" s="53"/>
      <c r="X1014" s="53"/>
      <c r="Y1014" s="9" t="e">
        <f t="shared" si="15"/>
        <v>#DIV/0!</v>
      </c>
      <c r="Z1014" s="60"/>
      <c r="AC1014" s="61"/>
      <c r="AD1014" s="53"/>
      <c r="AE1014" s="56"/>
      <c r="AF1014" s="62"/>
      <c r="AG1014" s="63"/>
      <c r="AH1014" s="61"/>
      <c r="AO1014" s="64" t="s">
        <v>79</v>
      </c>
      <c r="AP1014" s="65">
        <v>5.5999999999999988</v>
      </c>
      <c r="AQ1014" s="65">
        <v>5.6</v>
      </c>
      <c r="AR1014" s="65">
        <v>5.6</v>
      </c>
      <c r="AS1014" s="65">
        <v>5.6</v>
      </c>
      <c r="AT1014" s="65"/>
      <c r="AU1014" s="65"/>
      <c r="AV1014" s="65"/>
      <c r="AW1014" s="65"/>
      <c r="AX1014" s="65"/>
      <c r="AY1014" s="65"/>
      <c r="AZ1014" s="65"/>
      <c r="BA1014" s="65"/>
      <c r="BB1014" s="65"/>
      <c r="BC1014" s="65"/>
      <c r="BD1014" s="65"/>
      <c r="BE1014" s="65"/>
      <c r="BF1014" s="65"/>
      <c r="BG1014" s="65"/>
      <c r="BH1014" s="65"/>
      <c r="BI1014" s="65"/>
      <c r="BJ1014" s="65"/>
      <c r="BK1014" s="65"/>
      <c r="BL1014" s="65"/>
      <c r="BM1014" s="65"/>
      <c r="BN1014" s="65"/>
      <c r="BO1014" s="65"/>
    </row>
    <row r="1015" spans="1:67" s="58" customFormat="1" x14ac:dyDescent="0.2">
      <c r="A1015" s="49" t="s">
        <v>67</v>
      </c>
      <c r="B1015" s="50">
        <v>43200</v>
      </c>
      <c r="C1015" s="51">
        <v>0.59375</v>
      </c>
      <c r="D1015" s="49" t="s">
        <v>158</v>
      </c>
      <c r="E1015" s="49"/>
      <c r="F1015" s="52">
        <v>60</v>
      </c>
      <c r="G1015" s="53">
        <v>3</v>
      </c>
      <c r="H1015" s="54">
        <v>0.05</v>
      </c>
      <c r="I1015" s="55">
        <v>6.83E-2</v>
      </c>
      <c r="J1015" s="53">
        <v>314.15899999999999</v>
      </c>
      <c r="K1015" s="53">
        <v>0.95619999999999994</v>
      </c>
      <c r="L1015" s="53">
        <v>14</v>
      </c>
      <c r="M1015" s="56">
        <v>109.51648887959283</v>
      </c>
      <c r="N1015" s="53">
        <v>1419</v>
      </c>
      <c r="O1015" s="57" t="s">
        <v>94</v>
      </c>
      <c r="P1015" s="57" t="s">
        <v>82</v>
      </c>
      <c r="Q1015" s="53" t="s">
        <v>95</v>
      </c>
      <c r="R1015" s="53" t="s">
        <v>96</v>
      </c>
      <c r="S1015" s="53"/>
      <c r="T1015" s="59">
        <v>372</v>
      </c>
      <c r="U1015" s="59">
        <v>744</v>
      </c>
      <c r="V1015" s="53">
        <v>0.8</v>
      </c>
      <c r="W1015" s="53">
        <v>0.8</v>
      </c>
      <c r="X1015" s="53">
        <v>0.8</v>
      </c>
      <c r="Y1015" s="9">
        <f t="shared" si="15"/>
        <v>40740.133863208539</v>
      </c>
      <c r="Z1015" s="60" t="s">
        <v>97</v>
      </c>
      <c r="AA1015" s="58" t="s">
        <v>357</v>
      </c>
      <c r="AB1015" s="58" t="s">
        <v>75</v>
      </c>
      <c r="AC1015" s="61" t="s">
        <v>112</v>
      </c>
      <c r="AD1015" s="53" t="s">
        <v>85</v>
      </c>
      <c r="AE1015" s="56">
        <v>0.18</v>
      </c>
      <c r="AF1015" s="56">
        <v>0.18</v>
      </c>
      <c r="AG1015" s="56">
        <v>0.18</v>
      </c>
      <c r="AH1015" s="56">
        <v>0.18</v>
      </c>
      <c r="AI1015" s="56">
        <v>0.18</v>
      </c>
      <c r="AJ1015" s="56">
        <v>0.18</v>
      </c>
      <c r="AK1015" s="56">
        <v>0.18</v>
      </c>
      <c r="AL1015" s="56">
        <v>0.18</v>
      </c>
      <c r="AM1015" s="56">
        <v>0.18</v>
      </c>
      <c r="AN1015" s="56">
        <v>0.18</v>
      </c>
      <c r="AO1015" s="66" t="s">
        <v>78</v>
      </c>
      <c r="AP1015" s="65">
        <v>0.75200000000000033</v>
      </c>
      <c r="AQ1015" s="65">
        <v>0.7</v>
      </c>
      <c r="AR1015" s="65">
        <v>0.7</v>
      </c>
      <c r="AS1015" s="65">
        <v>0.7</v>
      </c>
      <c r="AT1015" s="65">
        <v>0.7</v>
      </c>
      <c r="AU1015" s="65">
        <v>0.7</v>
      </c>
      <c r="AV1015" s="65">
        <v>0.7</v>
      </c>
      <c r="AW1015" s="65">
        <v>0.7</v>
      </c>
      <c r="AX1015" s="65">
        <v>0.7</v>
      </c>
      <c r="AY1015" s="65">
        <v>0.7</v>
      </c>
      <c r="AZ1015" s="65">
        <v>0.7</v>
      </c>
      <c r="BA1015" s="65">
        <v>0.7</v>
      </c>
      <c r="BB1015" s="65">
        <v>0.7</v>
      </c>
      <c r="BC1015" s="65">
        <v>0.8</v>
      </c>
      <c r="BD1015" s="65">
        <v>0.8</v>
      </c>
      <c r="BE1015" s="65">
        <v>0.8</v>
      </c>
      <c r="BF1015" s="65">
        <v>0.8</v>
      </c>
      <c r="BG1015" s="65">
        <v>0.8</v>
      </c>
      <c r="BH1015" s="65">
        <v>0.8</v>
      </c>
      <c r="BI1015" s="65">
        <v>0.8</v>
      </c>
      <c r="BJ1015" s="65">
        <v>0.8</v>
      </c>
      <c r="BK1015" s="65">
        <v>0.8</v>
      </c>
      <c r="BL1015" s="65">
        <v>0.8</v>
      </c>
      <c r="BM1015" s="65">
        <v>0.8</v>
      </c>
      <c r="BN1015" s="65">
        <v>0.8</v>
      </c>
      <c r="BO1015" s="65">
        <v>0.8</v>
      </c>
    </row>
    <row r="1016" spans="1:67" s="58" customFormat="1" x14ac:dyDescent="0.2">
      <c r="A1016" s="49" t="s">
        <v>67</v>
      </c>
      <c r="B1016" s="50">
        <v>43200</v>
      </c>
      <c r="C1016" s="51">
        <v>0.59375</v>
      </c>
      <c r="D1016" s="49" t="s">
        <v>158</v>
      </c>
      <c r="E1016" s="49"/>
      <c r="F1016" s="52">
        <v>60</v>
      </c>
      <c r="G1016" s="53">
        <v>3</v>
      </c>
      <c r="H1016" s="54">
        <v>0.05</v>
      </c>
      <c r="I1016" s="55">
        <v>6.83E-2</v>
      </c>
      <c r="J1016" s="53">
        <v>314.15899999999999</v>
      </c>
      <c r="K1016" s="53">
        <v>0.95619999999999994</v>
      </c>
      <c r="L1016" s="53">
        <v>14</v>
      </c>
      <c r="M1016" s="56">
        <v>109.51648887959283</v>
      </c>
      <c r="N1016" s="53">
        <v>1423</v>
      </c>
      <c r="O1016" s="57" t="s">
        <v>163</v>
      </c>
      <c r="P1016" s="57" t="s">
        <v>82</v>
      </c>
      <c r="Q1016" s="53" t="s">
        <v>95</v>
      </c>
      <c r="R1016" s="53" t="s">
        <v>84</v>
      </c>
      <c r="S1016" s="53"/>
      <c r="T1016" s="59">
        <v>1</v>
      </c>
      <c r="U1016" s="59">
        <v>1</v>
      </c>
      <c r="V1016" s="53">
        <v>3.7</v>
      </c>
      <c r="W1016" s="53"/>
      <c r="X1016" s="53"/>
      <c r="Y1016" s="9">
        <f t="shared" si="15"/>
        <v>109.51648887959284</v>
      </c>
      <c r="Z1016" s="60" t="s">
        <v>73</v>
      </c>
      <c r="AA1016" s="58" t="s">
        <v>357</v>
      </c>
      <c r="AB1016" s="58" t="s">
        <v>75</v>
      </c>
      <c r="AC1016" s="61" t="s">
        <v>112</v>
      </c>
      <c r="AD1016" s="53" t="s">
        <v>85</v>
      </c>
      <c r="AE1016" s="56">
        <v>26.521826378333333</v>
      </c>
      <c r="AF1016" s="62"/>
      <c r="AG1016" s="63"/>
      <c r="AH1016" s="61"/>
      <c r="AO1016" s="64" t="s">
        <v>78</v>
      </c>
      <c r="AP1016" s="65">
        <v>3.7</v>
      </c>
      <c r="AQ1016" s="65">
        <v>3.7</v>
      </c>
      <c r="AR1016" s="65"/>
      <c r="AS1016" s="65"/>
      <c r="AT1016" s="65"/>
      <c r="AU1016" s="65"/>
      <c r="AV1016" s="65"/>
      <c r="AW1016" s="65"/>
      <c r="AX1016" s="65"/>
      <c r="AY1016" s="65"/>
      <c r="AZ1016" s="65"/>
      <c r="BA1016" s="65"/>
      <c r="BB1016" s="65"/>
      <c r="BC1016" s="65"/>
      <c r="BD1016" s="65"/>
      <c r="BE1016" s="65"/>
      <c r="BF1016" s="65"/>
      <c r="BG1016" s="65"/>
      <c r="BH1016" s="65"/>
      <c r="BI1016" s="65"/>
      <c r="BJ1016" s="65"/>
      <c r="BK1016" s="65"/>
      <c r="BL1016" s="65"/>
      <c r="BM1016" s="65"/>
      <c r="BN1016" s="65"/>
      <c r="BO1016" s="65"/>
    </row>
    <row r="1017" spans="1:67" s="58" customFormat="1" x14ac:dyDescent="0.2">
      <c r="A1017" s="49" t="s">
        <v>67</v>
      </c>
      <c r="B1017" s="50">
        <v>43200</v>
      </c>
      <c r="C1017" s="51">
        <v>0.54166666666666696</v>
      </c>
      <c r="D1017" s="49" t="s">
        <v>204</v>
      </c>
      <c r="E1017" s="49"/>
      <c r="F1017" s="52">
        <v>60</v>
      </c>
      <c r="G1017" s="53">
        <v>3</v>
      </c>
      <c r="H1017" s="54">
        <v>0.05</v>
      </c>
      <c r="I1017" s="55">
        <v>6.83E-2</v>
      </c>
      <c r="J1017" s="53">
        <v>314.15899999999999</v>
      </c>
      <c r="K1017" s="53">
        <v>1.1611</v>
      </c>
      <c r="L1017" s="53">
        <v>17</v>
      </c>
      <c r="M1017" s="56">
        <v>90.190049665547022</v>
      </c>
      <c r="N1017" s="53">
        <v>190</v>
      </c>
      <c r="O1017" s="57" t="s">
        <v>296</v>
      </c>
      <c r="P1017" s="58" t="s">
        <v>70</v>
      </c>
      <c r="Q1017" s="53" t="s">
        <v>103</v>
      </c>
      <c r="R1017" s="53" t="s">
        <v>84</v>
      </c>
      <c r="S1017" s="53"/>
      <c r="T1017" s="59">
        <v>1</v>
      </c>
      <c r="U1017" s="59">
        <v>1</v>
      </c>
      <c r="V1017" s="53">
        <v>11.1</v>
      </c>
      <c r="W1017" s="53"/>
      <c r="X1017" s="53"/>
      <c r="Y1017" s="9">
        <f t="shared" si="15"/>
        <v>90.190049665547036</v>
      </c>
      <c r="Z1017" s="60" t="s">
        <v>73</v>
      </c>
      <c r="AA1017" s="58" t="s">
        <v>358</v>
      </c>
      <c r="AB1017" s="58" t="s">
        <v>75</v>
      </c>
      <c r="AC1017" s="61" t="s">
        <v>115</v>
      </c>
      <c r="AD1017" s="53" t="s">
        <v>104</v>
      </c>
      <c r="AE1017" s="56">
        <v>716.08931221499995</v>
      </c>
      <c r="AF1017" s="62"/>
      <c r="AG1017" s="63"/>
      <c r="AH1017" s="61"/>
      <c r="AO1017" s="64" t="s">
        <v>78</v>
      </c>
      <c r="AP1017" s="65">
        <v>7.4</v>
      </c>
      <c r="AQ1017" s="65">
        <v>7.4</v>
      </c>
      <c r="AR1017" s="65"/>
      <c r="AS1017" s="65"/>
      <c r="AT1017" s="65"/>
      <c r="AU1017" s="65"/>
      <c r="AV1017" s="65"/>
      <c r="AW1017" s="65"/>
      <c r="AX1017" s="65"/>
      <c r="AY1017" s="65"/>
      <c r="AZ1017" s="65"/>
      <c r="BA1017" s="65"/>
      <c r="BB1017" s="65"/>
      <c r="BC1017" s="65"/>
      <c r="BD1017" s="65"/>
      <c r="BE1017" s="65"/>
      <c r="BF1017" s="65"/>
      <c r="BG1017" s="65"/>
      <c r="BH1017" s="65"/>
      <c r="BI1017" s="65"/>
      <c r="BJ1017" s="65"/>
      <c r="BK1017" s="65"/>
      <c r="BL1017" s="65"/>
      <c r="BM1017" s="65"/>
      <c r="BN1017" s="65"/>
      <c r="BO1017" s="65"/>
    </row>
    <row r="1018" spans="1:67" s="58" customFormat="1" x14ac:dyDescent="0.2">
      <c r="A1018" s="49"/>
      <c r="B1018" s="50"/>
      <c r="C1018" s="51"/>
      <c r="D1018" s="49"/>
      <c r="E1018" s="49"/>
      <c r="F1018" s="52"/>
      <c r="G1018" s="53"/>
      <c r="H1018" s="54"/>
      <c r="I1018" s="55"/>
      <c r="J1018" s="53"/>
      <c r="K1018" s="53"/>
      <c r="L1018" s="53"/>
      <c r="M1018" s="56"/>
      <c r="N1018" s="53"/>
      <c r="O1018" s="57"/>
      <c r="Q1018" s="53"/>
      <c r="R1018" s="53"/>
      <c r="S1018" s="53"/>
      <c r="T1018" s="59"/>
      <c r="U1018" s="59"/>
      <c r="V1018" s="53"/>
      <c r="W1018" s="53"/>
      <c r="X1018" s="53"/>
      <c r="Y1018" s="9" t="e">
        <f t="shared" si="15"/>
        <v>#DIV/0!</v>
      </c>
      <c r="Z1018" s="60"/>
      <c r="AC1018" s="61"/>
      <c r="AD1018" s="53"/>
      <c r="AE1018" s="56"/>
      <c r="AF1018" s="62"/>
      <c r="AG1018" s="63"/>
      <c r="AH1018" s="61"/>
      <c r="AO1018" s="64" t="s">
        <v>79</v>
      </c>
      <c r="AP1018" s="65">
        <v>11.1</v>
      </c>
      <c r="AQ1018" s="65">
        <v>11.1</v>
      </c>
      <c r="AR1018" s="65"/>
      <c r="AS1018" s="65"/>
      <c r="AT1018" s="65"/>
      <c r="AU1018" s="65"/>
      <c r="AV1018" s="65"/>
      <c r="AW1018" s="65"/>
      <c r="AX1018" s="65"/>
      <c r="AY1018" s="65"/>
      <c r="AZ1018" s="65"/>
      <c r="BA1018" s="65"/>
      <c r="BB1018" s="65"/>
      <c r="BC1018" s="65"/>
      <c r="BD1018" s="65"/>
      <c r="BE1018" s="65"/>
      <c r="BF1018" s="65"/>
      <c r="BG1018" s="65"/>
      <c r="BH1018" s="65"/>
      <c r="BI1018" s="65"/>
      <c r="BJ1018" s="65"/>
      <c r="BK1018" s="65"/>
      <c r="BL1018" s="65"/>
      <c r="BM1018" s="65"/>
      <c r="BN1018" s="65"/>
      <c r="BO1018" s="65"/>
    </row>
    <row r="1019" spans="1:67" s="58" customFormat="1" x14ac:dyDescent="0.2">
      <c r="A1019" s="49" t="s">
        <v>67</v>
      </c>
      <c r="B1019" s="50">
        <v>43200</v>
      </c>
      <c r="C1019" s="51">
        <v>0.54166666666666696</v>
      </c>
      <c r="D1019" s="49" t="s">
        <v>204</v>
      </c>
      <c r="E1019" s="49"/>
      <c r="F1019" s="52">
        <v>60</v>
      </c>
      <c r="G1019" s="53">
        <v>3</v>
      </c>
      <c r="H1019" s="54">
        <v>0.05</v>
      </c>
      <c r="I1019" s="55">
        <v>6.83E-2</v>
      </c>
      <c r="J1019" s="53">
        <v>314.15899999999999</v>
      </c>
      <c r="K1019" s="53">
        <v>1.1611</v>
      </c>
      <c r="L1019" s="53">
        <v>17</v>
      </c>
      <c r="M1019" s="56">
        <v>90.190049665547022</v>
      </c>
      <c r="N1019" s="53">
        <v>749</v>
      </c>
      <c r="O1019" s="57" t="s">
        <v>190</v>
      </c>
      <c r="P1019" s="58" t="s">
        <v>70</v>
      </c>
      <c r="Q1019" s="53" t="s">
        <v>191</v>
      </c>
      <c r="R1019" s="53" t="s">
        <v>84</v>
      </c>
      <c r="S1019" s="53"/>
      <c r="T1019" s="59">
        <v>1</v>
      </c>
      <c r="U1019" s="59">
        <v>1</v>
      </c>
      <c r="V1019" s="53">
        <v>24.1</v>
      </c>
      <c r="W1019" s="53"/>
      <c r="X1019" s="53"/>
      <c r="Y1019" s="9">
        <f t="shared" si="15"/>
        <v>90.190049665547036</v>
      </c>
      <c r="Z1019" s="60" t="s">
        <v>73</v>
      </c>
      <c r="AA1019" s="58" t="s">
        <v>358</v>
      </c>
      <c r="AB1019" s="58" t="s">
        <v>75</v>
      </c>
      <c r="AC1019" s="61" t="s">
        <v>115</v>
      </c>
      <c r="AD1019" s="53" t="s">
        <v>193</v>
      </c>
      <c r="AE1019" s="56">
        <v>205.09100000000001</v>
      </c>
      <c r="AF1019" s="62"/>
      <c r="AG1019" s="63"/>
      <c r="AH1019" s="61"/>
      <c r="AO1019" s="64" t="s">
        <v>78</v>
      </c>
      <c r="AP1019" s="65">
        <v>24.1</v>
      </c>
      <c r="AQ1019" s="65">
        <v>24.1</v>
      </c>
      <c r="AR1019" s="65"/>
      <c r="AS1019" s="65"/>
      <c r="AT1019" s="65"/>
      <c r="AU1019" s="65"/>
      <c r="AV1019" s="65"/>
      <c r="AW1019" s="65"/>
      <c r="AX1019" s="65"/>
      <c r="AY1019" s="65"/>
      <c r="AZ1019" s="65"/>
      <c r="BA1019" s="65"/>
      <c r="BB1019" s="65"/>
      <c r="BC1019" s="65"/>
      <c r="BD1019" s="65"/>
      <c r="BE1019" s="65"/>
      <c r="BF1019" s="65"/>
      <c r="BG1019" s="65"/>
      <c r="BH1019" s="65"/>
      <c r="BI1019" s="65"/>
      <c r="BJ1019" s="65"/>
      <c r="BK1019" s="65"/>
      <c r="BL1019" s="65"/>
      <c r="BM1019" s="65"/>
      <c r="BN1019" s="65"/>
      <c r="BO1019" s="65"/>
    </row>
    <row r="1020" spans="1:67" s="58" customFormat="1" x14ac:dyDescent="0.2">
      <c r="A1020" s="49"/>
      <c r="B1020" s="50"/>
      <c r="C1020" s="51"/>
      <c r="D1020" s="49"/>
      <c r="E1020" s="49"/>
      <c r="F1020" s="52"/>
      <c r="G1020" s="53"/>
      <c r="H1020" s="54"/>
      <c r="I1020" s="55"/>
      <c r="J1020" s="53"/>
      <c r="K1020" s="53"/>
      <c r="L1020" s="53"/>
      <c r="M1020" s="56"/>
      <c r="N1020" s="53"/>
      <c r="O1020" s="57"/>
      <c r="Q1020" s="53"/>
      <c r="R1020" s="53"/>
      <c r="S1020" s="53"/>
      <c r="T1020" s="59"/>
      <c r="U1020" s="59"/>
      <c r="V1020" s="53"/>
      <c r="W1020" s="53"/>
      <c r="X1020" s="53"/>
      <c r="Y1020" s="9" t="e">
        <f t="shared" si="15"/>
        <v>#DIV/0!</v>
      </c>
      <c r="Z1020" s="60"/>
      <c r="AC1020" s="61"/>
      <c r="AD1020" s="53"/>
      <c r="AE1020" s="56"/>
      <c r="AF1020" s="62"/>
      <c r="AG1020" s="63"/>
      <c r="AH1020" s="61"/>
      <c r="AO1020" s="64" t="s">
        <v>79</v>
      </c>
      <c r="AP1020" s="65">
        <v>4.5999999999999996</v>
      </c>
      <c r="AQ1020" s="65">
        <v>4.5999999999999996</v>
      </c>
      <c r="AR1020" s="65"/>
      <c r="AS1020" s="65"/>
      <c r="AT1020" s="65"/>
      <c r="AU1020" s="65"/>
      <c r="AV1020" s="65"/>
      <c r="AW1020" s="65"/>
      <c r="AX1020" s="65"/>
      <c r="AY1020" s="65"/>
      <c r="AZ1020" s="65"/>
      <c r="BA1020" s="65"/>
      <c r="BB1020" s="65"/>
      <c r="BC1020" s="65"/>
      <c r="BD1020" s="65"/>
      <c r="BE1020" s="65"/>
      <c r="BF1020" s="65"/>
      <c r="BG1020" s="65"/>
      <c r="BH1020" s="65"/>
      <c r="BI1020" s="65"/>
      <c r="BJ1020" s="65"/>
      <c r="BK1020" s="65"/>
      <c r="BL1020" s="65"/>
      <c r="BM1020" s="65"/>
      <c r="BN1020" s="65"/>
      <c r="BO1020" s="65"/>
    </row>
    <row r="1021" spans="1:67" s="58" customFormat="1" x14ac:dyDescent="0.2">
      <c r="A1021" s="49"/>
      <c r="B1021" s="50"/>
      <c r="C1021" s="51"/>
      <c r="D1021" s="49"/>
      <c r="E1021" s="49"/>
      <c r="F1021" s="52"/>
      <c r="G1021" s="53"/>
      <c r="H1021" s="54"/>
      <c r="I1021" s="55"/>
      <c r="J1021" s="53"/>
      <c r="K1021" s="53"/>
      <c r="L1021" s="53"/>
      <c r="M1021" s="56"/>
      <c r="N1021" s="53"/>
      <c r="O1021" s="57"/>
      <c r="Q1021" s="53"/>
      <c r="R1021" s="53"/>
      <c r="S1021" s="53"/>
      <c r="T1021" s="59"/>
      <c r="U1021" s="59"/>
      <c r="V1021" s="53"/>
      <c r="W1021" s="53"/>
      <c r="X1021" s="53"/>
      <c r="Y1021" s="9" t="e">
        <f t="shared" si="15"/>
        <v>#DIV/0!</v>
      </c>
      <c r="Z1021" s="60"/>
      <c r="AC1021" s="61"/>
      <c r="AD1021" s="53"/>
      <c r="AE1021" s="56"/>
      <c r="AF1021" s="62"/>
      <c r="AG1021" s="63"/>
      <c r="AH1021" s="61"/>
      <c r="AO1021" s="64" t="s">
        <v>80</v>
      </c>
      <c r="AP1021" s="65">
        <v>3.7</v>
      </c>
      <c r="AQ1021" s="65">
        <v>3.7</v>
      </c>
      <c r="AR1021" s="65"/>
      <c r="AS1021" s="65"/>
      <c r="AT1021" s="65"/>
      <c r="AU1021" s="65"/>
      <c r="AV1021" s="65"/>
      <c r="AW1021" s="65"/>
      <c r="AX1021" s="65"/>
      <c r="AY1021" s="65"/>
      <c r="AZ1021" s="65"/>
      <c r="BA1021" s="65"/>
      <c r="BB1021" s="65"/>
      <c r="BC1021" s="65"/>
      <c r="BD1021" s="65"/>
      <c r="BE1021" s="65"/>
      <c r="BF1021" s="65"/>
      <c r="BG1021" s="65"/>
      <c r="BH1021" s="65"/>
      <c r="BI1021" s="65"/>
      <c r="BJ1021" s="65"/>
      <c r="BK1021" s="65"/>
      <c r="BL1021" s="65"/>
      <c r="BM1021" s="65"/>
      <c r="BN1021" s="65"/>
      <c r="BO1021" s="65"/>
    </row>
    <row r="1022" spans="1:67" s="58" customFormat="1" x14ac:dyDescent="0.2">
      <c r="A1022" s="49" t="s">
        <v>67</v>
      </c>
      <c r="B1022" s="50">
        <v>43200</v>
      </c>
      <c r="C1022" s="51">
        <v>0.54166666666666696</v>
      </c>
      <c r="D1022" s="49" t="s">
        <v>204</v>
      </c>
      <c r="E1022" s="49"/>
      <c r="F1022" s="52">
        <v>60</v>
      </c>
      <c r="G1022" s="53">
        <v>3</v>
      </c>
      <c r="H1022" s="54">
        <v>0.05</v>
      </c>
      <c r="I1022" s="55">
        <v>6.83E-2</v>
      </c>
      <c r="J1022" s="53">
        <v>314.15899999999999</v>
      </c>
      <c r="K1022" s="53">
        <v>1.1611</v>
      </c>
      <c r="L1022" s="53">
        <v>17</v>
      </c>
      <c r="M1022" s="56">
        <v>90.190049665547022</v>
      </c>
      <c r="N1022" s="53">
        <v>1037</v>
      </c>
      <c r="O1022" s="57" t="s">
        <v>243</v>
      </c>
      <c r="P1022" s="57" t="s">
        <v>82</v>
      </c>
      <c r="Q1022" s="53" t="s">
        <v>87</v>
      </c>
      <c r="R1022" s="53" t="s">
        <v>84</v>
      </c>
      <c r="S1022" s="53"/>
      <c r="T1022" s="59">
        <v>51</v>
      </c>
      <c r="U1022" s="59">
        <v>51</v>
      </c>
      <c r="V1022" s="53">
        <v>2.8</v>
      </c>
      <c r="W1022" s="53"/>
      <c r="X1022" s="53"/>
      <c r="Y1022" s="9">
        <f t="shared" si="15"/>
        <v>4599.6925329428996</v>
      </c>
      <c r="Z1022" s="60" t="s">
        <v>73</v>
      </c>
      <c r="AA1022" s="58" t="s">
        <v>358</v>
      </c>
      <c r="AB1022" s="58" t="s">
        <v>75</v>
      </c>
      <c r="AC1022" s="61" t="s">
        <v>115</v>
      </c>
      <c r="AD1022" s="53" t="s">
        <v>85</v>
      </c>
      <c r="AE1022" s="56">
        <v>11.494030613333329</v>
      </c>
      <c r="AF1022" s="62"/>
      <c r="AG1022" s="63"/>
      <c r="AH1022" s="61"/>
      <c r="AO1022" s="64" t="s">
        <v>78</v>
      </c>
      <c r="AP1022" s="65">
        <v>2.8</v>
      </c>
      <c r="AQ1022" s="65">
        <v>2.8</v>
      </c>
      <c r="AR1022" s="65">
        <v>2.8</v>
      </c>
      <c r="AS1022" s="65">
        <v>2.8</v>
      </c>
      <c r="AT1022" s="65">
        <v>2.8</v>
      </c>
      <c r="AU1022" s="65">
        <v>2.8</v>
      </c>
      <c r="AV1022" s="65"/>
      <c r="AW1022" s="65"/>
      <c r="AX1022" s="65"/>
      <c r="AY1022" s="65"/>
      <c r="AZ1022" s="65"/>
      <c r="BA1022" s="65"/>
      <c r="BB1022" s="65"/>
      <c r="BC1022" s="65"/>
      <c r="BD1022" s="65"/>
      <c r="BE1022" s="65"/>
      <c r="BF1022" s="65"/>
      <c r="BG1022" s="65"/>
      <c r="BH1022" s="65"/>
      <c r="BI1022" s="65"/>
      <c r="BJ1022" s="65"/>
      <c r="BK1022" s="65"/>
      <c r="BL1022" s="65"/>
      <c r="BM1022" s="65"/>
      <c r="BN1022" s="65"/>
      <c r="BO1022" s="65"/>
    </row>
    <row r="1023" spans="1:67" s="58" customFormat="1" x14ac:dyDescent="0.2">
      <c r="A1023" s="49" t="s">
        <v>67</v>
      </c>
      <c r="B1023" s="50">
        <v>43200</v>
      </c>
      <c r="C1023" s="51">
        <v>0.54166666666666696</v>
      </c>
      <c r="D1023" s="49" t="s">
        <v>204</v>
      </c>
      <c r="E1023" s="49"/>
      <c r="F1023" s="52">
        <v>60</v>
      </c>
      <c r="G1023" s="53">
        <v>3</v>
      </c>
      <c r="H1023" s="54">
        <v>0.05</v>
      </c>
      <c r="I1023" s="55">
        <v>6.83E-2</v>
      </c>
      <c r="J1023" s="53">
        <v>314.15899999999999</v>
      </c>
      <c r="K1023" s="53">
        <v>1.1611</v>
      </c>
      <c r="L1023" s="53">
        <v>17</v>
      </c>
      <c r="M1023" s="56">
        <v>90.190049665547022</v>
      </c>
      <c r="N1023" s="53">
        <v>1733</v>
      </c>
      <c r="O1023" s="57" t="s">
        <v>92</v>
      </c>
      <c r="P1023" s="57" t="s">
        <v>82</v>
      </c>
      <c r="Q1023" s="53" t="s">
        <v>89</v>
      </c>
      <c r="R1023" s="53" t="s">
        <v>93</v>
      </c>
      <c r="S1023" s="53"/>
      <c r="T1023" s="59">
        <v>1</v>
      </c>
      <c r="U1023" s="59">
        <v>1</v>
      </c>
      <c r="V1023" s="53">
        <v>6.5</v>
      </c>
      <c r="W1023" s="53"/>
      <c r="X1023" s="53"/>
      <c r="Y1023" s="9">
        <f t="shared" si="15"/>
        <v>90.190049665547036</v>
      </c>
      <c r="Z1023" s="60" t="s">
        <v>73</v>
      </c>
      <c r="AA1023" s="58" t="s">
        <v>358</v>
      </c>
      <c r="AB1023" s="58" t="s">
        <v>75</v>
      </c>
      <c r="AC1023" s="61" t="s">
        <v>115</v>
      </c>
      <c r="AD1023" s="53" t="s">
        <v>91</v>
      </c>
      <c r="AE1023" s="56">
        <v>112.822350875</v>
      </c>
      <c r="AF1023" s="62"/>
      <c r="AG1023" s="63"/>
      <c r="AH1023" s="61"/>
      <c r="AO1023" s="64" t="s">
        <v>78</v>
      </c>
      <c r="AP1023" s="65">
        <v>6.5</v>
      </c>
      <c r="AQ1023" s="65">
        <v>6.5</v>
      </c>
      <c r="AR1023" s="65"/>
      <c r="AS1023" s="65"/>
      <c r="AT1023" s="65"/>
      <c r="AU1023" s="65"/>
      <c r="AV1023" s="65"/>
      <c r="AW1023" s="65"/>
      <c r="AX1023" s="65"/>
      <c r="AY1023" s="65"/>
      <c r="AZ1023" s="65"/>
      <c r="BA1023" s="65"/>
      <c r="BB1023" s="65"/>
      <c r="BC1023" s="65"/>
      <c r="BD1023" s="65"/>
      <c r="BE1023" s="65"/>
      <c r="BF1023" s="65"/>
      <c r="BG1023" s="65"/>
      <c r="BH1023" s="65"/>
      <c r="BI1023" s="65"/>
      <c r="BJ1023" s="65"/>
      <c r="BK1023" s="65"/>
      <c r="BL1023" s="65"/>
      <c r="BM1023" s="65"/>
      <c r="BN1023" s="65"/>
      <c r="BO1023" s="65"/>
    </row>
    <row r="1024" spans="1:67" s="58" customFormat="1" x14ac:dyDescent="0.2">
      <c r="A1024" s="49"/>
      <c r="B1024" s="50"/>
      <c r="C1024" s="51"/>
      <c r="D1024" s="49"/>
      <c r="E1024" s="49"/>
      <c r="F1024" s="52"/>
      <c r="G1024" s="53"/>
      <c r="H1024" s="54"/>
      <c r="I1024" s="55"/>
      <c r="J1024" s="53"/>
      <c r="K1024" s="53"/>
      <c r="L1024" s="53"/>
      <c r="M1024" s="56"/>
      <c r="N1024" s="53"/>
      <c r="O1024" s="57"/>
      <c r="P1024" s="57"/>
      <c r="Q1024" s="53"/>
      <c r="R1024" s="53"/>
      <c r="S1024" s="53"/>
      <c r="T1024" s="59"/>
      <c r="U1024" s="59"/>
      <c r="V1024" s="53"/>
      <c r="W1024" s="53"/>
      <c r="X1024" s="53"/>
      <c r="Y1024" s="9" t="e">
        <f t="shared" si="15"/>
        <v>#DIV/0!</v>
      </c>
      <c r="Z1024" s="60"/>
      <c r="AC1024" s="61"/>
      <c r="AD1024" s="53"/>
      <c r="AE1024" s="56"/>
      <c r="AF1024" s="62"/>
      <c r="AG1024" s="63"/>
      <c r="AH1024" s="61"/>
      <c r="AO1024" s="64" t="s">
        <v>79</v>
      </c>
      <c r="AP1024" s="65">
        <v>3.7</v>
      </c>
      <c r="AQ1024" s="65">
        <v>3.7</v>
      </c>
      <c r="AR1024" s="65"/>
      <c r="AS1024" s="65"/>
      <c r="AT1024" s="65"/>
      <c r="AU1024" s="65"/>
      <c r="AV1024" s="65"/>
      <c r="AW1024" s="65"/>
      <c r="AX1024" s="65"/>
      <c r="AY1024" s="65"/>
      <c r="AZ1024" s="65"/>
      <c r="BA1024" s="65"/>
      <c r="BB1024" s="65"/>
      <c r="BC1024" s="65"/>
      <c r="BD1024" s="65"/>
      <c r="BE1024" s="65"/>
      <c r="BF1024" s="65"/>
      <c r="BG1024" s="65"/>
      <c r="BH1024" s="65"/>
      <c r="BI1024" s="65"/>
      <c r="BJ1024" s="65"/>
      <c r="BK1024" s="65"/>
      <c r="BL1024" s="65"/>
      <c r="BM1024" s="65"/>
      <c r="BN1024" s="65"/>
      <c r="BO1024" s="65"/>
    </row>
    <row r="1025" spans="1:67" s="58" customFormat="1" x14ac:dyDescent="0.2">
      <c r="A1025" s="49" t="s">
        <v>67</v>
      </c>
      <c r="B1025" s="50">
        <v>43200</v>
      </c>
      <c r="C1025" s="51">
        <v>0.54166666666666696</v>
      </c>
      <c r="D1025" s="49" t="s">
        <v>204</v>
      </c>
      <c r="E1025" s="49"/>
      <c r="F1025" s="52">
        <v>60</v>
      </c>
      <c r="G1025" s="53">
        <v>3</v>
      </c>
      <c r="H1025" s="54">
        <v>0.05</v>
      </c>
      <c r="I1025" s="55">
        <v>6.83E-2</v>
      </c>
      <c r="J1025" s="53">
        <v>314.15899999999999</v>
      </c>
      <c r="K1025" s="53">
        <v>1.1611</v>
      </c>
      <c r="L1025" s="53">
        <v>17</v>
      </c>
      <c r="M1025" s="56">
        <v>90.190049665547022</v>
      </c>
      <c r="N1025" s="53">
        <v>1419</v>
      </c>
      <c r="O1025" s="57" t="s">
        <v>94</v>
      </c>
      <c r="P1025" s="57" t="s">
        <v>82</v>
      </c>
      <c r="Q1025" s="53" t="s">
        <v>95</v>
      </c>
      <c r="R1025" s="53" t="s">
        <v>96</v>
      </c>
      <c r="S1025" s="53"/>
      <c r="T1025" s="59">
        <v>355</v>
      </c>
      <c r="U1025" s="59">
        <v>716</v>
      </c>
      <c r="V1025" s="53">
        <v>0.8</v>
      </c>
      <c r="W1025" s="53">
        <v>0.8</v>
      </c>
      <c r="X1025" s="53">
        <v>0.8</v>
      </c>
      <c r="Y1025" s="9">
        <f t="shared" si="15"/>
        <v>32017.467631269199</v>
      </c>
      <c r="Z1025" s="60" t="s">
        <v>97</v>
      </c>
      <c r="AA1025" s="58" t="s">
        <v>358</v>
      </c>
      <c r="AB1025" s="58" t="s">
        <v>75</v>
      </c>
      <c r="AC1025" s="61" t="s">
        <v>115</v>
      </c>
      <c r="AD1025" s="53" t="s">
        <v>85</v>
      </c>
      <c r="AE1025" s="56">
        <v>0.18</v>
      </c>
      <c r="AF1025" s="56">
        <v>0.18</v>
      </c>
      <c r="AG1025" s="56">
        <v>0.18</v>
      </c>
      <c r="AH1025" s="56">
        <v>0.18</v>
      </c>
      <c r="AI1025" s="56">
        <v>0.18</v>
      </c>
      <c r="AJ1025" s="56">
        <v>0.18</v>
      </c>
      <c r="AK1025" s="56">
        <v>0.18</v>
      </c>
      <c r="AL1025" s="56">
        <v>0.18</v>
      </c>
      <c r="AM1025" s="56">
        <v>0.18</v>
      </c>
      <c r="AN1025" s="56">
        <v>0.18</v>
      </c>
      <c r="AO1025" s="66" t="s">
        <v>78</v>
      </c>
      <c r="AP1025" s="65">
        <v>0.75200000000000033</v>
      </c>
      <c r="AQ1025" s="65">
        <v>0.7</v>
      </c>
      <c r="AR1025" s="65">
        <v>0.7</v>
      </c>
      <c r="AS1025" s="65">
        <v>0.7</v>
      </c>
      <c r="AT1025" s="65">
        <v>0.7</v>
      </c>
      <c r="AU1025" s="65">
        <v>0.7</v>
      </c>
      <c r="AV1025" s="65">
        <v>0.7</v>
      </c>
      <c r="AW1025" s="65">
        <v>0.7</v>
      </c>
      <c r="AX1025" s="65">
        <v>0.7</v>
      </c>
      <c r="AY1025" s="65">
        <v>0.7</v>
      </c>
      <c r="AZ1025" s="65">
        <v>0.7</v>
      </c>
      <c r="BA1025" s="65">
        <v>0.7</v>
      </c>
      <c r="BB1025" s="65">
        <v>0.7</v>
      </c>
      <c r="BC1025" s="65">
        <v>0.8</v>
      </c>
      <c r="BD1025" s="65">
        <v>0.8</v>
      </c>
      <c r="BE1025" s="65">
        <v>0.8</v>
      </c>
      <c r="BF1025" s="65">
        <v>0.8</v>
      </c>
      <c r="BG1025" s="65">
        <v>0.8</v>
      </c>
      <c r="BH1025" s="65">
        <v>0.8</v>
      </c>
      <c r="BI1025" s="65">
        <v>0.8</v>
      </c>
      <c r="BJ1025" s="65">
        <v>0.8</v>
      </c>
      <c r="BK1025" s="65">
        <v>0.8</v>
      </c>
      <c r="BL1025" s="65">
        <v>0.8</v>
      </c>
      <c r="BM1025" s="65">
        <v>0.8</v>
      </c>
      <c r="BN1025" s="65">
        <v>0.8</v>
      </c>
      <c r="BO1025" s="65">
        <v>0.8</v>
      </c>
    </row>
    <row r="1026" spans="1:67" s="58" customFormat="1" x14ac:dyDescent="0.2">
      <c r="A1026" s="49" t="s">
        <v>67</v>
      </c>
      <c r="B1026" s="50">
        <v>43200</v>
      </c>
      <c r="C1026" s="51">
        <v>0.66111111111111098</v>
      </c>
      <c r="D1026" s="49" t="s">
        <v>144</v>
      </c>
      <c r="E1026" s="49"/>
      <c r="F1026" s="52">
        <v>59</v>
      </c>
      <c r="G1026" s="53">
        <v>2</v>
      </c>
      <c r="H1026" s="54">
        <v>3.3898305084745763E-2</v>
      </c>
      <c r="I1026" s="55">
        <v>6.83E-2</v>
      </c>
      <c r="J1026" s="53">
        <v>314.15899999999999</v>
      </c>
      <c r="K1026" s="53">
        <v>0.47809999999999997</v>
      </c>
      <c r="L1026" s="53">
        <v>7</v>
      </c>
      <c r="M1026" s="56">
        <v>328.54946663877848</v>
      </c>
      <c r="N1026" s="53">
        <v>190</v>
      </c>
      <c r="O1026" s="57" t="s">
        <v>102</v>
      </c>
      <c r="P1026" s="58" t="s">
        <v>70</v>
      </c>
      <c r="Q1026" s="53" t="s">
        <v>103</v>
      </c>
      <c r="R1026" s="53" t="s">
        <v>84</v>
      </c>
      <c r="S1026" s="53"/>
      <c r="T1026" s="59">
        <v>1</v>
      </c>
      <c r="U1026" s="59">
        <v>1</v>
      </c>
      <c r="V1026" s="53">
        <v>5.6</v>
      </c>
      <c r="W1026" s="53"/>
      <c r="X1026" s="53"/>
      <c r="Y1026" s="9">
        <f t="shared" si="15"/>
        <v>328.54946663877848</v>
      </c>
      <c r="Z1026" s="60" t="s">
        <v>73</v>
      </c>
      <c r="AA1026" s="58" t="s">
        <v>359</v>
      </c>
      <c r="AB1026" s="58" t="s">
        <v>75</v>
      </c>
      <c r="AC1026" s="61" t="s">
        <v>76</v>
      </c>
      <c r="AD1026" s="53" t="s">
        <v>104</v>
      </c>
      <c r="AE1026" s="56">
        <v>137.92836735999995</v>
      </c>
      <c r="AF1026" s="62"/>
      <c r="AG1026" s="63"/>
      <c r="AH1026" s="61"/>
      <c r="AO1026" s="64" t="s">
        <v>78</v>
      </c>
      <c r="AP1026" s="65">
        <v>5.6</v>
      </c>
      <c r="AQ1026" s="65">
        <v>5.6</v>
      </c>
      <c r="AR1026" s="65"/>
      <c r="AS1026" s="65"/>
      <c r="AT1026" s="65"/>
      <c r="AU1026" s="65"/>
      <c r="AV1026" s="65"/>
      <c r="AW1026" s="65"/>
      <c r="AX1026" s="65"/>
      <c r="AY1026" s="65"/>
      <c r="AZ1026" s="65"/>
      <c r="BA1026" s="65"/>
      <c r="BB1026" s="65"/>
      <c r="BC1026" s="65"/>
      <c r="BD1026" s="65"/>
      <c r="BE1026" s="65"/>
      <c r="BF1026" s="65"/>
      <c r="BG1026" s="65"/>
      <c r="BH1026" s="65"/>
      <c r="BI1026" s="65"/>
      <c r="BJ1026" s="65"/>
      <c r="BK1026" s="65"/>
      <c r="BL1026" s="65"/>
      <c r="BM1026" s="65"/>
      <c r="BN1026" s="65"/>
      <c r="BO1026" s="65"/>
    </row>
    <row r="1027" spans="1:67" s="58" customFormat="1" x14ac:dyDescent="0.2">
      <c r="A1027" s="49"/>
      <c r="B1027" s="50"/>
      <c r="C1027" s="51"/>
      <c r="D1027" s="49"/>
      <c r="E1027" s="49"/>
      <c r="F1027" s="52"/>
      <c r="G1027" s="53"/>
      <c r="H1027" s="54"/>
      <c r="I1027" s="55"/>
      <c r="J1027" s="53"/>
      <c r="K1027" s="53"/>
      <c r="L1027" s="53"/>
      <c r="M1027" s="56"/>
      <c r="N1027" s="53"/>
      <c r="O1027" s="57"/>
      <c r="Q1027" s="53"/>
      <c r="R1027" s="53"/>
      <c r="S1027" s="53"/>
      <c r="T1027" s="59"/>
      <c r="U1027" s="59"/>
      <c r="V1027" s="53"/>
      <c r="W1027" s="53"/>
      <c r="X1027" s="53"/>
      <c r="Y1027" s="9" t="e">
        <f t="shared" ref="Y1027:Y1090" si="16">(T1027*J1027)/(G1027*I1027*L1027)</f>
        <v>#DIV/0!</v>
      </c>
      <c r="Z1027" s="60"/>
      <c r="AC1027" s="61"/>
      <c r="AD1027" s="53"/>
      <c r="AE1027" s="56"/>
      <c r="AF1027" s="62"/>
      <c r="AG1027" s="63"/>
      <c r="AH1027" s="61"/>
      <c r="AO1027" s="64" t="s">
        <v>79</v>
      </c>
      <c r="AP1027" s="65">
        <v>5.6</v>
      </c>
      <c r="AQ1027" s="65">
        <v>5.6</v>
      </c>
      <c r="AR1027" s="65"/>
      <c r="AS1027" s="65"/>
      <c r="AT1027" s="65"/>
      <c r="AU1027" s="65"/>
      <c r="AV1027" s="65"/>
      <c r="AW1027" s="65"/>
      <c r="AX1027" s="65"/>
      <c r="AY1027" s="65"/>
      <c r="AZ1027" s="65"/>
      <c r="BA1027" s="65"/>
      <c r="BB1027" s="65"/>
      <c r="BC1027" s="65"/>
      <c r="BD1027" s="65"/>
      <c r="BE1027" s="65"/>
      <c r="BF1027" s="65"/>
      <c r="BG1027" s="65"/>
      <c r="BH1027" s="65"/>
      <c r="BI1027" s="65"/>
      <c r="BJ1027" s="65"/>
      <c r="BK1027" s="65"/>
      <c r="BL1027" s="65"/>
      <c r="BM1027" s="65"/>
      <c r="BN1027" s="65"/>
      <c r="BO1027" s="65"/>
    </row>
    <row r="1028" spans="1:67" s="58" customFormat="1" x14ac:dyDescent="0.2">
      <c r="A1028" s="49" t="s">
        <v>67</v>
      </c>
      <c r="B1028" s="50">
        <v>43200</v>
      </c>
      <c r="C1028" s="51">
        <v>0.66111111111111098</v>
      </c>
      <c r="D1028" s="49" t="s">
        <v>144</v>
      </c>
      <c r="E1028" s="49"/>
      <c r="F1028" s="52">
        <v>59</v>
      </c>
      <c r="G1028" s="53">
        <v>2</v>
      </c>
      <c r="H1028" s="54">
        <v>3.3898305084745763E-2</v>
      </c>
      <c r="I1028" s="55">
        <v>6.83E-2</v>
      </c>
      <c r="J1028" s="53">
        <v>314.15899999999999</v>
      </c>
      <c r="K1028" s="53">
        <v>0.47809999999999997</v>
      </c>
      <c r="L1028" s="53">
        <v>7</v>
      </c>
      <c r="M1028" s="56">
        <v>328.54946663877848</v>
      </c>
      <c r="N1028" s="53">
        <v>1037</v>
      </c>
      <c r="O1028" s="57" t="s">
        <v>86</v>
      </c>
      <c r="P1028" s="57" t="s">
        <v>82</v>
      </c>
      <c r="Q1028" s="53" t="s">
        <v>87</v>
      </c>
      <c r="R1028" s="53" t="s">
        <v>84</v>
      </c>
      <c r="S1028" s="53"/>
      <c r="T1028" s="59">
        <v>1</v>
      </c>
      <c r="U1028" s="59">
        <v>1</v>
      </c>
      <c r="V1028" s="53">
        <v>2.8</v>
      </c>
      <c r="W1028" s="53"/>
      <c r="X1028" s="53"/>
      <c r="Y1028" s="9">
        <f t="shared" si="16"/>
        <v>328.54946663877848</v>
      </c>
      <c r="Z1028" s="60" t="s">
        <v>73</v>
      </c>
      <c r="AA1028" s="58" t="s">
        <v>359</v>
      </c>
      <c r="AB1028" s="58" t="s">
        <v>75</v>
      </c>
      <c r="AC1028" s="61" t="s">
        <v>76</v>
      </c>
      <c r="AD1028" s="53" t="s">
        <v>85</v>
      </c>
      <c r="AE1028" s="56">
        <v>11.494030613333329</v>
      </c>
      <c r="AF1028" s="62"/>
      <c r="AG1028" s="63"/>
      <c r="AH1028" s="61"/>
      <c r="AO1028" s="64" t="s">
        <v>78</v>
      </c>
      <c r="AP1028" s="65">
        <v>2.8</v>
      </c>
      <c r="AQ1028" s="65">
        <v>2.8</v>
      </c>
      <c r="AR1028" s="65"/>
      <c r="AS1028" s="65"/>
      <c r="AT1028" s="65"/>
      <c r="AU1028" s="65"/>
      <c r="AV1028" s="65"/>
      <c r="AW1028" s="65"/>
      <c r="AX1028" s="65"/>
      <c r="AY1028" s="65"/>
      <c r="AZ1028" s="65"/>
      <c r="BA1028" s="65"/>
      <c r="BB1028" s="65"/>
      <c r="BC1028" s="65"/>
      <c r="BD1028" s="65"/>
      <c r="BE1028" s="65"/>
      <c r="BF1028" s="65"/>
      <c r="BG1028" s="65"/>
      <c r="BH1028" s="65"/>
      <c r="BI1028" s="65"/>
      <c r="BJ1028" s="65"/>
      <c r="BK1028" s="65"/>
      <c r="BL1028" s="65"/>
      <c r="BM1028" s="65"/>
      <c r="BN1028" s="65"/>
      <c r="BO1028" s="65"/>
    </row>
    <row r="1029" spans="1:67" s="58" customFormat="1" x14ac:dyDescent="0.2">
      <c r="A1029" s="49" t="s">
        <v>67</v>
      </c>
      <c r="B1029" s="50">
        <v>43200</v>
      </c>
      <c r="C1029" s="51">
        <v>0.66111111111111098</v>
      </c>
      <c r="D1029" s="49" t="s">
        <v>144</v>
      </c>
      <c r="E1029" s="49"/>
      <c r="F1029" s="52">
        <v>59</v>
      </c>
      <c r="G1029" s="53">
        <v>2</v>
      </c>
      <c r="H1029" s="54">
        <v>3.3898305084745763E-2</v>
      </c>
      <c r="I1029" s="55">
        <v>6.83E-2</v>
      </c>
      <c r="J1029" s="53">
        <v>314.15899999999999</v>
      </c>
      <c r="K1029" s="53">
        <v>0.47809999999999997</v>
      </c>
      <c r="L1029" s="53">
        <v>7</v>
      </c>
      <c r="M1029" s="56">
        <v>328.54946663877848</v>
      </c>
      <c r="N1029" s="53">
        <v>1162</v>
      </c>
      <c r="O1029" s="57" t="s">
        <v>360</v>
      </c>
      <c r="P1029" s="57" t="s">
        <v>82</v>
      </c>
      <c r="Q1029" s="53" t="s">
        <v>361</v>
      </c>
      <c r="R1029" s="53" t="s">
        <v>84</v>
      </c>
      <c r="S1029" s="53"/>
      <c r="T1029" s="59">
        <v>1</v>
      </c>
      <c r="U1029" s="59">
        <v>4</v>
      </c>
      <c r="V1029" s="53">
        <v>3.7</v>
      </c>
      <c r="W1029" s="53"/>
      <c r="X1029" s="53"/>
      <c r="Y1029" s="9">
        <f t="shared" si="16"/>
        <v>328.54946663877848</v>
      </c>
      <c r="Z1029" s="60" t="s">
        <v>97</v>
      </c>
      <c r="AA1029" s="58" t="s">
        <v>359</v>
      </c>
      <c r="AB1029" s="58" t="s">
        <v>75</v>
      </c>
      <c r="AC1029" s="61" t="s">
        <v>76</v>
      </c>
      <c r="AD1029" s="53" t="s">
        <v>120</v>
      </c>
      <c r="AE1029" s="56">
        <v>15.188540453333331</v>
      </c>
      <c r="AF1029" s="62"/>
      <c r="AG1029" s="63"/>
      <c r="AH1029" s="61"/>
      <c r="AO1029" s="64" t="s">
        <v>78</v>
      </c>
      <c r="AP1029" s="65">
        <v>3.7</v>
      </c>
      <c r="AQ1029" s="65">
        <v>3.7</v>
      </c>
      <c r="AR1029" s="65">
        <v>3.7</v>
      </c>
      <c r="AS1029" s="65">
        <v>3.7</v>
      </c>
      <c r="AT1029" s="65">
        <v>3.7</v>
      </c>
      <c r="AU1029" s="65"/>
      <c r="AV1029" s="65"/>
      <c r="AW1029" s="65"/>
      <c r="AX1029" s="65"/>
      <c r="AY1029" s="65"/>
      <c r="AZ1029" s="65"/>
      <c r="BA1029" s="65"/>
      <c r="BB1029" s="65"/>
      <c r="BC1029" s="65"/>
      <c r="BD1029" s="65"/>
      <c r="BE1029" s="65"/>
      <c r="BF1029" s="65"/>
      <c r="BG1029" s="65"/>
      <c r="BH1029" s="65"/>
      <c r="BI1029" s="65"/>
      <c r="BJ1029" s="65"/>
      <c r="BK1029" s="65"/>
      <c r="BL1029" s="65"/>
      <c r="BM1029" s="65"/>
      <c r="BN1029" s="65"/>
      <c r="BO1029" s="65"/>
    </row>
    <row r="1030" spans="1:67" s="58" customFormat="1" x14ac:dyDescent="0.2">
      <c r="A1030" s="49"/>
      <c r="B1030" s="50"/>
      <c r="C1030" s="51"/>
      <c r="D1030" s="49"/>
      <c r="E1030" s="49"/>
      <c r="F1030" s="52"/>
      <c r="G1030" s="53"/>
      <c r="H1030" s="54"/>
      <c r="I1030" s="55"/>
      <c r="J1030" s="53"/>
      <c r="K1030" s="53"/>
      <c r="L1030" s="53"/>
      <c r="M1030" s="56"/>
      <c r="N1030" s="53"/>
      <c r="O1030" s="57"/>
      <c r="P1030" s="57"/>
      <c r="Q1030" s="53"/>
      <c r="R1030" s="53"/>
      <c r="S1030" s="53"/>
      <c r="T1030" s="59"/>
      <c r="U1030" s="59"/>
      <c r="V1030" s="53"/>
      <c r="W1030" s="53"/>
      <c r="X1030" s="53"/>
      <c r="Y1030" s="9" t="e">
        <f t="shared" si="16"/>
        <v>#DIV/0!</v>
      </c>
      <c r="Z1030" s="60"/>
      <c r="AC1030" s="61"/>
      <c r="AD1030" s="53"/>
      <c r="AE1030" s="56"/>
      <c r="AF1030" s="62"/>
      <c r="AG1030" s="63"/>
      <c r="AH1030" s="61"/>
      <c r="AO1030" s="64" t="s">
        <v>79</v>
      </c>
      <c r="AP1030" s="65">
        <v>2.8</v>
      </c>
      <c r="AQ1030" s="65">
        <v>2.8</v>
      </c>
      <c r="AR1030" s="65">
        <v>2.8</v>
      </c>
      <c r="AS1030" s="65">
        <v>2.8</v>
      </c>
      <c r="AT1030" s="65">
        <v>2.8</v>
      </c>
      <c r="AU1030" s="65"/>
      <c r="AV1030" s="65"/>
      <c r="AW1030" s="65"/>
      <c r="AX1030" s="65"/>
      <c r="AY1030" s="65"/>
      <c r="AZ1030" s="65"/>
      <c r="BA1030" s="65"/>
      <c r="BB1030" s="65"/>
      <c r="BC1030" s="65"/>
      <c r="BD1030" s="65"/>
      <c r="BE1030" s="65"/>
      <c r="BF1030" s="65"/>
      <c r="BG1030" s="65"/>
      <c r="BH1030" s="65"/>
      <c r="BI1030" s="65"/>
      <c r="BJ1030" s="65"/>
      <c r="BK1030" s="65"/>
      <c r="BL1030" s="65"/>
      <c r="BM1030" s="65"/>
      <c r="BN1030" s="65"/>
      <c r="BO1030" s="65"/>
    </row>
    <row r="1031" spans="1:67" s="58" customFormat="1" x14ac:dyDescent="0.2">
      <c r="A1031" s="49" t="s">
        <v>67</v>
      </c>
      <c r="B1031" s="50">
        <v>43200</v>
      </c>
      <c r="C1031" s="51">
        <v>0.66111111111111098</v>
      </c>
      <c r="D1031" s="49" t="s">
        <v>144</v>
      </c>
      <c r="E1031" s="49"/>
      <c r="F1031" s="52">
        <v>59</v>
      </c>
      <c r="G1031" s="53">
        <v>2</v>
      </c>
      <c r="H1031" s="54">
        <v>3.3898305084745763E-2</v>
      </c>
      <c r="I1031" s="55">
        <v>6.83E-2</v>
      </c>
      <c r="J1031" s="53">
        <v>314.15899999999999</v>
      </c>
      <c r="K1031" s="53">
        <v>0.47809999999999997</v>
      </c>
      <c r="L1031" s="53">
        <v>7</v>
      </c>
      <c r="M1031" s="56">
        <v>328.54946663877848</v>
      </c>
      <c r="N1031" s="53">
        <v>1692</v>
      </c>
      <c r="O1031" s="58" t="s">
        <v>179</v>
      </c>
      <c r="P1031" s="57" t="s">
        <v>82</v>
      </c>
      <c r="Q1031" s="53" t="s">
        <v>180</v>
      </c>
      <c r="R1031" s="53" t="s">
        <v>84</v>
      </c>
      <c r="S1031" s="53"/>
      <c r="T1031" s="59">
        <v>1</v>
      </c>
      <c r="U1031" s="59">
        <v>1</v>
      </c>
      <c r="V1031" s="53">
        <v>4.5999999999999996</v>
      </c>
      <c r="W1031" s="53"/>
      <c r="X1031" s="53"/>
      <c r="Y1031" s="9">
        <f t="shared" si="16"/>
        <v>328.54946663877848</v>
      </c>
      <c r="Z1031" s="60" t="s">
        <v>73</v>
      </c>
      <c r="AA1031" s="58" t="s">
        <v>359</v>
      </c>
      <c r="AB1031" s="58" t="s">
        <v>75</v>
      </c>
      <c r="AC1031" s="61" t="s">
        <v>76</v>
      </c>
      <c r="AD1031" s="53" t="s">
        <v>120</v>
      </c>
      <c r="AE1031" s="56">
        <v>32.973081443333328</v>
      </c>
      <c r="AF1031" s="62"/>
      <c r="AG1031" s="63"/>
      <c r="AH1031" s="61"/>
      <c r="AO1031" s="64" t="s">
        <v>78</v>
      </c>
      <c r="AP1031" s="65">
        <v>4.5999999999999996</v>
      </c>
      <c r="AQ1031" s="65">
        <v>4.5999999999999996</v>
      </c>
      <c r="AR1031" s="65"/>
      <c r="AS1031" s="65"/>
      <c r="AT1031" s="65"/>
      <c r="AU1031" s="65"/>
      <c r="AV1031" s="65"/>
      <c r="AW1031" s="65"/>
      <c r="AX1031" s="65"/>
      <c r="AY1031" s="65"/>
      <c r="AZ1031" s="65"/>
      <c r="BA1031" s="65"/>
      <c r="BB1031" s="65"/>
      <c r="BC1031" s="65"/>
      <c r="BD1031" s="65"/>
      <c r="BE1031" s="65"/>
      <c r="BF1031" s="65"/>
      <c r="BG1031" s="65"/>
      <c r="BH1031" s="65"/>
      <c r="BI1031" s="65"/>
      <c r="BJ1031" s="65"/>
      <c r="BK1031" s="65"/>
      <c r="BL1031" s="65"/>
      <c r="BM1031" s="65"/>
      <c r="BN1031" s="65"/>
      <c r="BO1031" s="65"/>
    </row>
    <row r="1032" spans="1:67" s="58" customFormat="1" x14ac:dyDescent="0.2">
      <c r="A1032" s="49"/>
      <c r="B1032" s="50"/>
      <c r="C1032" s="51"/>
      <c r="D1032" s="49"/>
      <c r="E1032" s="49"/>
      <c r="F1032" s="52"/>
      <c r="G1032" s="53"/>
      <c r="H1032" s="54"/>
      <c r="I1032" s="55"/>
      <c r="J1032" s="53"/>
      <c r="K1032" s="53"/>
      <c r="L1032" s="53"/>
      <c r="M1032" s="56"/>
      <c r="N1032" s="53"/>
      <c r="P1032" s="57"/>
      <c r="Q1032" s="53"/>
      <c r="R1032" s="53"/>
      <c r="S1032" s="53"/>
      <c r="T1032" s="59"/>
      <c r="U1032" s="59"/>
      <c r="V1032" s="53"/>
      <c r="W1032" s="53"/>
      <c r="X1032" s="53"/>
      <c r="Y1032" s="9" t="e">
        <f t="shared" si="16"/>
        <v>#DIV/0!</v>
      </c>
      <c r="Z1032" s="60"/>
      <c r="AC1032" s="61"/>
      <c r="AD1032" s="53"/>
      <c r="AE1032" s="56"/>
      <c r="AF1032" s="62"/>
      <c r="AG1032" s="63"/>
      <c r="AH1032" s="61"/>
      <c r="AO1032" s="64" t="s">
        <v>79</v>
      </c>
      <c r="AP1032" s="65">
        <v>3.7</v>
      </c>
      <c r="AQ1032" s="65">
        <v>3.7</v>
      </c>
      <c r="AR1032" s="65"/>
      <c r="AS1032" s="65"/>
      <c r="AT1032" s="65"/>
      <c r="AU1032" s="65"/>
      <c r="AV1032" s="65"/>
      <c r="AW1032" s="65"/>
      <c r="AX1032" s="65"/>
      <c r="AY1032" s="65"/>
      <c r="AZ1032" s="65"/>
      <c r="BA1032" s="65"/>
      <c r="BB1032" s="65"/>
      <c r="BC1032" s="65"/>
      <c r="BD1032" s="65"/>
      <c r="BE1032" s="65"/>
      <c r="BF1032" s="65"/>
      <c r="BG1032" s="65"/>
      <c r="BH1032" s="65"/>
      <c r="BI1032" s="65"/>
      <c r="BJ1032" s="65"/>
      <c r="BK1032" s="65"/>
      <c r="BL1032" s="65"/>
      <c r="BM1032" s="65"/>
      <c r="BN1032" s="65"/>
      <c r="BO1032" s="65"/>
    </row>
    <row r="1033" spans="1:67" s="58" customFormat="1" x14ac:dyDescent="0.2">
      <c r="A1033" s="49" t="s">
        <v>67</v>
      </c>
      <c r="B1033" s="50">
        <v>43200</v>
      </c>
      <c r="C1033" s="51">
        <v>0.66111111111111098</v>
      </c>
      <c r="D1033" s="49" t="s">
        <v>144</v>
      </c>
      <c r="E1033" s="49"/>
      <c r="F1033" s="52">
        <v>59</v>
      </c>
      <c r="G1033" s="53">
        <v>2</v>
      </c>
      <c r="H1033" s="54">
        <v>3.3898305084745763E-2</v>
      </c>
      <c r="I1033" s="55">
        <v>6.83E-2</v>
      </c>
      <c r="J1033" s="53">
        <v>314.15899999999999</v>
      </c>
      <c r="K1033" s="53">
        <v>0.47809999999999997</v>
      </c>
      <c r="L1033" s="53">
        <v>7</v>
      </c>
      <c r="M1033" s="56">
        <v>328.54946663877848</v>
      </c>
      <c r="N1033" s="53">
        <v>1419</v>
      </c>
      <c r="O1033" s="57" t="s">
        <v>94</v>
      </c>
      <c r="P1033" s="57" t="s">
        <v>82</v>
      </c>
      <c r="Q1033" s="53" t="s">
        <v>95</v>
      </c>
      <c r="R1033" s="53" t="s">
        <v>96</v>
      </c>
      <c r="S1033" s="53"/>
      <c r="T1033" s="59">
        <v>406</v>
      </c>
      <c r="U1033" s="59">
        <v>812</v>
      </c>
      <c r="V1033" s="53">
        <v>0.8</v>
      </c>
      <c r="W1033" s="53">
        <v>0.8</v>
      </c>
      <c r="X1033" s="53">
        <v>0.8</v>
      </c>
      <c r="Y1033" s="9">
        <f t="shared" si="16"/>
        <v>133391.08345534408</v>
      </c>
      <c r="Z1033" s="60" t="s">
        <v>97</v>
      </c>
      <c r="AA1033" s="58" t="s">
        <v>359</v>
      </c>
      <c r="AB1033" s="58" t="s">
        <v>75</v>
      </c>
      <c r="AC1033" s="61" t="s">
        <v>76</v>
      </c>
      <c r="AD1033" s="53" t="s">
        <v>85</v>
      </c>
      <c r="AE1033" s="56">
        <v>0.18</v>
      </c>
      <c r="AF1033" s="56">
        <v>0.18</v>
      </c>
      <c r="AG1033" s="56">
        <v>0.18</v>
      </c>
      <c r="AH1033" s="56">
        <v>0.18</v>
      </c>
      <c r="AI1033" s="56">
        <v>0.18</v>
      </c>
      <c r="AJ1033" s="56">
        <v>0.18</v>
      </c>
      <c r="AK1033" s="56">
        <v>0.18</v>
      </c>
      <c r="AL1033" s="56">
        <v>0.18</v>
      </c>
      <c r="AM1033" s="56">
        <v>0.18</v>
      </c>
      <c r="AN1033" s="56">
        <v>0.18</v>
      </c>
      <c r="AO1033" s="66" t="s">
        <v>78</v>
      </c>
      <c r="AP1033" s="65">
        <v>0.75200000000000033</v>
      </c>
      <c r="AQ1033" s="65">
        <v>0.7</v>
      </c>
      <c r="AR1033" s="65">
        <v>0.7</v>
      </c>
      <c r="AS1033" s="65">
        <v>0.7</v>
      </c>
      <c r="AT1033" s="65">
        <v>0.7</v>
      </c>
      <c r="AU1033" s="65">
        <v>0.7</v>
      </c>
      <c r="AV1033" s="65">
        <v>0.7</v>
      </c>
      <c r="AW1033" s="65">
        <v>0.7</v>
      </c>
      <c r="AX1033" s="65">
        <v>0.7</v>
      </c>
      <c r="AY1033" s="65">
        <v>0.7</v>
      </c>
      <c r="AZ1033" s="65">
        <v>0.7</v>
      </c>
      <c r="BA1033" s="65">
        <v>0.7</v>
      </c>
      <c r="BB1033" s="65">
        <v>0.7</v>
      </c>
      <c r="BC1033" s="65">
        <v>0.8</v>
      </c>
      <c r="BD1033" s="65">
        <v>0.8</v>
      </c>
      <c r="BE1033" s="65">
        <v>0.8</v>
      </c>
      <c r="BF1033" s="65">
        <v>0.8</v>
      </c>
      <c r="BG1033" s="65">
        <v>0.8</v>
      </c>
      <c r="BH1033" s="65">
        <v>0.8</v>
      </c>
      <c r="BI1033" s="65">
        <v>0.8</v>
      </c>
      <c r="BJ1033" s="65">
        <v>0.8</v>
      </c>
      <c r="BK1033" s="65">
        <v>0.8</v>
      </c>
      <c r="BL1033" s="65">
        <v>0.8</v>
      </c>
      <c r="BM1033" s="65">
        <v>0.8</v>
      </c>
      <c r="BN1033" s="65">
        <v>0.8</v>
      </c>
      <c r="BO1033" s="65">
        <v>0.8</v>
      </c>
    </row>
    <row r="1034" spans="1:67" s="58" customFormat="1" x14ac:dyDescent="0.2">
      <c r="A1034" s="49" t="s">
        <v>67</v>
      </c>
      <c r="B1034" s="50">
        <v>43206</v>
      </c>
      <c r="C1034" s="51">
        <v>0.77708333333333302</v>
      </c>
      <c r="D1034" s="49" t="s">
        <v>154</v>
      </c>
      <c r="E1034" s="49">
        <v>3</v>
      </c>
      <c r="F1034" s="52">
        <v>61</v>
      </c>
      <c r="G1034" s="53">
        <v>2</v>
      </c>
      <c r="H1034" s="54">
        <v>3.2786885245901641E-2</v>
      </c>
      <c r="I1034" s="55">
        <v>6.83E-2</v>
      </c>
      <c r="J1034" s="53">
        <v>314.15899999999999</v>
      </c>
      <c r="K1034" s="53">
        <v>0.4098</v>
      </c>
      <c r="L1034" s="53">
        <v>6</v>
      </c>
      <c r="M1034" s="56">
        <v>383.30771107857493</v>
      </c>
      <c r="N1034" s="53">
        <v>145</v>
      </c>
      <c r="O1034" s="57" t="s">
        <v>69</v>
      </c>
      <c r="P1034" s="58" t="s">
        <v>70</v>
      </c>
      <c r="Q1034" s="53" t="s">
        <v>71</v>
      </c>
      <c r="R1034" s="53" t="s">
        <v>72</v>
      </c>
      <c r="S1034" s="53"/>
      <c r="T1034" s="59">
        <v>3</v>
      </c>
      <c r="U1034" s="59">
        <v>3</v>
      </c>
      <c r="V1034" s="53">
        <v>20.399999999999999</v>
      </c>
      <c r="W1034" s="53"/>
      <c r="X1034" s="53"/>
      <c r="Y1034" s="9">
        <f t="shared" si="16"/>
        <v>1149.9231332357247</v>
      </c>
      <c r="Z1034" s="60" t="s">
        <v>73</v>
      </c>
      <c r="AA1034" s="58" t="s">
        <v>362</v>
      </c>
      <c r="AB1034" s="58" t="s">
        <v>75</v>
      </c>
      <c r="AC1034" s="61" t="s">
        <v>221</v>
      </c>
      <c r="AD1034" s="53" t="s">
        <v>77</v>
      </c>
      <c r="AE1034" s="56">
        <v>658.37673312000004</v>
      </c>
      <c r="AF1034" s="62"/>
      <c r="AG1034" s="63"/>
      <c r="AH1034" s="61"/>
      <c r="AO1034" s="64" t="s">
        <v>78</v>
      </c>
      <c r="AP1034" s="65">
        <v>19.166666666666664</v>
      </c>
      <c r="AQ1034" s="65">
        <v>16.7</v>
      </c>
      <c r="AR1034" s="65">
        <v>20.399999999999999</v>
      </c>
      <c r="AS1034" s="65">
        <v>20.399999999999999</v>
      </c>
      <c r="AT1034" s="65"/>
      <c r="AU1034" s="65"/>
      <c r="AV1034" s="65"/>
      <c r="AW1034" s="65"/>
      <c r="AX1034" s="65"/>
      <c r="AY1034" s="65"/>
      <c r="AZ1034" s="65"/>
      <c r="BA1034" s="65"/>
      <c r="BB1034" s="65"/>
      <c r="BC1034" s="65"/>
      <c r="BD1034" s="65"/>
      <c r="BE1034" s="65"/>
      <c r="BF1034" s="65"/>
      <c r="BG1034" s="65"/>
      <c r="BH1034" s="65"/>
      <c r="BI1034" s="65"/>
      <c r="BJ1034" s="65"/>
      <c r="BK1034" s="65"/>
      <c r="BL1034" s="65"/>
      <c r="BM1034" s="65"/>
      <c r="BN1034" s="65"/>
      <c r="BO1034" s="65"/>
    </row>
    <row r="1035" spans="1:67" s="58" customFormat="1" x14ac:dyDescent="0.2">
      <c r="A1035" s="49"/>
      <c r="B1035" s="50"/>
      <c r="C1035" s="51"/>
      <c r="D1035" s="49"/>
      <c r="E1035" s="49"/>
      <c r="F1035" s="52"/>
      <c r="G1035" s="53"/>
      <c r="H1035" s="54"/>
      <c r="I1035" s="55"/>
      <c r="J1035" s="53"/>
      <c r="K1035" s="53"/>
      <c r="L1035" s="53"/>
      <c r="M1035" s="56"/>
      <c r="N1035" s="53"/>
      <c r="O1035" s="57"/>
      <c r="Q1035" s="53"/>
      <c r="R1035" s="53"/>
      <c r="S1035" s="53"/>
      <c r="T1035" s="59"/>
      <c r="U1035" s="59"/>
      <c r="V1035" s="53"/>
      <c r="W1035" s="53"/>
      <c r="X1035" s="53"/>
      <c r="Y1035" s="9" t="e">
        <f t="shared" si="16"/>
        <v>#DIV/0!</v>
      </c>
      <c r="Z1035" s="60"/>
      <c r="AC1035" s="61"/>
      <c r="AD1035" s="53"/>
      <c r="AE1035" s="56"/>
      <c r="AF1035" s="62"/>
      <c r="AG1035" s="63"/>
      <c r="AH1035" s="61"/>
      <c r="AO1035" s="64" t="s">
        <v>79</v>
      </c>
      <c r="AP1035" s="65">
        <v>11.766666666666666</v>
      </c>
      <c r="AQ1035" s="65">
        <v>9.3000000000000007</v>
      </c>
      <c r="AR1035" s="65">
        <v>13</v>
      </c>
      <c r="AS1035" s="65">
        <v>13</v>
      </c>
      <c r="AT1035" s="65"/>
      <c r="AU1035" s="65"/>
      <c r="AV1035" s="65"/>
      <c r="AW1035" s="65"/>
      <c r="AX1035" s="65"/>
      <c r="AY1035" s="65"/>
      <c r="AZ1035" s="65"/>
      <c r="BA1035" s="65"/>
      <c r="BB1035" s="65"/>
      <c r="BC1035" s="65"/>
      <c r="BD1035" s="65"/>
      <c r="BE1035" s="65"/>
      <c r="BF1035" s="65"/>
      <c r="BG1035" s="65"/>
      <c r="BH1035" s="65"/>
      <c r="BI1035" s="65"/>
      <c r="BJ1035" s="65"/>
      <c r="BK1035" s="65"/>
      <c r="BL1035" s="65"/>
      <c r="BM1035" s="65"/>
      <c r="BN1035" s="65"/>
      <c r="BO1035" s="65"/>
    </row>
    <row r="1036" spans="1:67" s="58" customFormat="1" x14ac:dyDescent="0.2">
      <c r="A1036" s="49"/>
      <c r="B1036" s="50"/>
      <c r="C1036" s="51"/>
      <c r="D1036" s="49"/>
      <c r="E1036" s="49"/>
      <c r="F1036" s="52"/>
      <c r="G1036" s="53"/>
      <c r="H1036" s="54"/>
      <c r="I1036" s="55"/>
      <c r="J1036" s="53"/>
      <c r="K1036" s="53"/>
      <c r="L1036" s="53"/>
      <c r="M1036" s="56"/>
      <c r="N1036" s="53"/>
      <c r="O1036" s="57"/>
      <c r="Q1036" s="53"/>
      <c r="R1036" s="53"/>
      <c r="S1036" s="53"/>
      <c r="T1036" s="59"/>
      <c r="U1036" s="59"/>
      <c r="V1036" s="53"/>
      <c r="W1036" s="53"/>
      <c r="X1036" s="53"/>
      <c r="Y1036" s="9" t="e">
        <f t="shared" si="16"/>
        <v>#DIV/0!</v>
      </c>
      <c r="Z1036" s="60"/>
      <c r="AC1036" s="61"/>
      <c r="AD1036" s="53"/>
      <c r="AE1036" s="56"/>
      <c r="AF1036" s="62"/>
      <c r="AG1036" s="63"/>
      <c r="AH1036" s="61"/>
      <c r="AO1036" s="64" t="s">
        <v>80</v>
      </c>
      <c r="AP1036" s="65">
        <v>3.7000000000000006</v>
      </c>
      <c r="AQ1036" s="65">
        <v>3.7</v>
      </c>
      <c r="AR1036" s="65">
        <v>3.7</v>
      </c>
      <c r="AS1036" s="65">
        <v>3.7</v>
      </c>
      <c r="AT1036" s="65"/>
      <c r="AU1036" s="65"/>
      <c r="AV1036" s="65"/>
      <c r="AW1036" s="65"/>
      <c r="AX1036" s="65"/>
      <c r="AY1036" s="65"/>
      <c r="AZ1036" s="65"/>
      <c r="BA1036" s="65"/>
      <c r="BB1036" s="65"/>
      <c r="BC1036" s="65"/>
      <c r="BD1036" s="65"/>
      <c r="BE1036" s="65"/>
      <c r="BF1036" s="65"/>
      <c r="BG1036" s="65"/>
      <c r="BH1036" s="65"/>
      <c r="BI1036" s="65"/>
      <c r="BJ1036" s="65"/>
      <c r="BK1036" s="65"/>
      <c r="BL1036" s="65"/>
      <c r="BM1036" s="65"/>
      <c r="BN1036" s="65"/>
      <c r="BO1036" s="65"/>
    </row>
    <row r="1037" spans="1:67" s="58" customFormat="1" x14ac:dyDescent="0.2">
      <c r="A1037" s="49" t="s">
        <v>67</v>
      </c>
      <c r="B1037" s="50">
        <v>43206</v>
      </c>
      <c r="C1037" s="51">
        <v>0.77708333333333302</v>
      </c>
      <c r="D1037" s="49" t="s">
        <v>154</v>
      </c>
      <c r="E1037" s="49">
        <v>3</v>
      </c>
      <c r="F1037" s="52">
        <v>61</v>
      </c>
      <c r="G1037" s="53">
        <v>2</v>
      </c>
      <c r="H1037" s="54">
        <v>3.2786885245901641E-2</v>
      </c>
      <c r="I1037" s="55">
        <v>6.83E-2</v>
      </c>
      <c r="J1037" s="53">
        <v>314.15899999999999</v>
      </c>
      <c r="K1037" s="53">
        <v>0.4098</v>
      </c>
      <c r="L1037" s="53">
        <v>6</v>
      </c>
      <c r="M1037" s="56">
        <v>383.30771107857493</v>
      </c>
      <c r="N1037" s="53">
        <v>1037</v>
      </c>
      <c r="O1037" s="57" t="s">
        <v>86</v>
      </c>
      <c r="P1037" s="57" t="s">
        <v>82</v>
      </c>
      <c r="Q1037" s="53" t="s">
        <v>87</v>
      </c>
      <c r="R1037" s="53" t="s">
        <v>84</v>
      </c>
      <c r="S1037" s="53"/>
      <c r="T1037" s="59">
        <v>2</v>
      </c>
      <c r="U1037" s="59">
        <v>2</v>
      </c>
      <c r="V1037" s="53">
        <v>3.7</v>
      </c>
      <c r="W1037" s="53"/>
      <c r="X1037" s="53"/>
      <c r="Y1037" s="9">
        <f t="shared" si="16"/>
        <v>766.61542215714985</v>
      </c>
      <c r="Z1037" s="60" t="s">
        <v>73</v>
      </c>
      <c r="AA1037" s="58" t="s">
        <v>362</v>
      </c>
      <c r="AB1037" s="58" t="s">
        <v>75</v>
      </c>
      <c r="AC1037" s="61" t="s">
        <v>221</v>
      </c>
      <c r="AD1037" s="53" t="s">
        <v>85</v>
      </c>
      <c r="AE1037" s="56">
        <v>11.494030613333329</v>
      </c>
      <c r="AF1037" s="62"/>
      <c r="AG1037" s="63"/>
      <c r="AH1037" s="61"/>
      <c r="AO1037" s="64" t="s">
        <v>78</v>
      </c>
      <c r="AP1037" s="65">
        <v>2.8</v>
      </c>
      <c r="AQ1037" s="65">
        <v>1.9</v>
      </c>
      <c r="AR1037" s="65">
        <v>3.7</v>
      </c>
      <c r="AS1037" s="65"/>
      <c r="AT1037" s="65"/>
      <c r="AU1037" s="65"/>
      <c r="AV1037" s="65"/>
      <c r="AW1037" s="65"/>
      <c r="AX1037" s="65"/>
      <c r="AY1037" s="65"/>
      <c r="AZ1037" s="65"/>
      <c r="BA1037" s="65"/>
      <c r="BB1037" s="65"/>
      <c r="BC1037" s="65"/>
      <c r="BD1037" s="65"/>
      <c r="BE1037" s="65"/>
      <c r="BF1037" s="65"/>
      <c r="BG1037" s="65"/>
      <c r="BH1037" s="65"/>
      <c r="BI1037" s="65"/>
      <c r="BJ1037" s="65"/>
      <c r="BK1037" s="65"/>
      <c r="BL1037" s="65"/>
      <c r="BM1037" s="65"/>
      <c r="BN1037" s="65"/>
      <c r="BO1037" s="65"/>
    </row>
    <row r="1038" spans="1:67" s="58" customFormat="1" x14ac:dyDescent="0.2">
      <c r="A1038" s="49" t="s">
        <v>67</v>
      </c>
      <c r="B1038" s="50">
        <v>43206</v>
      </c>
      <c r="C1038" s="51">
        <v>0.77708333333333302</v>
      </c>
      <c r="D1038" s="49" t="s">
        <v>154</v>
      </c>
      <c r="E1038" s="49">
        <v>3</v>
      </c>
      <c r="F1038" s="52">
        <v>61</v>
      </c>
      <c r="G1038" s="53">
        <v>2</v>
      </c>
      <c r="H1038" s="54">
        <v>3.2786885245901641E-2</v>
      </c>
      <c r="I1038" s="55">
        <v>6.83E-2</v>
      </c>
      <c r="J1038" s="53">
        <v>314.15899999999999</v>
      </c>
      <c r="K1038" s="53">
        <v>0.4098</v>
      </c>
      <c r="L1038" s="53">
        <v>6</v>
      </c>
      <c r="M1038" s="56">
        <v>383.30771107857493</v>
      </c>
      <c r="N1038" s="53">
        <v>1162</v>
      </c>
      <c r="O1038" s="57" t="s">
        <v>360</v>
      </c>
      <c r="P1038" s="57" t="s">
        <v>82</v>
      </c>
      <c r="Q1038" s="53" t="s">
        <v>361</v>
      </c>
      <c r="R1038" s="53" t="s">
        <v>84</v>
      </c>
      <c r="S1038" s="53"/>
      <c r="T1038" s="59">
        <v>1</v>
      </c>
      <c r="U1038" s="59">
        <v>4</v>
      </c>
      <c r="V1038" s="53">
        <v>5.6</v>
      </c>
      <c r="W1038" s="53"/>
      <c r="X1038" s="53"/>
      <c r="Y1038" s="9">
        <f t="shared" si="16"/>
        <v>383.30771107857493</v>
      </c>
      <c r="Z1038" s="60" t="s">
        <v>97</v>
      </c>
      <c r="AA1038" s="58" t="s">
        <v>362</v>
      </c>
      <c r="AB1038" s="58" t="s">
        <v>75</v>
      </c>
      <c r="AC1038" s="61" t="s">
        <v>221</v>
      </c>
      <c r="AD1038" s="53" t="s">
        <v>120</v>
      </c>
      <c r="AE1038" s="56">
        <v>40.141142626666664</v>
      </c>
      <c r="AF1038" s="62"/>
      <c r="AG1038" s="63"/>
      <c r="AH1038" s="61"/>
      <c r="AO1038" s="64" t="s">
        <v>78</v>
      </c>
      <c r="AP1038" s="65">
        <v>5.6</v>
      </c>
      <c r="AQ1038" s="65">
        <v>5.6</v>
      </c>
      <c r="AR1038" s="65">
        <v>5.6</v>
      </c>
      <c r="AS1038" s="65">
        <v>5.6</v>
      </c>
      <c r="AT1038" s="65">
        <v>5.6</v>
      </c>
      <c r="AU1038" s="65"/>
      <c r="AV1038" s="65"/>
      <c r="AW1038" s="65"/>
      <c r="AX1038" s="65"/>
      <c r="AY1038" s="65"/>
      <c r="AZ1038" s="65"/>
      <c r="BA1038" s="65"/>
      <c r="BB1038" s="65"/>
      <c r="BC1038" s="65"/>
      <c r="BD1038" s="65"/>
      <c r="BE1038" s="65"/>
      <c r="BF1038" s="65"/>
      <c r="BG1038" s="65"/>
      <c r="BH1038" s="65"/>
      <c r="BI1038" s="65"/>
      <c r="BJ1038" s="65"/>
      <c r="BK1038" s="65"/>
      <c r="BL1038" s="65"/>
      <c r="BM1038" s="65"/>
      <c r="BN1038" s="65"/>
      <c r="BO1038" s="65"/>
    </row>
    <row r="1039" spans="1:67" s="58" customFormat="1" x14ac:dyDescent="0.2">
      <c r="A1039" s="49"/>
      <c r="B1039" s="50"/>
      <c r="C1039" s="51"/>
      <c r="D1039" s="49"/>
      <c r="E1039" s="49"/>
      <c r="F1039" s="52"/>
      <c r="G1039" s="53"/>
      <c r="H1039" s="54"/>
      <c r="I1039" s="55"/>
      <c r="J1039" s="53"/>
      <c r="K1039" s="53"/>
      <c r="L1039" s="53"/>
      <c r="M1039" s="56"/>
      <c r="N1039" s="53"/>
      <c r="O1039" s="57"/>
      <c r="P1039" s="57"/>
      <c r="Q1039" s="53"/>
      <c r="R1039" s="53"/>
      <c r="S1039" s="53"/>
      <c r="T1039" s="59"/>
      <c r="U1039" s="59"/>
      <c r="V1039" s="53"/>
      <c r="W1039" s="53"/>
      <c r="X1039" s="53"/>
      <c r="Y1039" s="9" t="e">
        <f t="shared" si="16"/>
        <v>#DIV/0!</v>
      </c>
      <c r="Z1039" s="60"/>
      <c r="AC1039" s="61"/>
      <c r="AD1039" s="53"/>
      <c r="AE1039" s="56"/>
      <c r="AF1039" s="62"/>
      <c r="AG1039" s="63"/>
      <c r="AH1039" s="61"/>
      <c r="AO1039" s="64" t="s">
        <v>79</v>
      </c>
      <c r="AP1039" s="65">
        <v>3.7</v>
      </c>
      <c r="AQ1039" s="65">
        <v>3.7</v>
      </c>
      <c r="AR1039" s="65">
        <v>3.7</v>
      </c>
      <c r="AS1039" s="65">
        <v>3.7</v>
      </c>
      <c r="AT1039" s="65">
        <v>3.7</v>
      </c>
      <c r="AU1039" s="65"/>
      <c r="AV1039" s="65"/>
      <c r="AW1039" s="65"/>
      <c r="AX1039" s="65"/>
      <c r="AY1039" s="65"/>
      <c r="AZ1039" s="65"/>
      <c r="BA1039" s="65"/>
      <c r="BB1039" s="65"/>
      <c r="BC1039" s="65"/>
      <c r="BD1039" s="65"/>
      <c r="BE1039" s="65"/>
      <c r="BF1039" s="65"/>
      <c r="BG1039" s="65"/>
      <c r="BH1039" s="65"/>
      <c r="BI1039" s="65"/>
      <c r="BJ1039" s="65"/>
      <c r="BK1039" s="65"/>
      <c r="BL1039" s="65"/>
      <c r="BM1039" s="65"/>
      <c r="BN1039" s="65"/>
      <c r="BO1039" s="65"/>
    </row>
    <row r="1040" spans="1:67" s="58" customFormat="1" x14ac:dyDescent="0.2">
      <c r="A1040" s="49" t="s">
        <v>67</v>
      </c>
      <c r="B1040" s="50">
        <v>43206</v>
      </c>
      <c r="C1040" s="51">
        <v>0.77708333333333302</v>
      </c>
      <c r="D1040" s="49" t="s">
        <v>154</v>
      </c>
      <c r="E1040" s="49">
        <v>3</v>
      </c>
      <c r="F1040" s="52">
        <v>61</v>
      </c>
      <c r="G1040" s="53">
        <v>2</v>
      </c>
      <c r="H1040" s="54">
        <v>3.2786885245901641E-2</v>
      </c>
      <c r="I1040" s="55">
        <v>6.83E-2</v>
      </c>
      <c r="J1040" s="53">
        <v>314.15899999999999</v>
      </c>
      <c r="K1040" s="53">
        <v>0.4098</v>
      </c>
      <c r="L1040" s="53">
        <v>6</v>
      </c>
      <c r="M1040" s="56">
        <v>383.30771107857493</v>
      </c>
      <c r="N1040" s="53">
        <v>1419</v>
      </c>
      <c r="O1040" s="57" t="s">
        <v>94</v>
      </c>
      <c r="P1040" s="57" t="s">
        <v>82</v>
      </c>
      <c r="Q1040" s="53" t="s">
        <v>95</v>
      </c>
      <c r="R1040" s="53" t="s">
        <v>96</v>
      </c>
      <c r="S1040" s="53"/>
      <c r="T1040" s="59">
        <v>394</v>
      </c>
      <c r="U1040" s="59">
        <v>789</v>
      </c>
      <c r="V1040" s="53">
        <v>0.8</v>
      </c>
      <c r="W1040" s="53">
        <v>0.8</v>
      </c>
      <c r="X1040" s="53">
        <v>0.8</v>
      </c>
      <c r="Y1040" s="9">
        <f t="shared" si="16"/>
        <v>151023.23816495851</v>
      </c>
      <c r="Z1040" s="60" t="s">
        <v>97</v>
      </c>
      <c r="AA1040" s="58" t="s">
        <v>362</v>
      </c>
      <c r="AB1040" s="58" t="s">
        <v>75</v>
      </c>
      <c r="AC1040" s="61" t="s">
        <v>221</v>
      </c>
      <c r="AD1040" s="53" t="s">
        <v>85</v>
      </c>
      <c r="AE1040" s="56">
        <v>0.18</v>
      </c>
      <c r="AF1040" s="56">
        <v>0.18</v>
      </c>
      <c r="AG1040" s="56">
        <v>0.18</v>
      </c>
      <c r="AH1040" s="56">
        <v>0.18</v>
      </c>
      <c r="AI1040" s="56">
        <v>0.18</v>
      </c>
      <c r="AJ1040" s="56">
        <v>0.18</v>
      </c>
      <c r="AK1040" s="56">
        <v>0.18</v>
      </c>
      <c r="AL1040" s="56">
        <v>0.18</v>
      </c>
      <c r="AM1040" s="56">
        <v>0.18</v>
      </c>
      <c r="AN1040" s="56">
        <v>0.18</v>
      </c>
      <c r="AO1040" s="66" t="s">
        <v>78</v>
      </c>
      <c r="AP1040" s="65">
        <v>0.75200000000000033</v>
      </c>
      <c r="AQ1040" s="65">
        <v>0.7</v>
      </c>
      <c r="AR1040" s="65">
        <v>0.7</v>
      </c>
      <c r="AS1040" s="65">
        <v>0.7</v>
      </c>
      <c r="AT1040" s="65">
        <v>0.7</v>
      </c>
      <c r="AU1040" s="65">
        <v>0.7</v>
      </c>
      <c r="AV1040" s="65">
        <v>0.7</v>
      </c>
      <c r="AW1040" s="65">
        <v>0.7</v>
      </c>
      <c r="AX1040" s="65">
        <v>0.7</v>
      </c>
      <c r="AY1040" s="65">
        <v>0.7</v>
      </c>
      <c r="AZ1040" s="65">
        <v>0.7</v>
      </c>
      <c r="BA1040" s="65">
        <v>0.7</v>
      </c>
      <c r="BB1040" s="65">
        <v>0.7</v>
      </c>
      <c r="BC1040" s="65">
        <v>0.8</v>
      </c>
      <c r="BD1040" s="65">
        <v>0.8</v>
      </c>
      <c r="BE1040" s="65">
        <v>0.8</v>
      </c>
      <c r="BF1040" s="65">
        <v>0.8</v>
      </c>
      <c r="BG1040" s="65">
        <v>0.8</v>
      </c>
      <c r="BH1040" s="65">
        <v>0.8</v>
      </c>
      <c r="BI1040" s="65">
        <v>0.8</v>
      </c>
      <c r="BJ1040" s="65">
        <v>0.8</v>
      </c>
      <c r="BK1040" s="65">
        <v>0.8</v>
      </c>
      <c r="BL1040" s="65">
        <v>0.8</v>
      </c>
      <c r="BM1040" s="65">
        <v>0.8</v>
      </c>
      <c r="BN1040" s="65">
        <v>0.8</v>
      </c>
      <c r="BO1040" s="65">
        <v>0.8</v>
      </c>
    </row>
    <row r="1041" spans="1:67" s="58" customFormat="1" x14ac:dyDescent="0.2">
      <c r="A1041" s="49" t="s">
        <v>67</v>
      </c>
      <c r="B1041" s="50">
        <v>43206</v>
      </c>
      <c r="C1041" s="51">
        <v>0.77708333333333302</v>
      </c>
      <c r="D1041" s="49" t="s">
        <v>154</v>
      </c>
      <c r="E1041" s="49">
        <v>3</v>
      </c>
      <c r="F1041" s="52">
        <v>61</v>
      </c>
      <c r="G1041" s="53">
        <v>2</v>
      </c>
      <c r="H1041" s="54">
        <v>3.2786885245901641E-2</v>
      </c>
      <c r="I1041" s="55">
        <v>6.83E-2</v>
      </c>
      <c r="J1041" s="53">
        <v>314.15899999999999</v>
      </c>
      <c r="K1041" s="53">
        <v>0.4098</v>
      </c>
      <c r="L1041" s="53">
        <v>6</v>
      </c>
      <c r="M1041" s="56">
        <v>383.30771107857493</v>
      </c>
      <c r="N1041" s="53">
        <v>1519</v>
      </c>
      <c r="O1041" s="58" t="s">
        <v>301</v>
      </c>
      <c r="P1041" s="57" t="s">
        <v>82</v>
      </c>
      <c r="Q1041" s="53" t="s">
        <v>302</v>
      </c>
      <c r="R1041" s="53" t="s">
        <v>84</v>
      </c>
      <c r="S1041" s="53"/>
      <c r="T1041" s="59">
        <v>1</v>
      </c>
      <c r="U1041" s="59">
        <v>5</v>
      </c>
      <c r="V1041" s="53">
        <v>0.8</v>
      </c>
      <c r="W1041" s="53"/>
      <c r="X1041" s="53"/>
      <c r="Y1041" s="9">
        <f t="shared" si="16"/>
        <v>383.30771107857493</v>
      </c>
      <c r="Z1041" s="60" t="s">
        <v>97</v>
      </c>
      <c r="AA1041" s="58" t="s">
        <v>362</v>
      </c>
      <c r="AB1041" s="58" t="s">
        <v>75</v>
      </c>
      <c r="AC1041" s="61" t="s">
        <v>221</v>
      </c>
      <c r="AD1041" s="53" t="s">
        <v>85</v>
      </c>
      <c r="AE1041" s="56">
        <v>0.26808234666666664</v>
      </c>
      <c r="AF1041" s="62"/>
      <c r="AG1041" s="63"/>
      <c r="AH1041" s="61"/>
      <c r="AO1041" s="64" t="s">
        <v>78</v>
      </c>
      <c r="AP1041" s="65">
        <v>0.8</v>
      </c>
      <c r="AQ1041" s="65">
        <v>0.8</v>
      </c>
      <c r="AR1041" s="65">
        <v>0.8</v>
      </c>
      <c r="AS1041" s="65">
        <v>0.8</v>
      </c>
      <c r="AT1041" s="65">
        <v>0.8</v>
      </c>
      <c r="AU1041" s="65">
        <v>0.8</v>
      </c>
      <c r="AV1041" s="65"/>
      <c r="AW1041" s="65"/>
      <c r="AX1041" s="65"/>
      <c r="AY1041" s="65"/>
      <c r="AZ1041" s="65"/>
      <c r="BA1041" s="65"/>
      <c r="BB1041" s="65"/>
      <c r="BC1041" s="65"/>
      <c r="BD1041" s="65"/>
      <c r="BE1041" s="65"/>
      <c r="BF1041" s="65"/>
      <c r="BG1041" s="65"/>
      <c r="BH1041" s="65"/>
      <c r="BI1041" s="65"/>
      <c r="BJ1041" s="65"/>
      <c r="BK1041" s="65"/>
      <c r="BL1041" s="65"/>
      <c r="BM1041" s="65"/>
      <c r="BN1041" s="65"/>
      <c r="BO1041" s="65"/>
    </row>
    <row r="1042" spans="1:67" s="58" customFormat="1" x14ac:dyDescent="0.2">
      <c r="A1042" s="49" t="s">
        <v>67</v>
      </c>
      <c r="B1042" s="50">
        <v>43207</v>
      </c>
      <c r="C1042" s="51">
        <v>0.8125</v>
      </c>
      <c r="D1042" s="49" t="s">
        <v>141</v>
      </c>
      <c r="E1042" s="49"/>
      <c r="F1042" s="52">
        <v>57.5</v>
      </c>
      <c r="G1042" s="53">
        <v>2</v>
      </c>
      <c r="H1042" s="54">
        <v>3.4782608695652174E-2</v>
      </c>
      <c r="I1042" s="55">
        <v>6.83E-2</v>
      </c>
      <c r="J1042" s="53">
        <v>314.15899999999999</v>
      </c>
      <c r="K1042" s="53">
        <v>0.47809999999999997</v>
      </c>
      <c r="L1042" s="53">
        <v>7</v>
      </c>
      <c r="M1042" s="56">
        <v>328.54946663877848</v>
      </c>
      <c r="N1042" s="53">
        <v>37</v>
      </c>
      <c r="O1042" s="58" t="s">
        <v>363</v>
      </c>
      <c r="P1042" s="58" t="s">
        <v>70</v>
      </c>
      <c r="Q1042" s="53" t="s">
        <v>110</v>
      </c>
      <c r="R1042" s="53" t="s">
        <v>364</v>
      </c>
      <c r="S1042" s="53"/>
      <c r="T1042" s="59">
        <v>2</v>
      </c>
      <c r="U1042" s="59">
        <v>2</v>
      </c>
      <c r="V1042" s="53">
        <v>18.5</v>
      </c>
      <c r="W1042" s="53"/>
      <c r="X1042" s="53"/>
      <c r="Y1042" s="9">
        <f t="shared" si="16"/>
        <v>657.09893327755697</v>
      </c>
      <c r="Z1042" s="60" t="s">
        <v>73</v>
      </c>
      <c r="AA1042" s="58" t="s">
        <v>365</v>
      </c>
      <c r="AB1042" s="58" t="s">
        <v>75</v>
      </c>
      <c r="AC1042" s="61" t="s">
        <v>366</v>
      </c>
      <c r="AD1042" s="53" t="s">
        <v>77</v>
      </c>
      <c r="AE1042" s="56">
        <v>150.52928484999998</v>
      </c>
      <c r="AF1042" s="62"/>
      <c r="AG1042" s="63"/>
      <c r="AH1042" s="61"/>
      <c r="AO1042" s="64" t="s">
        <v>78</v>
      </c>
      <c r="AP1042" s="65">
        <v>18.5</v>
      </c>
      <c r="AQ1042" s="65">
        <v>18.5</v>
      </c>
      <c r="AR1042" s="65">
        <v>18.5</v>
      </c>
      <c r="AS1042" s="65"/>
      <c r="AT1042" s="65"/>
      <c r="AU1042" s="65"/>
      <c r="AV1042" s="65"/>
      <c r="AW1042" s="65"/>
      <c r="AX1042" s="65"/>
      <c r="AY1042" s="65"/>
      <c r="AZ1042" s="65"/>
      <c r="BA1042" s="65"/>
      <c r="BB1042" s="65"/>
      <c r="BC1042" s="65"/>
      <c r="BD1042" s="65"/>
      <c r="BE1042" s="65"/>
      <c r="BF1042" s="65"/>
      <c r="BG1042" s="65"/>
      <c r="BH1042" s="65"/>
      <c r="BI1042" s="65"/>
      <c r="BJ1042" s="65"/>
      <c r="BK1042" s="65"/>
      <c r="BL1042" s="65"/>
      <c r="BM1042" s="65"/>
      <c r="BN1042" s="65"/>
      <c r="BO1042" s="65"/>
    </row>
    <row r="1043" spans="1:67" s="58" customFormat="1" x14ac:dyDescent="0.2">
      <c r="A1043" s="49"/>
      <c r="B1043" s="50"/>
      <c r="C1043" s="51"/>
      <c r="D1043" s="49"/>
      <c r="E1043" s="49"/>
      <c r="F1043" s="52"/>
      <c r="G1043" s="53"/>
      <c r="H1043" s="54"/>
      <c r="I1043" s="55"/>
      <c r="J1043" s="53"/>
      <c r="K1043" s="53"/>
      <c r="L1043" s="53"/>
      <c r="M1043" s="56"/>
      <c r="N1043" s="53"/>
      <c r="Q1043" s="53"/>
      <c r="R1043" s="53"/>
      <c r="S1043" s="53"/>
      <c r="T1043" s="59"/>
      <c r="U1043" s="59"/>
      <c r="V1043" s="53"/>
      <c r="W1043" s="53"/>
      <c r="X1043" s="53"/>
      <c r="Y1043" s="9" t="e">
        <f t="shared" si="16"/>
        <v>#DIV/0!</v>
      </c>
      <c r="Z1043" s="60"/>
      <c r="AC1043" s="61"/>
      <c r="AD1043" s="53"/>
      <c r="AE1043" s="56"/>
      <c r="AF1043" s="62"/>
      <c r="AG1043" s="63"/>
      <c r="AH1043" s="61"/>
      <c r="AO1043" s="64" t="s">
        <v>79</v>
      </c>
      <c r="AP1043" s="65">
        <v>3.7</v>
      </c>
      <c r="AQ1043" s="65">
        <v>3.7</v>
      </c>
      <c r="AR1043" s="65">
        <v>3.7</v>
      </c>
      <c r="AS1043" s="65"/>
      <c r="AT1043" s="65"/>
      <c r="AU1043" s="65"/>
      <c r="AV1043" s="65"/>
      <c r="AW1043" s="65"/>
      <c r="AX1043" s="65"/>
      <c r="AY1043" s="65"/>
      <c r="AZ1043" s="65"/>
      <c r="BA1043" s="65"/>
      <c r="BB1043" s="65"/>
      <c r="BC1043" s="65"/>
      <c r="BD1043" s="65"/>
      <c r="BE1043" s="65"/>
      <c r="BF1043" s="65"/>
      <c r="BG1043" s="65"/>
      <c r="BH1043" s="65"/>
      <c r="BI1043" s="65"/>
      <c r="BJ1043" s="65"/>
      <c r="BK1043" s="65"/>
      <c r="BL1043" s="65"/>
      <c r="BM1043" s="65"/>
      <c r="BN1043" s="65"/>
      <c r="BO1043" s="65"/>
    </row>
    <row r="1044" spans="1:67" s="58" customFormat="1" x14ac:dyDescent="0.2">
      <c r="A1044" s="49"/>
      <c r="B1044" s="50"/>
      <c r="C1044" s="51"/>
      <c r="D1044" s="49"/>
      <c r="E1044" s="49"/>
      <c r="F1044" s="52"/>
      <c r="G1044" s="53"/>
      <c r="H1044" s="54"/>
      <c r="I1044" s="55"/>
      <c r="J1044" s="53"/>
      <c r="K1044" s="53"/>
      <c r="L1044" s="53"/>
      <c r="M1044" s="56"/>
      <c r="N1044" s="53"/>
      <c r="Q1044" s="53"/>
      <c r="R1044" s="53"/>
      <c r="S1044" s="53"/>
      <c r="T1044" s="59"/>
      <c r="U1044" s="59"/>
      <c r="V1044" s="53"/>
      <c r="W1044" s="53"/>
      <c r="X1044" s="53"/>
      <c r="Y1044" s="9" t="e">
        <f t="shared" si="16"/>
        <v>#DIV/0!</v>
      </c>
      <c r="Z1044" s="60"/>
      <c r="AC1044" s="61"/>
      <c r="AD1044" s="53"/>
      <c r="AE1044" s="56"/>
      <c r="AF1044" s="62"/>
      <c r="AG1044" s="63"/>
      <c r="AH1044" s="61"/>
      <c r="AO1044" s="64" t="s">
        <v>80</v>
      </c>
      <c r="AP1044" s="65">
        <v>2.8</v>
      </c>
      <c r="AQ1044" s="65">
        <v>2.8</v>
      </c>
      <c r="AR1044" s="65">
        <v>2.8</v>
      </c>
      <c r="AS1044" s="65"/>
      <c r="AT1044" s="65"/>
      <c r="AU1044" s="65"/>
      <c r="AV1044" s="65"/>
      <c r="AW1044" s="65"/>
      <c r="AX1044" s="65"/>
      <c r="AY1044" s="65"/>
      <c r="AZ1044" s="65"/>
      <c r="BA1044" s="65"/>
      <c r="BB1044" s="65"/>
      <c r="BC1044" s="65"/>
      <c r="BD1044" s="65"/>
      <c r="BE1044" s="65"/>
      <c r="BF1044" s="65"/>
      <c r="BG1044" s="65"/>
      <c r="BH1044" s="65"/>
      <c r="BI1044" s="65"/>
      <c r="BJ1044" s="65"/>
      <c r="BK1044" s="65"/>
      <c r="BL1044" s="65"/>
      <c r="BM1044" s="65"/>
      <c r="BN1044" s="65"/>
      <c r="BO1044" s="65"/>
    </row>
    <row r="1045" spans="1:67" s="58" customFormat="1" x14ac:dyDescent="0.2">
      <c r="A1045" s="49" t="s">
        <v>67</v>
      </c>
      <c r="B1045" s="50">
        <v>43207</v>
      </c>
      <c r="C1045" s="51">
        <v>0.8125</v>
      </c>
      <c r="D1045" s="49" t="s">
        <v>141</v>
      </c>
      <c r="E1045" s="49"/>
      <c r="F1045" s="52">
        <v>57.5</v>
      </c>
      <c r="G1045" s="53">
        <v>2</v>
      </c>
      <c r="H1045" s="54">
        <v>3.4782608695652174E-2</v>
      </c>
      <c r="I1045" s="55">
        <v>6.83E-2</v>
      </c>
      <c r="J1045" s="53">
        <v>314.15899999999999</v>
      </c>
      <c r="K1045" s="53">
        <v>0.47809999999999997</v>
      </c>
      <c r="L1045" s="53">
        <v>7</v>
      </c>
      <c r="M1045" s="56">
        <v>328.54946663877848</v>
      </c>
      <c r="N1045" s="53">
        <v>147</v>
      </c>
      <c r="O1045" s="57" t="s">
        <v>367</v>
      </c>
      <c r="P1045" s="58" t="s">
        <v>70</v>
      </c>
      <c r="Q1045" s="53" t="s">
        <v>71</v>
      </c>
      <c r="R1045" s="53" t="s">
        <v>84</v>
      </c>
      <c r="S1045" s="53"/>
      <c r="T1045" s="59">
        <v>1</v>
      </c>
      <c r="U1045" s="59">
        <v>1</v>
      </c>
      <c r="V1045" s="53">
        <v>11.1</v>
      </c>
      <c r="W1045" s="53"/>
      <c r="X1045" s="53"/>
      <c r="Y1045" s="9">
        <f t="shared" si="16"/>
        <v>328.54946663877848</v>
      </c>
      <c r="Z1045" s="60" t="s">
        <v>73</v>
      </c>
      <c r="AA1045" s="58" t="s">
        <v>365</v>
      </c>
      <c r="AB1045" s="58" t="s">
        <v>75</v>
      </c>
      <c r="AC1045" s="61" t="s">
        <v>366</v>
      </c>
      <c r="AD1045" s="53" t="s">
        <v>77</v>
      </c>
      <c r="AE1045" s="56">
        <v>180.63514182</v>
      </c>
      <c r="AF1045" s="62"/>
      <c r="AG1045" s="63"/>
      <c r="AH1045" s="61"/>
      <c r="AO1045" s="64" t="s">
        <v>78</v>
      </c>
      <c r="AP1045" s="65">
        <v>11.1</v>
      </c>
      <c r="AQ1045" s="65">
        <v>11.1</v>
      </c>
      <c r="AR1045" s="65"/>
      <c r="AS1045" s="65"/>
      <c r="AT1045" s="65"/>
      <c r="AU1045" s="65"/>
      <c r="AV1045" s="65"/>
      <c r="AW1045" s="65"/>
      <c r="AX1045" s="65"/>
      <c r="AY1045" s="65"/>
      <c r="AZ1045" s="65"/>
      <c r="BA1045" s="65"/>
      <c r="BB1045" s="65"/>
      <c r="BC1045" s="65"/>
      <c r="BD1045" s="65"/>
      <c r="BE1045" s="65"/>
      <c r="BF1045" s="65"/>
      <c r="BG1045" s="65"/>
      <c r="BH1045" s="65"/>
      <c r="BI1045" s="65"/>
      <c r="BJ1045" s="65"/>
      <c r="BK1045" s="65"/>
      <c r="BL1045" s="65"/>
      <c r="BM1045" s="65"/>
      <c r="BN1045" s="65"/>
      <c r="BO1045" s="65"/>
    </row>
    <row r="1046" spans="1:67" s="58" customFormat="1" x14ac:dyDescent="0.2">
      <c r="A1046" s="49"/>
      <c r="B1046" s="50"/>
      <c r="C1046" s="51"/>
      <c r="D1046" s="49"/>
      <c r="E1046" s="49"/>
      <c r="F1046" s="52"/>
      <c r="G1046" s="53"/>
      <c r="H1046" s="54"/>
      <c r="I1046" s="55"/>
      <c r="J1046" s="53"/>
      <c r="K1046" s="53"/>
      <c r="L1046" s="53"/>
      <c r="M1046" s="56"/>
      <c r="N1046" s="53"/>
      <c r="O1046" s="57"/>
      <c r="Q1046" s="53"/>
      <c r="R1046" s="53"/>
      <c r="S1046" s="53"/>
      <c r="T1046" s="59"/>
      <c r="U1046" s="59"/>
      <c r="V1046" s="53"/>
      <c r="W1046" s="53"/>
      <c r="X1046" s="53"/>
      <c r="Y1046" s="9" t="e">
        <f t="shared" si="16"/>
        <v>#DIV/0!</v>
      </c>
      <c r="Z1046" s="60"/>
      <c r="AC1046" s="61"/>
      <c r="AD1046" s="53"/>
      <c r="AE1046" s="56"/>
      <c r="AF1046" s="62"/>
      <c r="AG1046" s="63"/>
      <c r="AH1046" s="61"/>
      <c r="AO1046" s="64" t="s">
        <v>79</v>
      </c>
      <c r="AP1046" s="65">
        <v>5.6</v>
      </c>
      <c r="AQ1046" s="65">
        <v>5.6</v>
      </c>
      <c r="AR1046" s="65"/>
      <c r="AS1046" s="65"/>
      <c r="AT1046" s="65"/>
      <c r="AU1046" s="65"/>
      <c r="AV1046" s="65"/>
      <c r="AW1046" s="65"/>
      <c r="AX1046" s="65"/>
      <c r="AY1046" s="65"/>
      <c r="AZ1046" s="65"/>
      <c r="BA1046" s="65"/>
      <c r="BB1046" s="65"/>
      <c r="BC1046" s="65"/>
      <c r="BD1046" s="65"/>
      <c r="BE1046" s="65"/>
      <c r="BF1046" s="65"/>
      <c r="BG1046" s="65"/>
      <c r="BH1046" s="65"/>
      <c r="BI1046" s="65"/>
      <c r="BJ1046" s="65"/>
      <c r="BK1046" s="65"/>
      <c r="BL1046" s="65"/>
      <c r="BM1046" s="65"/>
      <c r="BN1046" s="65"/>
      <c r="BO1046" s="65"/>
    </row>
    <row r="1047" spans="1:67" s="58" customFormat="1" x14ac:dyDescent="0.2">
      <c r="A1047" s="49"/>
      <c r="B1047" s="50"/>
      <c r="C1047" s="51"/>
      <c r="D1047" s="49"/>
      <c r="E1047" s="49"/>
      <c r="F1047" s="52"/>
      <c r="G1047" s="53"/>
      <c r="H1047" s="54"/>
      <c r="I1047" s="55"/>
      <c r="J1047" s="53"/>
      <c r="K1047" s="53"/>
      <c r="L1047" s="53"/>
      <c r="M1047" s="56"/>
      <c r="N1047" s="53"/>
      <c r="O1047" s="57"/>
      <c r="Q1047" s="53"/>
      <c r="R1047" s="53"/>
      <c r="S1047" s="53"/>
      <c r="T1047" s="59"/>
      <c r="U1047" s="59"/>
      <c r="V1047" s="53"/>
      <c r="W1047" s="53"/>
      <c r="X1047" s="53"/>
      <c r="Y1047" s="9" t="e">
        <f t="shared" si="16"/>
        <v>#DIV/0!</v>
      </c>
      <c r="Z1047" s="60"/>
      <c r="AC1047" s="61"/>
      <c r="AD1047" s="53"/>
      <c r="AE1047" s="56"/>
      <c r="AF1047" s="62"/>
      <c r="AG1047" s="63"/>
      <c r="AH1047" s="61"/>
      <c r="AO1047" s="64" t="s">
        <v>80</v>
      </c>
      <c r="AP1047" s="65">
        <v>3.7</v>
      </c>
      <c r="AQ1047" s="65">
        <v>3.7</v>
      </c>
      <c r="AR1047" s="65"/>
      <c r="AS1047" s="65"/>
      <c r="AT1047" s="65"/>
      <c r="AU1047" s="65"/>
      <c r="AV1047" s="65"/>
      <c r="AW1047" s="65"/>
      <c r="AX1047" s="65"/>
      <c r="AY1047" s="65"/>
      <c r="AZ1047" s="65"/>
      <c r="BA1047" s="65"/>
      <c r="BB1047" s="65"/>
      <c r="BC1047" s="65"/>
      <c r="BD1047" s="65"/>
      <c r="BE1047" s="65"/>
      <c r="BF1047" s="65"/>
      <c r="BG1047" s="65"/>
      <c r="BH1047" s="65"/>
      <c r="BI1047" s="65"/>
      <c r="BJ1047" s="65"/>
      <c r="BK1047" s="65"/>
      <c r="BL1047" s="65"/>
      <c r="BM1047" s="65"/>
      <c r="BN1047" s="65"/>
      <c r="BO1047" s="65"/>
    </row>
    <row r="1048" spans="1:67" s="58" customFormat="1" x14ac:dyDescent="0.2">
      <c r="A1048" s="49" t="s">
        <v>67</v>
      </c>
      <c r="B1048" s="50">
        <v>43207</v>
      </c>
      <c r="C1048" s="51">
        <v>0.8125</v>
      </c>
      <c r="D1048" s="49" t="s">
        <v>141</v>
      </c>
      <c r="E1048" s="49"/>
      <c r="F1048" s="52">
        <v>57.5</v>
      </c>
      <c r="G1048" s="53">
        <v>2</v>
      </c>
      <c r="H1048" s="54">
        <v>3.4782608695652174E-2</v>
      </c>
      <c r="I1048" s="55">
        <v>6.83E-2</v>
      </c>
      <c r="J1048" s="53">
        <v>314.15899999999999</v>
      </c>
      <c r="K1048" s="53">
        <v>0.47809999999999997</v>
      </c>
      <c r="L1048" s="53">
        <v>7</v>
      </c>
      <c r="M1048" s="56">
        <v>328.54946663877848</v>
      </c>
      <c r="N1048" s="53">
        <v>190</v>
      </c>
      <c r="O1048" s="57" t="s">
        <v>102</v>
      </c>
      <c r="P1048" s="58" t="s">
        <v>70</v>
      </c>
      <c r="Q1048" s="53" t="s">
        <v>103</v>
      </c>
      <c r="R1048" s="53" t="s">
        <v>84</v>
      </c>
      <c r="S1048" s="53"/>
      <c r="T1048" s="59">
        <v>1</v>
      </c>
      <c r="U1048" s="59">
        <v>1</v>
      </c>
      <c r="V1048" s="53">
        <v>7.4</v>
      </c>
      <c r="W1048" s="53"/>
      <c r="X1048" s="53"/>
      <c r="Y1048" s="9">
        <f t="shared" si="16"/>
        <v>328.54946663877848</v>
      </c>
      <c r="Z1048" s="60" t="s">
        <v>73</v>
      </c>
      <c r="AA1048" s="58" t="s">
        <v>365</v>
      </c>
      <c r="AB1048" s="58" t="s">
        <v>75</v>
      </c>
      <c r="AC1048" s="61" t="s">
        <v>366</v>
      </c>
      <c r="AD1048" s="53" t="s">
        <v>104</v>
      </c>
      <c r="AE1048" s="56">
        <v>240.84685575999998</v>
      </c>
      <c r="AF1048" s="62"/>
      <c r="AG1048" s="63"/>
      <c r="AH1048" s="61"/>
      <c r="AO1048" s="64" t="s">
        <v>78</v>
      </c>
      <c r="AP1048" s="65">
        <v>5.6</v>
      </c>
      <c r="AQ1048" s="65">
        <v>5.6</v>
      </c>
      <c r="AR1048" s="65"/>
      <c r="AS1048" s="65"/>
      <c r="AT1048" s="65"/>
      <c r="AU1048" s="65"/>
      <c r="AV1048" s="65"/>
      <c r="AW1048" s="65"/>
      <c r="AX1048" s="65"/>
      <c r="AY1048" s="65"/>
      <c r="AZ1048" s="65"/>
      <c r="BA1048" s="65"/>
      <c r="BB1048" s="65"/>
      <c r="BC1048" s="65"/>
      <c r="BD1048" s="65"/>
      <c r="BE1048" s="65"/>
      <c r="BF1048" s="65"/>
      <c r="BG1048" s="65"/>
      <c r="BH1048" s="65"/>
      <c r="BI1048" s="65"/>
      <c r="BJ1048" s="65"/>
      <c r="BK1048" s="65"/>
      <c r="BL1048" s="65"/>
      <c r="BM1048" s="65"/>
      <c r="BN1048" s="65"/>
      <c r="BO1048" s="65"/>
    </row>
    <row r="1049" spans="1:67" s="58" customFormat="1" x14ac:dyDescent="0.2">
      <c r="A1049" s="49"/>
      <c r="B1049" s="50"/>
      <c r="C1049" s="51"/>
      <c r="D1049" s="49"/>
      <c r="E1049" s="49"/>
      <c r="F1049" s="52"/>
      <c r="G1049" s="53"/>
      <c r="H1049" s="54"/>
      <c r="I1049" s="55"/>
      <c r="J1049" s="53"/>
      <c r="K1049" s="53"/>
      <c r="L1049" s="53"/>
      <c r="M1049" s="56"/>
      <c r="N1049" s="53"/>
      <c r="O1049" s="57"/>
      <c r="Q1049" s="53"/>
      <c r="R1049" s="53"/>
      <c r="S1049" s="53"/>
      <c r="T1049" s="59"/>
      <c r="U1049" s="59"/>
      <c r="V1049" s="53"/>
      <c r="W1049" s="53"/>
      <c r="X1049" s="53"/>
      <c r="Y1049" s="9" t="e">
        <f t="shared" si="16"/>
        <v>#DIV/0!</v>
      </c>
      <c r="Z1049" s="60"/>
      <c r="AC1049" s="61"/>
      <c r="AD1049" s="53"/>
      <c r="AE1049" s="56"/>
      <c r="AF1049" s="62"/>
      <c r="AG1049" s="63"/>
      <c r="AH1049" s="61"/>
      <c r="AO1049" s="64" t="s">
        <v>79</v>
      </c>
      <c r="AP1049" s="65">
        <v>7.4</v>
      </c>
      <c r="AQ1049" s="65">
        <v>7.4</v>
      </c>
      <c r="AR1049" s="65"/>
      <c r="AS1049" s="65"/>
      <c r="AT1049" s="65"/>
      <c r="AU1049" s="65"/>
      <c r="AV1049" s="65"/>
      <c r="AW1049" s="65"/>
      <c r="AX1049" s="65"/>
      <c r="AY1049" s="65"/>
      <c r="AZ1049" s="65"/>
      <c r="BA1049" s="65"/>
      <c r="BB1049" s="65"/>
      <c r="BC1049" s="65"/>
      <c r="BD1049" s="65"/>
      <c r="BE1049" s="65"/>
      <c r="BF1049" s="65"/>
      <c r="BG1049" s="65"/>
      <c r="BH1049" s="65"/>
      <c r="BI1049" s="65"/>
      <c r="BJ1049" s="65"/>
      <c r="BK1049" s="65"/>
      <c r="BL1049" s="65"/>
      <c r="BM1049" s="65"/>
      <c r="BN1049" s="65"/>
      <c r="BO1049" s="65"/>
    </row>
    <row r="1050" spans="1:67" s="58" customFormat="1" x14ac:dyDescent="0.2">
      <c r="A1050" s="49" t="s">
        <v>67</v>
      </c>
      <c r="B1050" s="50">
        <v>43207</v>
      </c>
      <c r="C1050" s="51">
        <v>0.8125</v>
      </c>
      <c r="D1050" s="49" t="s">
        <v>141</v>
      </c>
      <c r="E1050" s="49"/>
      <c r="F1050" s="52">
        <v>57.5</v>
      </c>
      <c r="G1050" s="53">
        <v>2</v>
      </c>
      <c r="H1050" s="54">
        <v>3.4782608695652174E-2</v>
      </c>
      <c r="I1050" s="55">
        <v>6.83E-2</v>
      </c>
      <c r="J1050" s="53">
        <v>314.15899999999999</v>
      </c>
      <c r="K1050" s="53">
        <v>0.47809999999999997</v>
      </c>
      <c r="L1050" s="53">
        <v>7</v>
      </c>
      <c r="M1050" s="56">
        <v>328.54946663877848</v>
      </c>
      <c r="N1050" s="53">
        <v>458</v>
      </c>
      <c r="O1050" s="57" t="s">
        <v>368</v>
      </c>
      <c r="P1050" s="58" t="s">
        <v>70</v>
      </c>
      <c r="Q1050" s="53" t="s">
        <v>344</v>
      </c>
      <c r="R1050" s="53" t="s">
        <v>369</v>
      </c>
      <c r="S1050" s="53"/>
      <c r="T1050" s="59">
        <v>1</v>
      </c>
      <c r="U1050" s="59">
        <v>1</v>
      </c>
      <c r="V1050" s="53">
        <v>13</v>
      </c>
      <c r="W1050" s="53"/>
      <c r="X1050" s="53"/>
      <c r="Y1050" s="9">
        <f t="shared" si="16"/>
        <v>328.54946663877848</v>
      </c>
      <c r="Z1050" s="60" t="s">
        <v>73</v>
      </c>
      <c r="AA1050" s="58" t="s">
        <v>365</v>
      </c>
      <c r="AB1050" s="58" t="s">
        <v>75</v>
      </c>
      <c r="AC1050" s="61" t="s">
        <v>366</v>
      </c>
      <c r="AD1050" s="53" t="s">
        <v>346</v>
      </c>
      <c r="AE1050" s="56">
        <v>303.70343033333324</v>
      </c>
      <c r="AF1050" s="62"/>
      <c r="AG1050" s="63"/>
      <c r="AH1050" s="61"/>
      <c r="AO1050" s="64" t="s">
        <v>79</v>
      </c>
      <c r="AP1050" s="65">
        <v>6.5</v>
      </c>
      <c r="AQ1050" s="65">
        <v>6.5</v>
      </c>
      <c r="AR1050" s="65"/>
      <c r="AS1050" s="65"/>
      <c r="AT1050" s="65"/>
      <c r="AU1050" s="65"/>
      <c r="AV1050" s="65"/>
      <c r="AW1050" s="65"/>
      <c r="AX1050" s="65"/>
      <c r="AY1050" s="65"/>
      <c r="AZ1050" s="65"/>
      <c r="BA1050" s="65"/>
      <c r="BB1050" s="65"/>
      <c r="BC1050" s="65"/>
      <c r="BD1050" s="65"/>
      <c r="BE1050" s="65"/>
      <c r="BF1050" s="65"/>
      <c r="BG1050" s="65"/>
      <c r="BH1050" s="65"/>
      <c r="BI1050" s="65"/>
      <c r="BJ1050" s="65"/>
      <c r="BK1050" s="65"/>
      <c r="BL1050" s="65"/>
      <c r="BM1050" s="65"/>
      <c r="BN1050" s="65"/>
      <c r="BO1050" s="65"/>
    </row>
    <row r="1051" spans="1:67" s="58" customFormat="1" x14ac:dyDescent="0.2">
      <c r="A1051" s="49"/>
      <c r="B1051" s="50"/>
      <c r="C1051" s="51"/>
      <c r="D1051" s="49"/>
      <c r="E1051" s="49"/>
      <c r="F1051" s="52"/>
      <c r="G1051" s="53"/>
      <c r="H1051" s="54"/>
      <c r="I1051" s="55"/>
      <c r="J1051" s="53"/>
      <c r="K1051" s="53"/>
      <c r="L1051" s="53"/>
      <c r="M1051" s="56"/>
      <c r="N1051" s="53"/>
      <c r="O1051" s="57"/>
      <c r="Q1051" s="53"/>
      <c r="R1051" s="53"/>
      <c r="S1051" s="53"/>
      <c r="T1051" s="59"/>
      <c r="U1051" s="59"/>
      <c r="V1051" s="53"/>
      <c r="W1051" s="53"/>
      <c r="X1051" s="53"/>
      <c r="Y1051" s="9" t="e">
        <f t="shared" si="16"/>
        <v>#DIV/0!</v>
      </c>
      <c r="Z1051" s="60"/>
      <c r="AC1051" s="61"/>
      <c r="AD1051" s="53"/>
      <c r="AE1051" s="56"/>
      <c r="AF1051" s="62"/>
      <c r="AG1051" s="63"/>
      <c r="AH1051" s="61"/>
      <c r="AO1051" s="64" t="s">
        <v>80</v>
      </c>
      <c r="AP1051" s="65">
        <v>5.6</v>
      </c>
      <c r="AQ1051" s="65">
        <v>5.6</v>
      </c>
      <c r="AR1051" s="65"/>
      <c r="AS1051" s="65"/>
      <c r="AT1051" s="65"/>
      <c r="AU1051" s="65"/>
      <c r="AV1051" s="65"/>
      <c r="AW1051" s="65"/>
      <c r="AX1051" s="65"/>
      <c r="AY1051" s="65"/>
      <c r="AZ1051" s="65"/>
      <c r="BA1051" s="65"/>
      <c r="BB1051" s="65"/>
      <c r="BC1051" s="65"/>
      <c r="BD1051" s="65"/>
      <c r="BE1051" s="65"/>
      <c r="BF1051" s="65"/>
      <c r="BG1051" s="65"/>
      <c r="BH1051" s="65"/>
      <c r="BI1051" s="65"/>
      <c r="BJ1051" s="65"/>
      <c r="BK1051" s="65"/>
      <c r="BL1051" s="65"/>
      <c r="BM1051" s="65"/>
      <c r="BN1051" s="65"/>
      <c r="BO1051" s="65"/>
    </row>
    <row r="1052" spans="1:67" s="58" customFormat="1" x14ac:dyDescent="0.2">
      <c r="A1052" s="49"/>
      <c r="B1052" s="50"/>
      <c r="C1052" s="51"/>
      <c r="D1052" s="49"/>
      <c r="E1052" s="49"/>
      <c r="F1052" s="52"/>
      <c r="G1052" s="53"/>
      <c r="H1052" s="54"/>
      <c r="I1052" s="55"/>
      <c r="J1052" s="53"/>
      <c r="K1052" s="53"/>
      <c r="L1052" s="53"/>
      <c r="M1052" s="56"/>
      <c r="N1052" s="53"/>
      <c r="O1052" s="57"/>
      <c r="Q1052" s="53"/>
      <c r="R1052" s="53"/>
      <c r="S1052" s="53"/>
      <c r="T1052" s="59"/>
      <c r="U1052" s="59"/>
      <c r="V1052" s="53"/>
      <c r="W1052" s="53"/>
      <c r="X1052" s="53"/>
      <c r="Y1052" s="9" t="e">
        <f t="shared" si="16"/>
        <v>#DIV/0!</v>
      </c>
      <c r="Z1052" s="60"/>
      <c r="AC1052" s="61"/>
      <c r="AD1052" s="53"/>
      <c r="AE1052" s="56"/>
      <c r="AF1052" s="62"/>
      <c r="AG1052" s="63"/>
      <c r="AH1052" s="61"/>
      <c r="AO1052" s="64" t="s">
        <v>347</v>
      </c>
      <c r="AP1052" s="65">
        <v>13</v>
      </c>
      <c r="AQ1052" s="65">
        <v>13</v>
      </c>
      <c r="AR1052" s="65"/>
      <c r="AS1052" s="65"/>
      <c r="AT1052" s="65"/>
      <c r="AU1052" s="65"/>
      <c r="AV1052" s="65"/>
      <c r="AW1052" s="65"/>
      <c r="AX1052" s="65"/>
      <c r="AY1052" s="65"/>
      <c r="AZ1052" s="65"/>
      <c r="BA1052" s="65"/>
      <c r="BB1052" s="65"/>
      <c r="BC1052" s="65"/>
      <c r="BD1052" s="65"/>
      <c r="BE1052" s="65"/>
      <c r="BF1052" s="65"/>
      <c r="BG1052" s="65"/>
      <c r="BH1052" s="65"/>
      <c r="BI1052" s="65"/>
      <c r="BJ1052" s="65"/>
      <c r="BK1052" s="65"/>
      <c r="BL1052" s="65"/>
      <c r="BM1052" s="65"/>
      <c r="BN1052" s="65"/>
      <c r="BO1052" s="65"/>
    </row>
    <row r="1053" spans="1:67" s="58" customFormat="1" x14ac:dyDescent="0.2">
      <c r="A1053" s="49"/>
      <c r="B1053" s="50"/>
      <c r="C1053" s="51"/>
      <c r="D1053" s="49"/>
      <c r="E1053" s="49"/>
      <c r="F1053" s="52"/>
      <c r="G1053" s="53"/>
      <c r="H1053" s="54"/>
      <c r="I1053" s="55"/>
      <c r="J1053" s="53"/>
      <c r="K1053" s="53"/>
      <c r="L1053" s="53"/>
      <c r="M1053" s="56"/>
      <c r="N1053" s="53"/>
      <c r="O1053" s="57"/>
      <c r="Q1053" s="53"/>
      <c r="R1053" s="53"/>
      <c r="S1053" s="53"/>
      <c r="T1053" s="59"/>
      <c r="U1053" s="59"/>
      <c r="V1053" s="53"/>
      <c r="W1053" s="53"/>
      <c r="X1053" s="53"/>
      <c r="Y1053" s="9" t="e">
        <f t="shared" si="16"/>
        <v>#DIV/0!</v>
      </c>
      <c r="Z1053" s="60"/>
      <c r="AC1053" s="61"/>
      <c r="AD1053" s="53"/>
      <c r="AE1053" s="56"/>
      <c r="AF1053" s="62"/>
      <c r="AG1053" s="63"/>
      <c r="AH1053" s="61"/>
      <c r="AO1053" s="64" t="s">
        <v>348</v>
      </c>
      <c r="AP1053" s="65">
        <v>7.4</v>
      </c>
      <c r="AQ1053" s="65">
        <v>7.4</v>
      </c>
      <c r="AR1053" s="65"/>
      <c r="AS1053" s="65"/>
      <c r="AT1053" s="65"/>
      <c r="AU1053" s="65"/>
      <c r="AV1053" s="65"/>
      <c r="AW1053" s="65"/>
      <c r="AX1053" s="65"/>
      <c r="AY1053" s="65"/>
      <c r="AZ1053" s="65"/>
      <c r="BA1053" s="65"/>
      <c r="BB1053" s="65"/>
      <c r="BC1053" s="65"/>
      <c r="BD1053" s="65"/>
      <c r="BE1053" s="65"/>
      <c r="BF1053" s="65"/>
      <c r="BG1053" s="65"/>
      <c r="BH1053" s="65"/>
      <c r="BI1053" s="65"/>
      <c r="BJ1053" s="65"/>
      <c r="BK1053" s="65"/>
      <c r="BL1053" s="65"/>
      <c r="BM1053" s="65"/>
      <c r="BN1053" s="65"/>
      <c r="BO1053" s="65"/>
    </row>
    <row r="1054" spans="1:67" s="58" customFormat="1" x14ac:dyDescent="0.2">
      <c r="A1054" s="49" t="s">
        <v>67</v>
      </c>
      <c r="B1054" s="50">
        <v>43207</v>
      </c>
      <c r="C1054" s="51">
        <v>0.8125</v>
      </c>
      <c r="D1054" s="49" t="s">
        <v>141</v>
      </c>
      <c r="E1054" s="49"/>
      <c r="F1054" s="52">
        <v>57.5</v>
      </c>
      <c r="G1054" s="53">
        <v>2</v>
      </c>
      <c r="H1054" s="54">
        <v>3.4782608695652174E-2</v>
      </c>
      <c r="I1054" s="55">
        <v>6.83E-2</v>
      </c>
      <c r="J1054" s="53">
        <v>314.15899999999999</v>
      </c>
      <c r="K1054" s="53">
        <v>0.47809999999999997</v>
      </c>
      <c r="L1054" s="53">
        <v>7</v>
      </c>
      <c r="M1054" s="56">
        <v>328.54946663877848</v>
      </c>
      <c r="N1054" s="53">
        <v>464</v>
      </c>
      <c r="O1054" s="57" t="s">
        <v>343</v>
      </c>
      <c r="P1054" s="58" t="s">
        <v>70</v>
      </c>
      <c r="Q1054" s="53" t="s">
        <v>344</v>
      </c>
      <c r="R1054" s="53" t="s">
        <v>84</v>
      </c>
      <c r="S1054" s="53"/>
      <c r="T1054" s="59">
        <v>1</v>
      </c>
      <c r="U1054" s="59">
        <v>1</v>
      </c>
      <c r="V1054" s="53">
        <v>9.3000000000000007</v>
      </c>
      <c r="W1054" s="53"/>
      <c r="X1054" s="53"/>
      <c r="Y1054" s="9">
        <f t="shared" si="16"/>
        <v>328.54946663877848</v>
      </c>
      <c r="Z1054" s="60" t="s">
        <v>73</v>
      </c>
      <c r="AA1054" s="58" t="s">
        <v>365</v>
      </c>
      <c r="AB1054" s="58" t="s">
        <v>75</v>
      </c>
      <c r="AC1054" s="61" t="s">
        <v>370</v>
      </c>
      <c r="AD1054" s="53" t="s">
        <v>346</v>
      </c>
      <c r="AE1054" s="56">
        <v>242.81942836666664</v>
      </c>
      <c r="AF1054" s="62"/>
      <c r="AG1054" s="63"/>
      <c r="AH1054" s="61"/>
      <c r="AO1054" s="64" t="s">
        <v>79</v>
      </c>
      <c r="AP1054" s="65">
        <v>6.5</v>
      </c>
      <c r="AQ1054" s="65">
        <v>6.5</v>
      </c>
      <c r="AR1054" s="65"/>
      <c r="AS1054" s="65"/>
      <c r="AT1054" s="65"/>
      <c r="AU1054" s="65"/>
      <c r="AV1054" s="65"/>
      <c r="AW1054" s="65"/>
      <c r="AX1054" s="65"/>
      <c r="AY1054" s="65"/>
      <c r="AZ1054" s="65"/>
      <c r="BA1054" s="65"/>
      <c r="BB1054" s="65"/>
      <c r="BC1054" s="65"/>
      <c r="BD1054" s="65"/>
      <c r="BE1054" s="65"/>
      <c r="BF1054" s="65"/>
      <c r="BG1054" s="65"/>
      <c r="BH1054" s="65"/>
      <c r="BI1054" s="65"/>
      <c r="BJ1054" s="65"/>
      <c r="BK1054" s="65"/>
      <c r="BL1054" s="65"/>
      <c r="BM1054" s="65"/>
      <c r="BN1054" s="65"/>
      <c r="BO1054" s="65"/>
    </row>
    <row r="1055" spans="1:67" s="58" customFormat="1" x14ac:dyDescent="0.2">
      <c r="A1055" s="49"/>
      <c r="B1055" s="50"/>
      <c r="C1055" s="51"/>
      <c r="D1055" s="49"/>
      <c r="E1055" s="49"/>
      <c r="F1055" s="52"/>
      <c r="G1055" s="53"/>
      <c r="H1055" s="54"/>
      <c r="I1055" s="55"/>
      <c r="J1055" s="53"/>
      <c r="K1055" s="53"/>
      <c r="L1055" s="53"/>
      <c r="M1055" s="56"/>
      <c r="N1055" s="53"/>
      <c r="O1055" s="57"/>
      <c r="Q1055" s="53"/>
      <c r="R1055" s="53"/>
      <c r="S1055" s="53"/>
      <c r="T1055" s="59"/>
      <c r="U1055" s="59"/>
      <c r="V1055" s="53"/>
      <c r="W1055" s="53"/>
      <c r="X1055" s="53"/>
      <c r="Y1055" s="9" t="e">
        <f t="shared" si="16"/>
        <v>#DIV/0!</v>
      </c>
      <c r="Z1055" s="60"/>
      <c r="AC1055" s="61"/>
      <c r="AD1055" s="53"/>
      <c r="AE1055" s="56"/>
      <c r="AF1055" s="62"/>
      <c r="AG1055" s="63"/>
      <c r="AH1055" s="61"/>
      <c r="AO1055" s="64" t="s">
        <v>80</v>
      </c>
      <c r="AP1055" s="65">
        <v>5.6</v>
      </c>
      <c r="AQ1055" s="65">
        <v>5.6</v>
      </c>
      <c r="AR1055" s="65"/>
      <c r="AS1055" s="65"/>
      <c r="AT1055" s="65"/>
      <c r="AU1055" s="65"/>
      <c r="AV1055" s="65"/>
      <c r="AW1055" s="65"/>
      <c r="AX1055" s="65"/>
      <c r="AY1055" s="65"/>
      <c r="AZ1055" s="65"/>
      <c r="BA1055" s="65"/>
      <c r="BB1055" s="65"/>
      <c r="BC1055" s="65"/>
      <c r="BD1055" s="65"/>
      <c r="BE1055" s="65"/>
      <c r="BF1055" s="65"/>
      <c r="BG1055" s="65"/>
      <c r="BH1055" s="65"/>
      <c r="BI1055" s="65"/>
      <c r="BJ1055" s="65"/>
      <c r="BK1055" s="65"/>
      <c r="BL1055" s="65"/>
      <c r="BM1055" s="65"/>
      <c r="BN1055" s="65"/>
      <c r="BO1055" s="65"/>
    </row>
    <row r="1056" spans="1:67" s="58" customFormat="1" x14ac:dyDescent="0.2">
      <c r="A1056" s="49"/>
      <c r="B1056" s="50"/>
      <c r="C1056" s="51"/>
      <c r="D1056" s="49"/>
      <c r="E1056" s="49"/>
      <c r="F1056" s="52"/>
      <c r="G1056" s="53"/>
      <c r="H1056" s="54"/>
      <c r="I1056" s="55"/>
      <c r="J1056" s="53"/>
      <c r="K1056" s="53"/>
      <c r="L1056" s="53"/>
      <c r="M1056" s="56"/>
      <c r="N1056" s="53"/>
      <c r="O1056" s="57"/>
      <c r="Q1056" s="53"/>
      <c r="R1056" s="53"/>
      <c r="S1056" s="53"/>
      <c r="T1056" s="59"/>
      <c r="U1056" s="59"/>
      <c r="V1056" s="53"/>
      <c r="W1056" s="53"/>
      <c r="X1056" s="53"/>
      <c r="Y1056" s="9" t="e">
        <f t="shared" si="16"/>
        <v>#DIV/0!</v>
      </c>
      <c r="Z1056" s="60"/>
      <c r="AC1056" s="61"/>
      <c r="AD1056" s="53"/>
      <c r="AE1056" s="56"/>
      <c r="AF1056" s="62"/>
      <c r="AG1056" s="63"/>
      <c r="AH1056" s="61"/>
      <c r="AO1056" s="64" t="s">
        <v>347</v>
      </c>
      <c r="AP1056" s="65">
        <v>9.3000000000000007</v>
      </c>
      <c r="AQ1056" s="65">
        <v>9.3000000000000007</v>
      </c>
      <c r="AR1056" s="65"/>
      <c r="AS1056" s="65"/>
      <c r="AT1056" s="65"/>
      <c r="AU1056" s="65"/>
      <c r="AV1056" s="65"/>
      <c r="AW1056" s="65"/>
      <c r="AX1056" s="65"/>
      <c r="AY1056" s="65"/>
      <c r="AZ1056" s="65"/>
      <c r="BA1056" s="65"/>
      <c r="BB1056" s="65"/>
      <c r="BC1056" s="65"/>
      <c r="BD1056" s="65"/>
      <c r="BE1056" s="65"/>
      <c r="BF1056" s="65"/>
      <c r="BG1056" s="65"/>
      <c r="BH1056" s="65"/>
      <c r="BI1056" s="65"/>
      <c r="BJ1056" s="65"/>
      <c r="BK1056" s="65"/>
      <c r="BL1056" s="65"/>
      <c r="BM1056" s="65"/>
      <c r="BN1056" s="65"/>
      <c r="BO1056" s="65"/>
    </row>
    <row r="1057" spans="1:67" s="58" customFormat="1" x14ac:dyDescent="0.2">
      <c r="A1057" s="49"/>
      <c r="B1057" s="50"/>
      <c r="C1057" s="51"/>
      <c r="D1057" s="49"/>
      <c r="E1057" s="49"/>
      <c r="F1057" s="52"/>
      <c r="G1057" s="53"/>
      <c r="H1057" s="54"/>
      <c r="I1057" s="55"/>
      <c r="J1057" s="53"/>
      <c r="K1057" s="53"/>
      <c r="L1057" s="53"/>
      <c r="M1057" s="56"/>
      <c r="N1057" s="53"/>
      <c r="O1057" s="57"/>
      <c r="Q1057" s="53"/>
      <c r="R1057" s="53"/>
      <c r="S1057" s="53"/>
      <c r="T1057" s="59"/>
      <c r="U1057" s="59"/>
      <c r="V1057" s="53"/>
      <c r="W1057" s="53"/>
      <c r="X1057" s="53"/>
      <c r="Y1057" s="9" t="e">
        <f t="shared" si="16"/>
        <v>#DIV/0!</v>
      </c>
      <c r="Z1057" s="60"/>
      <c r="AC1057" s="61"/>
      <c r="AD1057" s="53"/>
      <c r="AE1057" s="56"/>
      <c r="AF1057" s="62"/>
      <c r="AG1057" s="63"/>
      <c r="AH1057" s="61"/>
      <c r="AO1057" s="64" t="s">
        <v>348</v>
      </c>
      <c r="AP1057" s="65">
        <v>7.4</v>
      </c>
      <c r="AQ1057" s="65">
        <v>7.4</v>
      </c>
      <c r="AR1057" s="65"/>
      <c r="AS1057" s="65"/>
      <c r="AT1057" s="65"/>
      <c r="AU1057" s="65"/>
      <c r="AV1057" s="65"/>
      <c r="AW1057" s="65"/>
      <c r="AX1057" s="65"/>
      <c r="AY1057" s="65"/>
      <c r="AZ1057" s="65"/>
      <c r="BA1057" s="65"/>
      <c r="BB1057" s="65"/>
      <c r="BC1057" s="65"/>
      <c r="BD1057" s="65"/>
      <c r="BE1057" s="65"/>
      <c r="BF1057" s="65"/>
      <c r="BG1057" s="65"/>
      <c r="BH1057" s="65"/>
      <c r="BI1057" s="65"/>
      <c r="BJ1057" s="65"/>
      <c r="BK1057" s="65"/>
      <c r="BL1057" s="65"/>
      <c r="BM1057" s="65"/>
      <c r="BN1057" s="65"/>
      <c r="BO1057" s="65"/>
    </row>
    <row r="1058" spans="1:67" s="58" customFormat="1" x14ac:dyDescent="0.2">
      <c r="A1058" s="49" t="s">
        <v>67</v>
      </c>
      <c r="B1058" s="50">
        <v>43207</v>
      </c>
      <c r="C1058" s="51">
        <v>0.8125</v>
      </c>
      <c r="D1058" s="49" t="s">
        <v>141</v>
      </c>
      <c r="E1058" s="49"/>
      <c r="F1058" s="52">
        <v>57.5</v>
      </c>
      <c r="G1058" s="53">
        <v>2</v>
      </c>
      <c r="H1058" s="54">
        <v>3.4782608695652174E-2</v>
      </c>
      <c r="I1058" s="55">
        <v>6.83E-2</v>
      </c>
      <c r="J1058" s="53">
        <v>314.15899999999999</v>
      </c>
      <c r="K1058" s="53">
        <v>0.47809999999999997</v>
      </c>
      <c r="L1058" s="53">
        <v>7</v>
      </c>
      <c r="M1058" s="56">
        <v>328.54946663877848</v>
      </c>
      <c r="N1058" s="53">
        <v>1037</v>
      </c>
      <c r="O1058" s="57" t="s">
        <v>86</v>
      </c>
      <c r="P1058" s="57" t="s">
        <v>82</v>
      </c>
      <c r="Q1058" s="53" t="s">
        <v>87</v>
      </c>
      <c r="R1058" s="53" t="s">
        <v>84</v>
      </c>
      <c r="S1058" s="53"/>
      <c r="T1058" s="59">
        <v>4</v>
      </c>
      <c r="U1058" s="59">
        <v>4</v>
      </c>
      <c r="V1058" s="53">
        <v>3.7</v>
      </c>
      <c r="W1058" s="53"/>
      <c r="X1058" s="53"/>
      <c r="Y1058" s="9">
        <f t="shared" si="16"/>
        <v>1314.1978665551139</v>
      </c>
      <c r="Z1058" s="60" t="s">
        <v>73</v>
      </c>
      <c r="AA1058" s="58" t="s">
        <v>365</v>
      </c>
      <c r="AB1058" s="58" t="s">
        <v>75</v>
      </c>
      <c r="AC1058" s="61" t="s">
        <v>366</v>
      </c>
      <c r="AD1058" s="53" t="s">
        <v>85</v>
      </c>
      <c r="AE1058" s="56">
        <v>11.494030613333329</v>
      </c>
      <c r="AF1058" s="62"/>
      <c r="AG1058" s="63"/>
      <c r="AH1058" s="61"/>
      <c r="AO1058" s="64" t="s">
        <v>78</v>
      </c>
      <c r="AP1058" s="65">
        <v>2.8</v>
      </c>
      <c r="AQ1058" s="65">
        <v>2.8</v>
      </c>
      <c r="AR1058" s="65">
        <v>1.9</v>
      </c>
      <c r="AS1058" s="65">
        <v>2.8</v>
      </c>
      <c r="AT1058" s="65">
        <v>3.7</v>
      </c>
      <c r="AU1058" s="65"/>
      <c r="AV1058" s="65"/>
      <c r="AW1058" s="65"/>
      <c r="AX1058" s="65"/>
      <c r="AY1058" s="65"/>
      <c r="AZ1058" s="65"/>
      <c r="BA1058" s="65"/>
      <c r="BB1058" s="65"/>
      <c r="BC1058" s="65"/>
      <c r="BD1058" s="65"/>
      <c r="BE1058" s="65"/>
      <c r="BF1058" s="65"/>
      <c r="BG1058" s="65"/>
      <c r="BH1058" s="65"/>
      <c r="BI1058" s="65"/>
      <c r="BJ1058" s="65"/>
      <c r="BK1058" s="65"/>
      <c r="BL1058" s="65"/>
      <c r="BM1058" s="65"/>
      <c r="BN1058" s="65"/>
      <c r="BO1058" s="65"/>
    </row>
    <row r="1059" spans="1:67" s="58" customFormat="1" x14ac:dyDescent="0.2">
      <c r="A1059" s="49" t="s">
        <v>67</v>
      </c>
      <c r="B1059" s="50">
        <v>43207</v>
      </c>
      <c r="C1059" s="51">
        <v>0.8125</v>
      </c>
      <c r="D1059" s="49" t="s">
        <v>141</v>
      </c>
      <c r="E1059" s="49"/>
      <c r="F1059" s="52">
        <v>57.5</v>
      </c>
      <c r="G1059" s="53">
        <v>2</v>
      </c>
      <c r="H1059" s="54">
        <v>3.4782608695652174E-2</v>
      </c>
      <c r="I1059" s="55">
        <v>6.83E-2</v>
      </c>
      <c r="J1059" s="53">
        <v>314.15899999999999</v>
      </c>
      <c r="K1059" s="53">
        <v>0.47809999999999997</v>
      </c>
      <c r="L1059" s="53">
        <v>7</v>
      </c>
      <c r="M1059" s="56">
        <v>328.54946663877848</v>
      </c>
      <c r="N1059" s="53">
        <v>1419</v>
      </c>
      <c r="O1059" s="57" t="s">
        <v>94</v>
      </c>
      <c r="P1059" s="57" t="s">
        <v>82</v>
      </c>
      <c r="Q1059" s="53" t="s">
        <v>95</v>
      </c>
      <c r="R1059" s="53" t="s">
        <v>96</v>
      </c>
      <c r="S1059" s="53"/>
      <c r="T1059" s="59">
        <v>433</v>
      </c>
      <c r="U1059" s="59">
        <v>873</v>
      </c>
      <c r="V1059" s="53">
        <v>0.8</v>
      </c>
      <c r="W1059" s="53">
        <v>0.8</v>
      </c>
      <c r="X1059" s="53">
        <v>0.8</v>
      </c>
      <c r="Y1059" s="9">
        <f t="shared" si="16"/>
        <v>142261.9190545911</v>
      </c>
      <c r="Z1059" s="60" t="s">
        <v>97</v>
      </c>
      <c r="AA1059" s="58" t="s">
        <v>365</v>
      </c>
      <c r="AB1059" s="58" t="s">
        <v>75</v>
      </c>
      <c r="AC1059" s="61" t="s">
        <v>366</v>
      </c>
      <c r="AD1059" s="53" t="s">
        <v>85</v>
      </c>
      <c r="AE1059" s="56">
        <v>0.18</v>
      </c>
      <c r="AF1059" s="56">
        <v>0.18</v>
      </c>
      <c r="AG1059" s="56">
        <v>0.18</v>
      </c>
      <c r="AH1059" s="56">
        <v>0.18</v>
      </c>
      <c r="AI1059" s="56">
        <v>0.18</v>
      </c>
      <c r="AJ1059" s="56">
        <v>0.18</v>
      </c>
      <c r="AK1059" s="56">
        <v>0.18</v>
      </c>
      <c r="AL1059" s="56">
        <v>0.18</v>
      </c>
      <c r="AM1059" s="56">
        <v>0.18</v>
      </c>
      <c r="AN1059" s="56">
        <v>0.18</v>
      </c>
      <c r="AO1059" s="66" t="s">
        <v>78</v>
      </c>
      <c r="AP1059" s="65">
        <v>0.75200000000000033</v>
      </c>
      <c r="AQ1059" s="65">
        <v>0.7</v>
      </c>
      <c r="AR1059" s="65">
        <v>0.7</v>
      </c>
      <c r="AS1059" s="65">
        <v>0.7</v>
      </c>
      <c r="AT1059" s="65">
        <v>0.7</v>
      </c>
      <c r="AU1059" s="65">
        <v>0.7</v>
      </c>
      <c r="AV1059" s="65">
        <v>0.7</v>
      </c>
      <c r="AW1059" s="65">
        <v>0.7</v>
      </c>
      <c r="AX1059" s="65">
        <v>0.7</v>
      </c>
      <c r="AY1059" s="65">
        <v>0.7</v>
      </c>
      <c r="AZ1059" s="65">
        <v>0.7</v>
      </c>
      <c r="BA1059" s="65">
        <v>0.7</v>
      </c>
      <c r="BB1059" s="65">
        <v>0.7</v>
      </c>
      <c r="BC1059" s="65">
        <v>0.8</v>
      </c>
      <c r="BD1059" s="65">
        <v>0.8</v>
      </c>
      <c r="BE1059" s="65">
        <v>0.8</v>
      </c>
      <c r="BF1059" s="65">
        <v>0.8</v>
      </c>
      <c r="BG1059" s="65">
        <v>0.8</v>
      </c>
      <c r="BH1059" s="65">
        <v>0.8</v>
      </c>
      <c r="BI1059" s="65">
        <v>0.8</v>
      </c>
      <c r="BJ1059" s="65">
        <v>0.8</v>
      </c>
      <c r="BK1059" s="65">
        <v>0.8</v>
      </c>
      <c r="BL1059" s="65">
        <v>0.8</v>
      </c>
      <c r="BM1059" s="65">
        <v>0.8</v>
      </c>
      <c r="BN1059" s="65">
        <v>0.8</v>
      </c>
      <c r="BO1059" s="65">
        <v>0.8</v>
      </c>
    </row>
    <row r="1060" spans="1:67" s="58" customFormat="1" x14ac:dyDescent="0.2">
      <c r="A1060" s="49" t="s">
        <v>67</v>
      </c>
      <c r="B1060" s="50">
        <v>43172</v>
      </c>
      <c r="C1060" s="51">
        <v>0.60763888888888895</v>
      </c>
      <c r="D1060" s="49" t="s">
        <v>226</v>
      </c>
      <c r="E1060" s="49">
        <v>3</v>
      </c>
      <c r="F1060" s="52">
        <v>57.5</v>
      </c>
      <c r="G1060" s="53">
        <v>4</v>
      </c>
      <c r="H1060" s="54">
        <v>6.9565217391304349E-2</v>
      </c>
      <c r="I1060" s="55">
        <v>6.83E-2</v>
      </c>
      <c r="J1060" s="53">
        <v>314.15899999999999</v>
      </c>
      <c r="K1060" s="53">
        <v>0.34150000000000003</v>
      </c>
      <c r="L1060" s="53">
        <v>5</v>
      </c>
      <c r="M1060" s="56">
        <v>229.98462664714492</v>
      </c>
      <c r="N1060" s="53">
        <v>145</v>
      </c>
      <c r="O1060" s="57" t="s">
        <v>69</v>
      </c>
      <c r="P1060" s="58" t="s">
        <v>70</v>
      </c>
      <c r="Q1060" s="53" t="s">
        <v>71</v>
      </c>
      <c r="R1060" s="53" t="s">
        <v>72</v>
      </c>
      <c r="S1060" s="53"/>
      <c r="T1060" s="59">
        <v>2</v>
      </c>
      <c r="U1060" s="59">
        <v>2</v>
      </c>
      <c r="V1060" s="53">
        <v>20.399999999999999</v>
      </c>
      <c r="W1060" s="53"/>
      <c r="X1060" s="53"/>
      <c r="Y1060" s="9">
        <f t="shared" si="16"/>
        <v>459.96925329428984</v>
      </c>
      <c r="Z1060" s="60" t="s">
        <v>73</v>
      </c>
      <c r="AA1060" s="58" t="s">
        <v>371</v>
      </c>
      <c r="AB1060" s="58" t="s">
        <v>75</v>
      </c>
      <c r="AC1060" s="61" t="s">
        <v>76</v>
      </c>
      <c r="AD1060" s="53" t="s">
        <v>77</v>
      </c>
      <c r="AE1060" s="56">
        <v>657.33058364999999</v>
      </c>
      <c r="AF1060" s="62"/>
      <c r="AG1060" s="63"/>
      <c r="AH1060" s="61"/>
      <c r="AO1060" s="64" t="s">
        <v>78</v>
      </c>
      <c r="AP1060" s="65">
        <v>19.45</v>
      </c>
      <c r="AQ1060" s="65">
        <v>18.5</v>
      </c>
      <c r="AR1060" s="65">
        <v>20.399999999999999</v>
      </c>
      <c r="AS1060" s="65"/>
      <c r="AT1060" s="65"/>
      <c r="AU1060" s="65"/>
      <c r="AV1060" s="65"/>
      <c r="AW1060" s="65"/>
      <c r="AX1060" s="65"/>
      <c r="AY1060" s="65"/>
      <c r="AZ1060" s="65"/>
      <c r="BA1060" s="65"/>
      <c r="BB1060" s="65"/>
      <c r="BC1060" s="65"/>
      <c r="BD1060" s="65"/>
      <c r="BE1060" s="65"/>
      <c r="BF1060" s="65"/>
      <c r="BG1060" s="65"/>
      <c r="BH1060" s="65"/>
      <c r="BI1060" s="65"/>
      <c r="BJ1060" s="65"/>
      <c r="BK1060" s="65"/>
      <c r="BL1060" s="65"/>
      <c r="BM1060" s="65"/>
      <c r="BN1060" s="65"/>
      <c r="BO1060" s="65"/>
    </row>
    <row r="1061" spans="1:67" s="58" customFormat="1" x14ac:dyDescent="0.2">
      <c r="A1061" s="49"/>
      <c r="B1061" s="50"/>
      <c r="C1061" s="51"/>
      <c r="D1061" s="49"/>
      <c r="E1061" s="49"/>
      <c r="F1061" s="52"/>
      <c r="G1061" s="53"/>
      <c r="H1061" s="54"/>
      <c r="I1061" s="55"/>
      <c r="J1061" s="53"/>
      <c r="K1061" s="53"/>
      <c r="L1061" s="53"/>
      <c r="M1061" s="56"/>
      <c r="N1061" s="53"/>
      <c r="O1061" s="57"/>
      <c r="Q1061" s="53"/>
      <c r="R1061" s="53"/>
      <c r="S1061" s="53"/>
      <c r="T1061" s="59"/>
      <c r="U1061" s="59"/>
      <c r="V1061" s="53"/>
      <c r="W1061" s="53"/>
      <c r="X1061" s="53"/>
      <c r="Y1061" s="9" t="e">
        <f t="shared" si="16"/>
        <v>#DIV/0!</v>
      </c>
      <c r="Z1061" s="60"/>
      <c r="AC1061" s="61"/>
      <c r="AD1061" s="53"/>
      <c r="AE1061" s="56"/>
      <c r="AF1061" s="62"/>
      <c r="AG1061" s="63"/>
      <c r="AH1061" s="61"/>
      <c r="AO1061" s="64" t="s">
        <v>79</v>
      </c>
      <c r="AP1061" s="65">
        <v>11.6</v>
      </c>
      <c r="AQ1061" s="65">
        <v>10.199999999999999</v>
      </c>
      <c r="AR1061" s="65">
        <v>13</v>
      </c>
      <c r="AS1061" s="65"/>
      <c r="AT1061" s="65"/>
      <c r="AU1061" s="65"/>
      <c r="AV1061" s="65"/>
      <c r="AW1061" s="65"/>
      <c r="AX1061" s="65"/>
      <c r="AY1061" s="65"/>
      <c r="AZ1061" s="65"/>
      <c r="BA1061" s="65"/>
      <c r="BB1061" s="65"/>
      <c r="BC1061" s="65"/>
      <c r="BD1061" s="65"/>
      <c r="BE1061" s="65"/>
      <c r="BF1061" s="65"/>
      <c r="BG1061" s="65"/>
      <c r="BH1061" s="65"/>
      <c r="BI1061" s="65"/>
      <c r="BJ1061" s="65"/>
      <c r="BK1061" s="65"/>
      <c r="BL1061" s="65"/>
      <c r="BM1061" s="65"/>
      <c r="BN1061" s="65"/>
      <c r="BO1061" s="65"/>
    </row>
    <row r="1062" spans="1:67" s="58" customFormat="1" x14ac:dyDescent="0.2">
      <c r="A1062" s="49"/>
      <c r="B1062" s="50"/>
      <c r="C1062" s="51"/>
      <c r="D1062" s="49"/>
      <c r="E1062" s="49"/>
      <c r="F1062" s="52"/>
      <c r="G1062" s="53"/>
      <c r="H1062" s="54"/>
      <c r="I1062" s="55"/>
      <c r="J1062" s="53"/>
      <c r="K1062" s="53"/>
      <c r="L1062" s="53"/>
      <c r="M1062" s="56"/>
      <c r="N1062" s="53"/>
      <c r="O1062" s="57"/>
      <c r="Q1062" s="53"/>
      <c r="R1062" s="53"/>
      <c r="S1062" s="53"/>
      <c r="T1062" s="59"/>
      <c r="U1062" s="59"/>
      <c r="V1062" s="53"/>
      <c r="W1062" s="53"/>
      <c r="X1062" s="53"/>
      <c r="Y1062" s="9" t="e">
        <f t="shared" si="16"/>
        <v>#DIV/0!</v>
      </c>
      <c r="Z1062" s="60"/>
      <c r="AC1062" s="61"/>
      <c r="AD1062" s="53"/>
      <c r="AE1062" s="56"/>
      <c r="AF1062" s="62"/>
      <c r="AG1062" s="63"/>
      <c r="AH1062" s="61"/>
      <c r="AO1062" s="64" t="s">
        <v>80</v>
      </c>
      <c r="AP1062" s="65">
        <v>3.7</v>
      </c>
      <c r="AQ1062" s="65">
        <v>3.7</v>
      </c>
      <c r="AR1062" s="65">
        <v>3.7</v>
      </c>
      <c r="AS1062" s="65"/>
      <c r="AT1062" s="65"/>
      <c r="AU1062" s="65"/>
      <c r="AV1062" s="65"/>
      <c r="AW1062" s="65"/>
      <c r="AX1062" s="65"/>
      <c r="AY1062" s="65"/>
      <c r="AZ1062" s="65"/>
      <c r="BA1062" s="65"/>
      <c r="BB1062" s="65"/>
      <c r="BC1062" s="65"/>
      <c r="BD1062" s="65"/>
      <c r="BE1062" s="65"/>
      <c r="BF1062" s="65"/>
      <c r="BG1062" s="65"/>
      <c r="BH1062" s="65"/>
      <c r="BI1062" s="65"/>
      <c r="BJ1062" s="65"/>
      <c r="BK1062" s="65"/>
      <c r="BL1062" s="65"/>
      <c r="BM1062" s="65"/>
      <c r="BN1062" s="65"/>
      <c r="BO1062" s="65"/>
    </row>
    <row r="1063" spans="1:67" s="58" customFormat="1" x14ac:dyDescent="0.2">
      <c r="A1063" s="49" t="s">
        <v>67</v>
      </c>
      <c r="B1063" s="50">
        <v>43172</v>
      </c>
      <c r="C1063" s="51">
        <v>0.60763888888888895</v>
      </c>
      <c r="D1063" s="49" t="s">
        <v>226</v>
      </c>
      <c r="E1063" s="49">
        <v>3</v>
      </c>
      <c r="F1063" s="52">
        <v>57.5</v>
      </c>
      <c r="G1063" s="53">
        <v>4</v>
      </c>
      <c r="H1063" s="54">
        <v>6.9565217391304349E-2</v>
      </c>
      <c r="I1063" s="55">
        <v>6.83E-2</v>
      </c>
      <c r="J1063" s="53">
        <v>314.15899999999999</v>
      </c>
      <c r="K1063" s="53">
        <v>0.34150000000000003</v>
      </c>
      <c r="L1063" s="53">
        <v>5</v>
      </c>
      <c r="M1063" s="56">
        <v>229.98462664714492</v>
      </c>
      <c r="N1063" s="53">
        <v>190</v>
      </c>
      <c r="O1063" s="57" t="s">
        <v>102</v>
      </c>
      <c r="P1063" s="58" t="s">
        <v>70</v>
      </c>
      <c r="Q1063" s="53" t="s">
        <v>103</v>
      </c>
      <c r="R1063" s="53" t="s">
        <v>84</v>
      </c>
      <c r="S1063" s="53"/>
      <c r="T1063" s="59">
        <v>2</v>
      </c>
      <c r="U1063" s="59">
        <v>2</v>
      </c>
      <c r="V1063" s="53">
        <v>5.6</v>
      </c>
      <c r="W1063" s="53"/>
      <c r="X1063" s="53"/>
      <c r="Y1063" s="9">
        <f t="shared" si="16"/>
        <v>459.96925329428984</v>
      </c>
      <c r="Z1063" s="60" t="s">
        <v>73</v>
      </c>
      <c r="AA1063" s="58" t="s">
        <v>371</v>
      </c>
      <c r="AB1063" s="58" t="s">
        <v>75</v>
      </c>
      <c r="AC1063" s="61" t="s">
        <v>76</v>
      </c>
      <c r="AD1063" s="53" t="s">
        <v>104</v>
      </c>
      <c r="AE1063" s="56">
        <v>64.192893867500004</v>
      </c>
      <c r="AF1063" s="62"/>
      <c r="AG1063" s="63"/>
      <c r="AH1063" s="61"/>
      <c r="AO1063" s="64" t="s">
        <v>78</v>
      </c>
      <c r="AP1063" s="65">
        <v>3.7</v>
      </c>
      <c r="AQ1063" s="65">
        <v>3.7</v>
      </c>
      <c r="AR1063" s="65">
        <v>3.7</v>
      </c>
      <c r="AS1063" s="65"/>
      <c r="AT1063" s="65"/>
      <c r="AU1063" s="65"/>
      <c r="AV1063" s="65"/>
      <c r="AW1063" s="65"/>
      <c r="AX1063" s="65"/>
      <c r="AY1063" s="65"/>
      <c r="AZ1063" s="65"/>
      <c r="BA1063" s="65"/>
      <c r="BB1063" s="65"/>
      <c r="BC1063" s="65"/>
      <c r="BD1063" s="65"/>
      <c r="BE1063" s="65"/>
      <c r="BF1063" s="65"/>
      <c r="BG1063" s="65"/>
      <c r="BH1063" s="65"/>
      <c r="BI1063" s="65"/>
      <c r="BJ1063" s="65"/>
      <c r="BK1063" s="65"/>
      <c r="BL1063" s="65"/>
      <c r="BM1063" s="65"/>
      <c r="BN1063" s="65"/>
      <c r="BO1063" s="65"/>
    </row>
    <row r="1064" spans="1:67" s="58" customFormat="1" x14ac:dyDescent="0.2">
      <c r="A1064" s="49"/>
      <c r="B1064" s="50"/>
      <c r="C1064" s="51"/>
      <c r="D1064" s="49"/>
      <c r="E1064" s="49"/>
      <c r="F1064" s="52"/>
      <c r="G1064" s="53"/>
      <c r="H1064" s="54"/>
      <c r="I1064" s="55"/>
      <c r="J1064" s="53"/>
      <c r="K1064" s="53"/>
      <c r="L1064" s="53"/>
      <c r="M1064" s="56"/>
      <c r="N1064" s="53"/>
      <c r="O1064" s="57"/>
      <c r="Q1064" s="53"/>
      <c r="R1064" s="53"/>
      <c r="S1064" s="53"/>
      <c r="T1064" s="59"/>
      <c r="U1064" s="59"/>
      <c r="V1064" s="53"/>
      <c r="W1064" s="53"/>
      <c r="X1064" s="53"/>
      <c r="Y1064" s="9" t="e">
        <f t="shared" si="16"/>
        <v>#DIV/0!</v>
      </c>
      <c r="Z1064" s="60"/>
      <c r="AC1064" s="61"/>
      <c r="AD1064" s="53"/>
      <c r="AE1064" s="56"/>
      <c r="AF1064" s="62"/>
      <c r="AG1064" s="63"/>
      <c r="AH1064" s="61"/>
      <c r="AO1064" s="64" t="s">
        <v>79</v>
      </c>
      <c r="AP1064" s="65">
        <v>4.6500000000000004</v>
      </c>
      <c r="AQ1064" s="65">
        <v>3.7</v>
      </c>
      <c r="AR1064" s="65">
        <v>5.6</v>
      </c>
      <c r="AS1064" s="65"/>
      <c r="AT1064" s="65"/>
      <c r="AU1064" s="65"/>
      <c r="AV1064" s="65"/>
      <c r="AW1064" s="65"/>
      <c r="AX1064" s="65"/>
      <c r="AY1064" s="65"/>
      <c r="AZ1064" s="65"/>
      <c r="BA1064" s="65"/>
      <c r="BB1064" s="65"/>
      <c r="BC1064" s="65"/>
      <c r="BD1064" s="65"/>
      <c r="BE1064" s="65"/>
      <c r="BF1064" s="65"/>
      <c r="BG1064" s="65"/>
      <c r="BH1064" s="65"/>
      <c r="BI1064" s="65"/>
      <c r="BJ1064" s="65"/>
      <c r="BK1064" s="65"/>
      <c r="BL1064" s="65"/>
      <c r="BM1064" s="65"/>
      <c r="BN1064" s="65"/>
      <c r="BO1064" s="65"/>
    </row>
    <row r="1065" spans="1:67" s="58" customFormat="1" x14ac:dyDescent="0.2">
      <c r="A1065" s="49" t="s">
        <v>67</v>
      </c>
      <c r="B1065" s="50">
        <v>43172</v>
      </c>
      <c r="C1065" s="51">
        <v>0.60763888888888895</v>
      </c>
      <c r="D1065" s="49" t="s">
        <v>226</v>
      </c>
      <c r="E1065" s="49">
        <v>3</v>
      </c>
      <c r="F1065" s="52">
        <v>57.5</v>
      </c>
      <c r="G1065" s="53">
        <v>4</v>
      </c>
      <c r="H1065" s="54">
        <v>6.9565217391304349E-2</v>
      </c>
      <c r="I1065" s="55">
        <v>6.83E-2</v>
      </c>
      <c r="J1065" s="53">
        <v>314.15899999999999</v>
      </c>
      <c r="K1065" s="53">
        <v>0.34150000000000003</v>
      </c>
      <c r="L1065" s="53">
        <v>5</v>
      </c>
      <c r="M1065" s="56">
        <v>229.98462664714492</v>
      </c>
      <c r="N1065" s="53">
        <v>1037</v>
      </c>
      <c r="O1065" s="57" t="s">
        <v>86</v>
      </c>
      <c r="P1065" s="57" t="s">
        <v>82</v>
      </c>
      <c r="Q1065" s="53" t="s">
        <v>87</v>
      </c>
      <c r="R1065" s="53" t="s">
        <v>84</v>
      </c>
      <c r="S1065" s="53"/>
      <c r="T1065" s="59">
        <v>3</v>
      </c>
      <c r="U1065" s="59">
        <v>3</v>
      </c>
      <c r="V1065" s="53">
        <v>4.5999999999999996</v>
      </c>
      <c r="W1065" s="53"/>
      <c r="X1065" s="53"/>
      <c r="Y1065" s="9">
        <f t="shared" si="16"/>
        <v>689.95387994143482</v>
      </c>
      <c r="Z1065" s="60" t="s">
        <v>73</v>
      </c>
      <c r="AA1065" s="58" t="s">
        <v>371</v>
      </c>
      <c r="AB1065" s="58" t="s">
        <v>75</v>
      </c>
      <c r="AC1065" s="61" t="s">
        <v>76</v>
      </c>
      <c r="AD1065" s="53" t="s">
        <v>85</v>
      </c>
      <c r="AE1065" s="56">
        <v>33.51029333333333</v>
      </c>
      <c r="AF1065" s="62"/>
      <c r="AG1065" s="63"/>
      <c r="AH1065" s="61"/>
      <c r="AO1065" s="64" t="s">
        <v>78</v>
      </c>
      <c r="AP1065" s="65">
        <v>4</v>
      </c>
      <c r="AQ1065" s="65">
        <v>2.8</v>
      </c>
      <c r="AR1065" s="65">
        <v>4.5999999999999996</v>
      </c>
      <c r="AS1065" s="65">
        <v>4.5999999999999996</v>
      </c>
      <c r="AT1065" s="65"/>
      <c r="AU1065" s="65"/>
      <c r="AV1065" s="65"/>
      <c r="AW1065" s="65"/>
      <c r="AX1065" s="65"/>
      <c r="AY1065" s="65"/>
      <c r="AZ1065" s="65"/>
      <c r="BA1065" s="65"/>
      <c r="BB1065" s="65"/>
      <c r="BC1065" s="65"/>
      <c r="BD1065" s="65"/>
      <c r="BE1065" s="65"/>
      <c r="BF1065" s="65"/>
      <c r="BG1065" s="65"/>
      <c r="BH1065" s="65"/>
      <c r="BI1065" s="65"/>
      <c r="BJ1065" s="65"/>
      <c r="BK1065" s="65"/>
      <c r="BL1065" s="65"/>
      <c r="BM1065" s="65"/>
      <c r="BN1065" s="65"/>
      <c r="BO1065" s="65"/>
    </row>
    <row r="1066" spans="1:67" s="58" customFormat="1" x14ac:dyDescent="0.2">
      <c r="A1066" s="49" t="s">
        <v>67</v>
      </c>
      <c r="B1066" s="50">
        <v>43172</v>
      </c>
      <c r="C1066" s="51">
        <v>0.60763888888888895</v>
      </c>
      <c r="D1066" s="49" t="s">
        <v>226</v>
      </c>
      <c r="E1066" s="49">
        <v>3</v>
      </c>
      <c r="F1066" s="52">
        <v>57.5</v>
      </c>
      <c r="G1066" s="53">
        <v>4</v>
      </c>
      <c r="H1066" s="54">
        <v>6.9565217391304349E-2</v>
      </c>
      <c r="I1066" s="55">
        <v>6.83E-2</v>
      </c>
      <c r="J1066" s="53">
        <v>314.15899999999999</v>
      </c>
      <c r="K1066" s="53">
        <v>0.34150000000000003</v>
      </c>
      <c r="L1066" s="53">
        <v>5</v>
      </c>
      <c r="M1066" s="56">
        <v>229.98462664714492</v>
      </c>
      <c r="N1066" s="53">
        <v>1365</v>
      </c>
      <c r="O1066" s="58" t="s">
        <v>121</v>
      </c>
      <c r="P1066" s="57" t="s">
        <v>82</v>
      </c>
      <c r="Q1066" s="53" t="s">
        <v>122</v>
      </c>
      <c r="R1066" s="53" t="s">
        <v>123</v>
      </c>
      <c r="S1066" s="53"/>
      <c r="T1066" s="59">
        <v>1</v>
      </c>
      <c r="U1066" s="59">
        <v>1</v>
      </c>
      <c r="V1066" s="53">
        <v>13</v>
      </c>
      <c r="W1066" s="53"/>
      <c r="X1066" s="53"/>
      <c r="Y1066" s="9">
        <f t="shared" si="16"/>
        <v>229.98462664714492</v>
      </c>
      <c r="Z1066" s="60" t="s">
        <v>73</v>
      </c>
      <c r="AA1066" s="58" t="s">
        <v>371</v>
      </c>
      <c r="AB1066" s="58" t="s">
        <v>75</v>
      </c>
      <c r="AC1066" s="61" t="s">
        <v>76</v>
      </c>
      <c r="AD1066" s="53" t="s">
        <v>91</v>
      </c>
      <c r="AE1066" s="56">
        <v>902.57880699999998</v>
      </c>
      <c r="AF1066" s="62"/>
      <c r="AG1066" s="63"/>
      <c r="AH1066" s="61"/>
      <c r="AO1066" s="64" t="s">
        <v>78</v>
      </c>
      <c r="AP1066" s="65">
        <v>13</v>
      </c>
      <c r="AQ1066" s="65">
        <v>13</v>
      </c>
      <c r="AR1066" s="65"/>
      <c r="AS1066" s="65"/>
      <c r="AT1066" s="65"/>
      <c r="AU1066" s="65"/>
      <c r="AV1066" s="65"/>
      <c r="AW1066" s="65"/>
      <c r="AX1066" s="65"/>
      <c r="AY1066" s="65"/>
      <c r="AZ1066" s="65"/>
      <c r="BA1066" s="65"/>
      <c r="BB1066" s="65"/>
      <c r="BC1066" s="65"/>
      <c r="BD1066" s="65"/>
      <c r="BE1066" s="65"/>
      <c r="BF1066" s="65"/>
      <c r="BG1066" s="65"/>
      <c r="BH1066" s="65"/>
      <c r="BI1066" s="65"/>
      <c r="BJ1066" s="65"/>
      <c r="BK1066" s="65"/>
      <c r="BL1066" s="65"/>
      <c r="BM1066" s="65"/>
      <c r="BN1066" s="65"/>
      <c r="BO1066" s="65"/>
    </row>
    <row r="1067" spans="1:67" s="58" customFormat="1" x14ac:dyDescent="0.2">
      <c r="A1067" s="49"/>
      <c r="B1067" s="50"/>
      <c r="C1067" s="51"/>
      <c r="D1067" s="49"/>
      <c r="E1067" s="49"/>
      <c r="F1067" s="52"/>
      <c r="G1067" s="53"/>
      <c r="H1067" s="54"/>
      <c r="I1067" s="55"/>
      <c r="J1067" s="53"/>
      <c r="K1067" s="53"/>
      <c r="L1067" s="53"/>
      <c r="M1067" s="56"/>
      <c r="N1067" s="53"/>
      <c r="P1067" s="57"/>
      <c r="Q1067" s="53"/>
      <c r="R1067" s="53"/>
      <c r="S1067" s="53"/>
      <c r="T1067" s="59"/>
      <c r="U1067" s="59"/>
      <c r="V1067" s="53"/>
      <c r="W1067" s="53"/>
      <c r="X1067" s="53"/>
      <c r="Y1067" s="9" t="e">
        <f t="shared" si="16"/>
        <v>#DIV/0!</v>
      </c>
      <c r="Z1067" s="60"/>
      <c r="AC1067" s="61"/>
      <c r="AD1067" s="53"/>
      <c r="AE1067" s="56"/>
      <c r="AF1067" s="62"/>
      <c r="AG1067" s="63"/>
      <c r="AH1067" s="61"/>
      <c r="AO1067" s="64" t="s">
        <v>79</v>
      </c>
      <c r="AP1067" s="65">
        <v>7.4</v>
      </c>
      <c r="AQ1067" s="65">
        <v>7.4</v>
      </c>
      <c r="AR1067" s="65"/>
      <c r="AS1067" s="65"/>
      <c r="AT1067" s="65"/>
      <c r="AU1067" s="65"/>
      <c r="AV1067" s="65"/>
      <c r="AW1067" s="65"/>
      <c r="AX1067" s="65"/>
      <c r="AY1067" s="65"/>
      <c r="AZ1067" s="65"/>
      <c r="BA1067" s="65"/>
      <c r="BB1067" s="65"/>
      <c r="BC1067" s="65"/>
      <c r="BD1067" s="65"/>
      <c r="BE1067" s="65"/>
      <c r="BF1067" s="65"/>
      <c r="BG1067" s="65"/>
      <c r="BH1067" s="65"/>
      <c r="BI1067" s="65"/>
      <c r="BJ1067" s="65"/>
      <c r="BK1067" s="65"/>
      <c r="BL1067" s="65"/>
      <c r="BM1067" s="65"/>
      <c r="BN1067" s="65"/>
      <c r="BO1067" s="65"/>
    </row>
    <row r="1068" spans="1:67" s="58" customFormat="1" x14ac:dyDescent="0.2">
      <c r="A1068" s="49" t="s">
        <v>67</v>
      </c>
      <c r="B1068" s="50">
        <v>43172</v>
      </c>
      <c r="C1068" s="51">
        <v>0.60763888888888895</v>
      </c>
      <c r="D1068" s="49" t="s">
        <v>226</v>
      </c>
      <c r="E1068" s="49">
        <v>3</v>
      </c>
      <c r="F1068" s="52">
        <v>57.5</v>
      </c>
      <c r="G1068" s="53">
        <v>4</v>
      </c>
      <c r="H1068" s="54">
        <v>6.9565217391304349E-2</v>
      </c>
      <c r="I1068" s="55">
        <v>6.83E-2</v>
      </c>
      <c r="J1068" s="53">
        <v>314.15899999999999</v>
      </c>
      <c r="K1068" s="53">
        <v>0.34150000000000003</v>
      </c>
      <c r="L1068" s="53">
        <v>5</v>
      </c>
      <c r="M1068" s="56">
        <v>229.98462664714492</v>
      </c>
      <c r="N1068" s="53">
        <v>1419</v>
      </c>
      <c r="O1068" s="57" t="s">
        <v>94</v>
      </c>
      <c r="P1068" s="57" t="s">
        <v>82</v>
      </c>
      <c r="Q1068" s="53" t="s">
        <v>95</v>
      </c>
      <c r="R1068" s="53" t="s">
        <v>96</v>
      </c>
      <c r="S1068" s="53"/>
      <c r="T1068" s="59">
        <v>409</v>
      </c>
      <c r="U1068" s="59">
        <v>824</v>
      </c>
      <c r="V1068" s="53">
        <v>0.8</v>
      </c>
      <c r="W1068" s="53">
        <v>0.8</v>
      </c>
      <c r="X1068" s="53">
        <v>0.8</v>
      </c>
      <c r="Y1068" s="9">
        <f t="shared" si="16"/>
        <v>94063.71229868228</v>
      </c>
      <c r="Z1068" s="60" t="s">
        <v>97</v>
      </c>
      <c r="AA1068" s="58" t="s">
        <v>371</v>
      </c>
      <c r="AB1068" s="58" t="s">
        <v>75</v>
      </c>
      <c r="AC1068" s="61" t="s">
        <v>76</v>
      </c>
      <c r="AD1068" s="53" t="s">
        <v>85</v>
      </c>
      <c r="AE1068" s="56">
        <v>0.18</v>
      </c>
      <c r="AF1068" s="56">
        <v>0.18</v>
      </c>
      <c r="AG1068" s="56">
        <v>0.18</v>
      </c>
      <c r="AH1068" s="56">
        <v>0.18</v>
      </c>
      <c r="AI1068" s="56">
        <v>0.18</v>
      </c>
      <c r="AJ1068" s="56">
        <v>0.18</v>
      </c>
      <c r="AK1068" s="56">
        <v>0.18</v>
      </c>
      <c r="AL1068" s="56">
        <v>0.18</v>
      </c>
      <c r="AM1068" s="56">
        <v>0.18</v>
      </c>
      <c r="AN1068" s="56">
        <v>0.18</v>
      </c>
      <c r="AO1068" s="66" t="s">
        <v>78</v>
      </c>
      <c r="AP1068" s="65">
        <v>0.75200000000000033</v>
      </c>
      <c r="AQ1068" s="65">
        <v>0.7</v>
      </c>
      <c r="AR1068" s="65">
        <v>0.7</v>
      </c>
      <c r="AS1068" s="65">
        <v>0.7</v>
      </c>
      <c r="AT1068" s="65">
        <v>0.7</v>
      </c>
      <c r="AU1068" s="65">
        <v>0.7</v>
      </c>
      <c r="AV1068" s="65">
        <v>0.7</v>
      </c>
      <c r="AW1068" s="65">
        <v>0.7</v>
      </c>
      <c r="AX1068" s="65">
        <v>0.7</v>
      </c>
      <c r="AY1068" s="65">
        <v>0.7</v>
      </c>
      <c r="AZ1068" s="65">
        <v>0.7</v>
      </c>
      <c r="BA1068" s="65">
        <v>0.7</v>
      </c>
      <c r="BB1068" s="65">
        <v>0.7</v>
      </c>
      <c r="BC1068" s="65">
        <v>0.8</v>
      </c>
      <c r="BD1068" s="65">
        <v>0.8</v>
      </c>
      <c r="BE1068" s="65">
        <v>0.8</v>
      </c>
      <c r="BF1068" s="65">
        <v>0.8</v>
      </c>
      <c r="BG1068" s="65">
        <v>0.8</v>
      </c>
      <c r="BH1068" s="65">
        <v>0.8</v>
      </c>
      <c r="BI1068" s="65">
        <v>0.8</v>
      </c>
      <c r="BJ1068" s="65">
        <v>0.8</v>
      </c>
      <c r="BK1068" s="65">
        <v>0.8</v>
      </c>
      <c r="BL1068" s="65">
        <v>0.8</v>
      </c>
      <c r="BM1068" s="65">
        <v>0.8</v>
      </c>
      <c r="BN1068" s="65">
        <v>0.8</v>
      </c>
      <c r="BO1068" s="65">
        <v>0.8</v>
      </c>
    </row>
    <row r="1069" spans="1:67" s="58" customFormat="1" x14ac:dyDescent="0.2">
      <c r="A1069" s="49" t="s">
        <v>67</v>
      </c>
      <c r="B1069" s="50">
        <v>43172</v>
      </c>
      <c r="C1069" s="51">
        <v>0.60763888888888895</v>
      </c>
      <c r="D1069" s="49" t="s">
        <v>226</v>
      </c>
      <c r="E1069" s="49">
        <v>3</v>
      </c>
      <c r="F1069" s="52">
        <v>57.5</v>
      </c>
      <c r="G1069" s="53">
        <v>4</v>
      </c>
      <c r="H1069" s="54">
        <v>6.9565217391304349E-2</v>
      </c>
      <c r="I1069" s="55">
        <v>6.83E-2</v>
      </c>
      <c r="J1069" s="53">
        <v>314.15899999999999</v>
      </c>
      <c r="K1069" s="53">
        <v>0.34150000000000003</v>
      </c>
      <c r="L1069" s="53">
        <v>5</v>
      </c>
      <c r="M1069" s="56">
        <v>229.98462664714492</v>
      </c>
      <c r="N1069" s="53">
        <v>1519</v>
      </c>
      <c r="O1069" s="58" t="s">
        <v>301</v>
      </c>
      <c r="P1069" s="57" t="s">
        <v>82</v>
      </c>
      <c r="Q1069" s="53" t="s">
        <v>302</v>
      </c>
      <c r="R1069" s="53" t="s">
        <v>84</v>
      </c>
      <c r="S1069" s="53"/>
      <c r="T1069" s="59">
        <v>1</v>
      </c>
      <c r="U1069" s="59">
        <v>6</v>
      </c>
      <c r="V1069" s="53">
        <v>0.9</v>
      </c>
      <c r="W1069" s="53"/>
      <c r="X1069" s="53"/>
      <c r="Y1069" s="9">
        <f t="shared" si="16"/>
        <v>229.98462664714492</v>
      </c>
      <c r="Z1069" s="60" t="s">
        <v>97</v>
      </c>
      <c r="AA1069" s="58" t="s">
        <v>371</v>
      </c>
      <c r="AB1069" s="58" t="s">
        <v>75</v>
      </c>
      <c r="AC1069" s="61" t="s">
        <v>76</v>
      </c>
      <c r="AD1069" s="53" t="s">
        <v>85</v>
      </c>
      <c r="AE1069" s="56">
        <v>0.381703185</v>
      </c>
      <c r="AF1069" s="62"/>
      <c r="AG1069" s="63"/>
      <c r="AH1069" s="61"/>
      <c r="AO1069" s="64" t="s">
        <v>78</v>
      </c>
      <c r="AP1069" s="65">
        <v>0.9</v>
      </c>
      <c r="AQ1069" s="65">
        <v>0.9</v>
      </c>
      <c r="AR1069" s="65">
        <v>0.9</v>
      </c>
      <c r="AS1069" s="65">
        <v>0.9</v>
      </c>
      <c r="AT1069" s="65">
        <v>0.9</v>
      </c>
      <c r="AU1069" s="65">
        <v>0.9</v>
      </c>
      <c r="AV1069" s="65"/>
      <c r="AW1069" s="65"/>
      <c r="AX1069" s="65"/>
      <c r="AY1069" s="65"/>
      <c r="AZ1069" s="65"/>
      <c r="BA1069" s="65"/>
      <c r="BB1069" s="65"/>
      <c r="BC1069" s="65"/>
      <c r="BD1069" s="65"/>
      <c r="BE1069" s="65"/>
      <c r="BF1069" s="65"/>
      <c r="BG1069" s="65"/>
      <c r="BH1069" s="65"/>
      <c r="BI1069" s="65"/>
      <c r="BJ1069" s="65"/>
      <c r="BK1069" s="65"/>
      <c r="BL1069" s="65"/>
      <c r="BM1069" s="65"/>
      <c r="BN1069" s="65"/>
      <c r="BO1069" s="65"/>
    </row>
    <row r="1070" spans="1:67" s="58" customFormat="1" x14ac:dyDescent="0.2">
      <c r="A1070" s="49" t="s">
        <v>67</v>
      </c>
      <c r="B1070" s="50">
        <v>43172</v>
      </c>
      <c r="C1070" s="51">
        <v>0.69791666666666696</v>
      </c>
      <c r="D1070" s="49" t="s">
        <v>224</v>
      </c>
      <c r="E1070" s="49"/>
      <c r="F1070" s="52">
        <v>57</v>
      </c>
      <c r="G1070" s="53">
        <v>3</v>
      </c>
      <c r="H1070" s="54">
        <v>5.2631578947368418E-2</v>
      </c>
      <c r="I1070" s="55">
        <v>6.83E-2</v>
      </c>
      <c r="J1070" s="53">
        <v>314.15899999999999</v>
      </c>
      <c r="K1070" s="53">
        <v>0.5464</v>
      </c>
      <c r="L1070" s="53">
        <v>8</v>
      </c>
      <c r="M1070" s="56">
        <v>191.65385553928743</v>
      </c>
      <c r="N1070" s="53">
        <v>145</v>
      </c>
      <c r="O1070" s="57" t="s">
        <v>69</v>
      </c>
      <c r="P1070" s="58" t="s">
        <v>70</v>
      </c>
      <c r="Q1070" s="53" t="s">
        <v>71</v>
      </c>
      <c r="R1070" s="53" t="s">
        <v>72</v>
      </c>
      <c r="S1070" s="53"/>
      <c r="T1070" s="59">
        <v>1</v>
      </c>
      <c r="U1070" s="59">
        <v>1</v>
      </c>
      <c r="V1070" s="53">
        <v>22.2</v>
      </c>
      <c r="W1070" s="53"/>
      <c r="X1070" s="53"/>
      <c r="Y1070" s="9">
        <f t="shared" si="16"/>
        <v>191.65385553928746</v>
      </c>
      <c r="Z1070" s="60" t="s">
        <v>73</v>
      </c>
      <c r="AA1070" s="58" t="s">
        <v>372</v>
      </c>
      <c r="AB1070" s="58" t="s">
        <v>75</v>
      </c>
      <c r="AC1070" s="61" t="s">
        <v>76</v>
      </c>
      <c r="AD1070" s="53" t="s">
        <v>77</v>
      </c>
      <c r="AE1070" s="56">
        <v>896.72445403500001</v>
      </c>
      <c r="AF1070" s="62"/>
      <c r="AG1070" s="63"/>
      <c r="AH1070" s="61"/>
      <c r="AO1070" s="64" t="s">
        <v>78</v>
      </c>
      <c r="AP1070" s="65">
        <v>22.2</v>
      </c>
      <c r="AQ1070" s="65">
        <v>22.2</v>
      </c>
      <c r="AR1070" s="65"/>
      <c r="AS1070" s="65"/>
      <c r="AT1070" s="65"/>
      <c r="AU1070" s="65"/>
      <c r="AV1070" s="65"/>
      <c r="AW1070" s="65"/>
      <c r="AX1070" s="65"/>
      <c r="AY1070" s="65"/>
      <c r="AZ1070" s="65"/>
      <c r="BA1070" s="65"/>
      <c r="BB1070" s="65"/>
      <c r="BC1070" s="65"/>
      <c r="BD1070" s="65"/>
      <c r="BE1070" s="65"/>
      <c r="BF1070" s="65"/>
      <c r="BG1070" s="65"/>
      <c r="BH1070" s="65"/>
      <c r="BI1070" s="65"/>
      <c r="BJ1070" s="65"/>
      <c r="BK1070" s="65"/>
      <c r="BL1070" s="65"/>
      <c r="BM1070" s="65"/>
      <c r="BN1070" s="65"/>
      <c r="BO1070" s="65"/>
    </row>
    <row r="1071" spans="1:67" s="58" customFormat="1" x14ac:dyDescent="0.2">
      <c r="A1071" s="49"/>
      <c r="B1071" s="50"/>
      <c r="C1071" s="51"/>
      <c r="D1071" s="49"/>
      <c r="E1071" s="49"/>
      <c r="F1071" s="52"/>
      <c r="G1071" s="53"/>
      <c r="H1071" s="54"/>
      <c r="I1071" s="55"/>
      <c r="J1071" s="53"/>
      <c r="K1071" s="53"/>
      <c r="L1071" s="53"/>
      <c r="M1071" s="56"/>
      <c r="N1071" s="53"/>
      <c r="O1071" s="57"/>
      <c r="Q1071" s="53"/>
      <c r="R1071" s="53"/>
      <c r="S1071" s="53"/>
      <c r="T1071" s="59"/>
      <c r="U1071" s="59"/>
      <c r="V1071" s="53"/>
      <c r="W1071" s="53"/>
      <c r="X1071" s="53"/>
      <c r="Y1071" s="9" t="e">
        <f t="shared" si="16"/>
        <v>#DIV/0!</v>
      </c>
      <c r="Z1071" s="60"/>
      <c r="AC1071" s="61"/>
      <c r="AD1071" s="53"/>
      <c r="AE1071" s="56"/>
      <c r="AF1071" s="62"/>
      <c r="AG1071" s="63"/>
      <c r="AH1071" s="61"/>
      <c r="AO1071" s="64" t="s">
        <v>79</v>
      </c>
      <c r="AP1071" s="65">
        <v>13.9</v>
      </c>
      <c r="AQ1071" s="65">
        <v>13.9</v>
      </c>
      <c r="AR1071" s="65"/>
      <c r="AS1071" s="65"/>
      <c r="AT1071" s="65"/>
      <c r="AU1071" s="65"/>
      <c r="AV1071" s="65"/>
      <c r="AW1071" s="65"/>
      <c r="AX1071" s="65"/>
      <c r="AY1071" s="65"/>
      <c r="AZ1071" s="65"/>
      <c r="BA1071" s="65"/>
      <c r="BB1071" s="65"/>
      <c r="BC1071" s="65"/>
      <c r="BD1071" s="65"/>
      <c r="BE1071" s="65"/>
      <c r="BF1071" s="65"/>
      <c r="BG1071" s="65"/>
      <c r="BH1071" s="65"/>
      <c r="BI1071" s="65"/>
      <c r="BJ1071" s="65"/>
      <c r="BK1071" s="65"/>
      <c r="BL1071" s="65"/>
      <c r="BM1071" s="65"/>
      <c r="BN1071" s="65"/>
      <c r="BO1071" s="65"/>
    </row>
    <row r="1072" spans="1:67" s="58" customFormat="1" x14ac:dyDescent="0.2">
      <c r="A1072" s="49"/>
      <c r="B1072" s="50"/>
      <c r="C1072" s="51"/>
      <c r="D1072" s="49"/>
      <c r="E1072" s="49"/>
      <c r="F1072" s="52"/>
      <c r="G1072" s="53"/>
      <c r="H1072" s="54"/>
      <c r="I1072" s="55"/>
      <c r="J1072" s="53"/>
      <c r="K1072" s="53"/>
      <c r="L1072" s="53"/>
      <c r="M1072" s="56"/>
      <c r="N1072" s="53"/>
      <c r="O1072" s="57"/>
      <c r="Q1072" s="53"/>
      <c r="R1072" s="53"/>
      <c r="S1072" s="53"/>
      <c r="T1072" s="59"/>
      <c r="U1072" s="59"/>
      <c r="V1072" s="53"/>
      <c r="W1072" s="53"/>
      <c r="X1072" s="53"/>
      <c r="Y1072" s="9" t="e">
        <f t="shared" si="16"/>
        <v>#DIV/0!</v>
      </c>
      <c r="Z1072" s="60"/>
      <c r="AC1072" s="61"/>
      <c r="AD1072" s="53"/>
      <c r="AE1072" s="56"/>
      <c r="AF1072" s="62"/>
      <c r="AG1072" s="63"/>
      <c r="AH1072" s="61"/>
      <c r="AO1072" s="64" t="s">
        <v>80</v>
      </c>
      <c r="AP1072" s="65">
        <v>3.7</v>
      </c>
      <c r="AQ1072" s="65">
        <v>3.7</v>
      </c>
      <c r="AR1072" s="65"/>
      <c r="AS1072" s="65"/>
      <c r="AT1072" s="65"/>
      <c r="AU1072" s="65"/>
      <c r="AV1072" s="65"/>
      <c r="AW1072" s="65"/>
      <c r="AX1072" s="65"/>
      <c r="AY1072" s="65"/>
      <c r="AZ1072" s="65"/>
      <c r="BA1072" s="65"/>
      <c r="BB1072" s="65"/>
      <c r="BC1072" s="65"/>
      <c r="BD1072" s="65"/>
      <c r="BE1072" s="65"/>
      <c r="BF1072" s="65"/>
      <c r="BG1072" s="65"/>
      <c r="BH1072" s="65"/>
      <c r="BI1072" s="65"/>
      <c r="BJ1072" s="65"/>
      <c r="BK1072" s="65"/>
      <c r="BL1072" s="65"/>
      <c r="BM1072" s="65"/>
      <c r="BN1072" s="65"/>
      <c r="BO1072" s="65"/>
    </row>
    <row r="1073" spans="1:67" s="58" customFormat="1" x14ac:dyDescent="0.2">
      <c r="A1073" s="49" t="s">
        <v>67</v>
      </c>
      <c r="B1073" s="50">
        <v>43172</v>
      </c>
      <c r="C1073" s="51">
        <v>0.69791666666666696</v>
      </c>
      <c r="D1073" s="49" t="s">
        <v>224</v>
      </c>
      <c r="E1073" s="49"/>
      <c r="F1073" s="52">
        <v>57</v>
      </c>
      <c r="G1073" s="53">
        <v>3</v>
      </c>
      <c r="H1073" s="54">
        <v>5.2631578947368418E-2</v>
      </c>
      <c r="I1073" s="55">
        <v>6.83E-2</v>
      </c>
      <c r="J1073" s="53">
        <v>314.15899999999999</v>
      </c>
      <c r="K1073" s="53">
        <v>0.5464</v>
      </c>
      <c r="L1073" s="53">
        <v>8</v>
      </c>
      <c r="M1073" s="56">
        <v>191.65385553928743</v>
      </c>
      <c r="N1073" s="53">
        <v>412</v>
      </c>
      <c r="O1073" s="57" t="s">
        <v>105</v>
      </c>
      <c r="P1073" s="58" t="s">
        <v>70</v>
      </c>
      <c r="Q1073" s="53" t="s">
        <v>106</v>
      </c>
      <c r="R1073" s="53" t="s">
        <v>107</v>
      </c>
      <c r="S1073" s="53"/>
      <c r="T1073" s="59">
        <v>1</v>
      </c>
      <c r="U1073" s="59">
        <v>1</v>
      </c>
      <c r="V1073" s="53">
        <v>20.399999999999999</v>
      </c>
      <c r="W1073" s="53"/>
      <c r="X1073" s="53"/>
      <c r="Y1073" s="9">
        <f t="shared" si="16"/>
        <v>191.65385553928746</v>
      </c>
      <c r="Z1073" s="60" t="s">
        <v>73</v>
      </c>
      <c r="AA1073" s="58" t="s">
        <v>372</v>
      </c>
      <c r="AB1073" s="58" t="s">
        <v>75</v>
      </c>
      <c r="AC1073" s="61" t="s">
        <v>76</v>
      </c>
      <c r="AD1073" s="53" t="s">
        <v>77</v>
      </c>
      <c r="AE1073" s="56">
        <v>385.33172144999992</v>
      </c>
      <c r="AF1073" s="62"/>
      <c r="AG1073" s="63"/>
      <c r="AH1073" s="61"/>
      <c r="AO1073" s="64" t="s">
        <v>78</v>
      </c>
      <c r="AP1073" s="65">
        <v>20.399999999999999</v>
      </c>
      <c r="AQ1073" s="65">
        <v>20.399999999999999</v>
      </c>
      <c r="AR1073" s="65"/>
      <c r="AS1073" s="65"/>
      <c r="AT1073" s="65"/>
      <c r="AU1073" s="65"/>
      <c r="AV1073" s="65"/>
      <c r="AW1073" s="65"/>
      <c r="AX1073" s="65"/>
      <c r="AY1073" s="65"/>
      <c r="AZ1073" s="65"/>
      <c r="BA1073" s="65"/>
      <c r="BB1073" s="65"/>
      <c r="BC1073" s="65"/>
      <c r="BD1073" s="65"/>
      <c r="BE1073" s="65"/>
      <c r="BF1073" s="65"/>
      <c r="BG1073" s="65"/>
      <c r="BH1073" s="65"/>
      <c r="BI1073" s="65"/>
      <c r="BJ1073" s="65"/>
      <c r="BK1073" s="65"/>
      <c r="BL1073" s="65"/>
      <c r="BM1073" s="65"/>
      <c r="BN1073" s="65"/>
      <c r="BO1073" s="65"/>
    </row>
    <row r="1074" spans="1:67" s="58" customFormat="1" x14ac:dyDescent="0.2">
      <c r="A1074" s="49"/>
      <c r="B1074" s="50"/>
      <c r="C1074" s="51"/>
      <c r="D1074" s="49"/>
      <c r="E1074" s="49"/>
      <c r="F1074" s="52"/>
      <c r="G1074" s="53"/>
      <c r="H1074" s="54"/>
      <c r="I1074" s="55"/>
      <c r="J1074" s="53"/>
      <c r="K1074" s="53"/>
      <c r="L1074" s="53"/>
      <c r="M1074" s="56"/>
      <c r="N1074" s="53"/>
      <c r="O1074" s="57"/>
      <c r="Q1074" s="53"/>
      <c r="R1074" s="53"/>
      <c r="S1074" s="53"/>
      <c r="T1074" s="59"/>
      <c r="U1074" s="59"/>
      <c r="V1074" s="53"/>
      <c r="W1074" s="53"/>
      <c r="X1074" s="53"/>
      <c r="Y1074" s="9" t="e">
        <f t="shared" si="16"/>
        <v>#DIV/0!</v>
      </c>
      <c r="Z1074" s="60"/>
      <c r="AC1074" s="61"/>
      <c r="AD1074" s="53"/>
      <c r="AE1074" s="56"/>
      <c r="AF1074" s="62"/>
      <c r="AG1074" s="63"/>
      <c r="AH1074" s="61"/>
      <c r="AO1074" s="64" t="s">
        <v>79</v>
      </c>
      <c r="AP1074" s="65">
        <v>6.5</v>
      </c>
      <c r="AQ1074" s="65">
        <v>6.5</v>
      </c>
      <c r="AR1074" s="65"/>
      <c r="AS1074" s="65"/>
      <c r="AT1074" s="65"/>
      <c r="AU1074" s="65"/>
      <c r="AV1074" s="65"/>
      <c r="AW1074" s="65"/>
      <c r="AX1074" s="65"/>
      <c r="AY1074" s="65"/>
      <c r="AZ1074" s="65"/>
      <c r="BA1074" s="65"/>
      <c r="BB1074" s="65"/>
      <c r="BC1074" s="65"/>
      <c r="BD1074" s="65"/>
      <c r="BE1074" s="65"/>
      <c r="BF1074" s="65"/>
      <c r="BG1074" s="65"/>
      <c r="BH1074" s="65"/>
      <c r="BI1074" s="65"/>
      <c r="BJ1074" s="65"/>
      <c r="BK1074" s="65"/>
      <c r="BL1074" s="65"/>
      <c r="BM1074" s="65"/>
      <c r="BN1074" s="65"/>
      <c r="BO1074" s="65"/>
    </row>
    <row r="1075" spans="1:67" s="58" customFormat="1" x14ac:dyDescent="0.2">
      <c r="A1075" s="49"/>
      <c r="B1075" s="50"/>
      <c r="C1075" s="51"/>
      <c r="D1075" s="49"/>
      <c r="E1075" s="49"/>
      <c r="F1075" s="52"/>
      <c r="G1075" s="53"/>
      <c r="H1075" s="54"/>
      <c r="I1075" s="55"/>
      <c r="J1075" s="53"/>
      <c r="K1075" s="53"/>
      <c r="L1075" s="53"/>
      <c r="M1075" s="56"/>
      <c r="N1075" s="53"/>
      <c r="O1075" s="57"/>
      <c r="Q1075" s="53"/>
      <c r="R1075" s="53"/>
      <c r="S1075" s="53"/>
      <c r="T1075" s="59"/>
      <c r="U1075" s="59"/>
      <c r="V1075" s="53"/>
      <c r="W1075" s="53"/>
      <c r="X1075" s="53"/>
      <c r="Y1075" s="9" t="e">
        <f t="shared" si="16"/>
        <v>#DIV/0!</v>
      </c>
      <c r="Z1075" s="60"/>
      <c r="AC1075" s="61"/>
      <c r="AD1075" s="53"/>
      <c r="AE1075" s="56"/>
      <c r="AF1075" s="62"/>
      <c r="AG1075" s="63"/>
      <c r="AH1075" s="61"/>
      <c r="AO1075" s="64" t="s">
        <v>80</v>
      </c>
      <c r="AP1075" s="65">
        <v>3.7</v>
      </c>
      <c r="AQ1075" s="65">
        <v>3.7</v>
      </c>
      <c r="AR1075" s="65"/>
      <c r="AS1075" s="65"/>
      <c r="AT1075" s="65"/>
      <c r="AU1075" s="65"/>
      <c r="AV1075" s="65"/>
      <c r="AW1075" s="65"/>
      <c r="AX1075" s="65"/>
      <c r="AY1075" s="65"/>
      <c r="AZ1075" s="65"/>
      <c r="BA1075" s="65"/>
      <c r="BB1075" s="65"/>
      <c r="BC1075" s="65"/>
      <c r="BD1075" s="65"/>
      <c r="BE1075" s="65"/>
      <c r="BF1075" s="65"/>
      <c r="BG1075" s="65"/>
      <c r="BH1075" s="65"/>
      <c r="BI1075" s="65"/>
      <c r="BJ1075" s="65"/>
      <c r="BK1075" s="65"/>
      <c r="BL1075" s="65"/>
      <c r="BM1075" s="65"/>
      <c r="BN1075" s="65"/>
      <c r="BO1075" s="65"/>
    </row>
    <row r="1076" spans="1:67" s="58" customFormat="1" x14ac:dyDescent="0.2">
      <c r="A1076" s="49" t="s">
        <v>67</v>
      </c>
      <c r="B1076" s="50">
        <v>43172</v>
      </c>
      <c r="C1076" s="51">
        <v>0.69791666666666696</v>
      </c>
      <c r="D1076" s="49" t="s">
        <v>224</v>
      </c>
      <c r="E1076" s="49"/>
      <c r="F1076" s="52">
        <v>57</v>
      </c>
      <c r="G1076" s="53">
        <v>3</v>
      </c>
      <c r="H1076" s="54">
        <v>5.2631578947368418E-2</v>
      </c>
      <c r="I1076" s="55">
        <v>6.83E-2</v>
      </c>
      <c r="J1076" s="53">
        <v>314.15899999999999</v>
      </c>
      <c r="K1076" s="53">
        <v>0.5464</v>
      </c>
      <c r="L1076" s="53">
        <v>8</v>
      </c>
      <c r="M1076" s="56">
        <v>191.65385553928743</v>
      </c>
      <c r="N1076" s="53">
        <v>749</v>
      </c>
      <c r="O1076" s="57" t="s">
        <v>190</v>
      </c>
      <c r="P1076" s="58" t="s">
        <v>70</v>
      </c>
      <c r="Q1076" s="53" t="s">
        <v>191</v>
      </c>
      <c r="R1076" s="53" t="s">
        <v>84</v>
      </c>
      <c r="S1076" s="53"/>
      <c r="T1076" s="59">
        <v>1</v>
      </c>
      <c r="U1076" s="59">
        <v>1</v>
      </c>
      <c r="V1076" s="53">
        <v>25.9</v>
      </c>
      <c r="W1076" s="53"/>
      <c r="X1076" s="53"/>
      <c r="Y1076" s="9">
        <f t="shared" si="16"/>
        <v>191.65385553928746</v>
      </c>
      <c r="Z1076" s="60" t="s">
        <v>73</v>
      </c>
      <c r="AA1076" s="58" t="s">
        <v>372</v>
      </c>
      <c r="AB1076" s="58" t="s">
        <v>75</v>
      </c>
      <c r="AC1076" s="61" t="s">
        <v>76</v>
      </c>
      <c r="AD1076" s="53" t="s">
        <v>193</v>
      </c>
      <c r="AE1076" s="56">
        <v>268.32400000000001</v>
      </c>
      <c r="AF1076" s="62"/>
      <c r="AG1076" s="63"/>
      <c r="AH1076" s="61"/>
      <c r="AO1076" s="64" t="s">
        <v>78</v>
      </c>
      <c r="AP1076" s="65">
        <v>25.9</v>
      </c>
      <c r="AQ1076" s="65">
        <v>25.9</v>
      </c>
      <c r="AR1076" s="65"/>
      <c r="AS1076" s="65"/>
      <c r="AT1076" s="65"/>
      <c r="AU1076" s="65"/>
      <c r="AV1076" s="65"/>
      <c r="AW1076" s="65"/>
      <c r="AX1076" s="65"/>
      <c r="AY1076" s="65"/>
      <c r="AZ1076" s="65"/>
      <c r="BA1076" s="65"/>
      <c r="BB1076" s="65"/>
      <c r="BC1076" s="65"/>
      <c r="BD1076" s="65"/>
      <c r="BE1076" s="65"/>
      <c r="BF1076" s="65"/>
      <c r="BG1076" s="65"/>
      <c r="BH1076" s="65"/>
      <c r="BI1076" s="65"/>
      <c r="BJ1076" s="65"/>
      <c r="BK1076" s="65"/>
      <c r="BL1076" s="65"/>
      <c r="BM1076" s="65"/>
      <c r="BN1076" s="65"/>
      <c r="BO1076" s="65"/>
    </row>
    <row r="1077" spans="1:67" s="58" customFormat="1" x14ac:dyDescent="0.2">
      <c r="A1077" s="49"/>
      <c r="B1077" s="50"/>
      <c r="C1077" s="51"/>
      <c r="D1077" s="49"/>
      <c r="E1077" s="49"/>
      <c r="F1077" s="52"/>
      <c r="G1077" s="53"/>
      <c r="H1077" s="54"/>
      <c r="I1077" s="55"/>
      <c r="J1077" s="53"/>
      <c r="K1077" s="53"/>
      <c r="L1077" s="53"/>
      <c r="M1077" s="56"/>
      <c r="N1077" s="53"/>
      <c r="O1077" s="57"/>
      <c r="Q1077" s="53"/>
      <c r="R1077" s="53"/>
      <c r="S1077" s="53"/>
      <c r="T1077" s="59"/>
      <c r="U1077" s="59"/>
      <c r="V1077" s="53"/>
      <c r="W1077" s="53"/>
      <c r="X1077" s="53"/>
      <c r="Y1077" s="9" t="e">
        <f t="shared" si="16"/>
        <v>#DIV/0!</v>
      </c>
      <c r="Z1077" s="60"/>
      <c r="AC1077" s="61"/>
      <c r="AD1077" s="53"/>
      <c r="AE1077" s="56"/>
      <c r="AF1077" s="62"/>
      <c r="AG1077" s="63"/>
      <c r="AH1077" s="61"/>
      <c r="AO1077" s="64" t="s">
        <v>79</v>
      </c>
      <c r="AP1077" s="65">
        <v>5.6</v>
      </c>
      <c r="AQ1077" s="65">
        <v>5.6</v>
      </c>
      <c r="AR1077" s="65"/>
      <c r="AS1077" s="65"/>
      <c r="AT1077" s="65"/>
      <c r="AU1077" s="65"/>
      <c r="AV1077" s="65"/>
      <c r="AW1077" s="65"/>
      <c r="AX1077" s="65"/>
      <c r="AY1077" s="65"/>
      <c r="AZ1077" s="65"/>
      <c r="BA1077" s="65"/>
      <c r="BB1077" s="65"/>
      <c r="BC1077" s="65"/>
      <c r="BD1077" s="65"/>
      <c r="BE1077" s="65"/>
      <c r="BF1077" s="65"/>
      <c r="BG1077" s="65"/>
      <c r="BH1077" s="65"/>
      <c r="BI1077" s="65"/>
      <c r="BJ1077" s="65"/>
      <c r="BK1077" s="65"/>
      <c r="BL1077" s="65"/>
      <c r="BM1077" s="65"/>
      <c r="BN1077" s="65"/>
      <c r="BO1077" s="65"/>
    </row>
    <row r="1078" spans="1:67" s="58" customFormat="1" x14ac:dyDescent="0.2">
      <c r="A1078" s="49"/>
      <c r="B1078" s="50"/>
      <c r="C1078" s="51"/>
      <c r="D1078" s="49"/>
      <c r="E1078" s="49"/>
      <c r="F1078" s="52"/>
      <c r="G1078" s="53"/>
      <c r="H1078" s="54"/>
      <c r="I1078" s="55"/>
      <c r="J1078" s="53"/>
      <c r="K1078" s="53"/>
      <c r="L1078" s="53"/>
      <c r="M1078" s="56"/>
      <c r="N1078" s="53"/>
      <c r="O1078" s="57"/>
      <c r="Q1078" s="53"/>
      <c r="R1078" s="53"/>
      <c r="S1078" s="53"/>
      <c r="T1078" s="59"/>
      <c r="U1078" s="59"/>
      <c r="V1078" s="53"/>
      <c r="W1078" s="53"/>
      <c r="X1078" s="53"/>
      <c r="Y1078" s="9" t="e">
        <f t="shared" si="16"/>
        <v>#DIV/0!</v>
      </c>
      <c r="Z1078" s="60"/>
      <c r="AC1078" s="61"/>
      <c r="AD1078" s="53"/>
      <c r="AE1078" s="56"/>
      <c r="AF1078" s="62"/>
      <c r="AG1078" s="63"/>
      <c r="AH1078" s="61"/>
      <c r="AO1078" s="64" t="s">
        <v>80</v>
      </c>
      <c r="AP1078" s="65">
        <v>3.7</v>
      </c>
      <c r="AQ1078" s="65">
        <v>3.7</v>
      </c>
      <c r="AR1078" s="65"/>
      <c r="AS1078" s="65"/>
      <c r="AT1078" s="65"/>
      <c r="AU1078" s="65"/>
      <c r="AV1078" s="65"/>
      <c r="AW1078" s="65"/>
      <c r="AX1078" s="65"/>
      <c r="AY1078" s="65"/>
      <c r="AZ1078" s="65"/>
      <c r="BA1078" s="65"/>
      <c r="BB1078" s="65"/>
      <c r="BC1078" s="65"/>
      <c r="BD1078" s="65"/>
      <c r="BE1078" s="65"/>
      <c r="BF1078" s="65"/>
      <c r="BG1078" s="65"/>
      <c r="BH1078" s="65"/>
      <c r="BI1078" s="65"/>
      <c r="BJ1078" s="65"/>
      <c r="BK1078" s="65"/>
      <c r="BL1078" s="65"/>
      <c r="BM1078" s="65"/>
      <c r="BN1078" s="65"/>
      <c r="BO1078" s="65"/>
    </row>
    <row r="1079" spans="1:67" s="58" customFormat="1" x14ac:dyDescent="0.2">
      <c r="A1079" s="49" t="s">
        <v>67</v>
      </c>
      <c r="B1079" s="50">
        <v>43172</v>
      </c>
      <c r="C1079" s="51">
        <v>0.69791666666666696</v>
      </c>
      <c r="D1079" s="49" t="s">
        <v>224</v>
      </c>
      <c r="E1079" s="49"/>
      <c r="F1079" s="52">
        <v>57</v>
      </c>
      <c r="G1079" s="53">
        <v>3</v>
      </c>
      <c r="H1079" s="54">
        <v>5.2631578947368418E-2</v>
      </c>
      <c r="I1079" s="55">
        <v>6.83E-2</v>
      </c>
      <c r="J1079" s="53">
        <v>314.15899999999999</v>
      </c>
      <c r="K1079" s="53">
        <v>0.5464</v>
      </c>
      <c r="L1079" s="53">
        <v>8</v>
      </c>
      <c r="M1079" s="56">
        <v>191.65385553928743</v>
      </c>
      <c r="N1079" s="53">
        <v>1037</v>
      </c>
      <c r="O1079" s="57" t="s">
        <v>86</v>
      </c>
      <c r="P1079" s="57" t="s">
        <v>82</v>
      </c>
      <c r="Q1079" s="53" t="s">
        <v>87</v>
      </c>
      <c r="R1079" s="53" t="s">
        <v>84</v>
      </c>
      <c r="S1079" s="53"/>
      <c r="T1079" s="59">
        <v>4</v>
      </c>
      <c r="U1079" s="59">
        <v>4</v>
      </c>
      <c r="V1079" s="53">
        <v>3.7</v>
      </c>
      <c r="W1079" s="53"/>
      <c r="X1079" s="53"/>
      <c r="Y1079" s="9">
        <f t="shared" si="16"/>
        <v>766.61542215714985</v>
      </c>
      <c r="Z1079" s="60" t="s">
        <v>73</v>
      </c>
      <c r="AA1079" s="58" t="s">
        <v>372</v>
      </c>
      <c r="AB1079" s="58" t="s">
        <v>75</v>
      </c>
      <c r="AC1079" s="61" t="s">
        <v>76</v>
      </c>
      <c r="AD1079" s="53" t="s">
        <v>85</v>
      </c>
      <c r="AE1079" s="56">
        <v>11.494030613333329</v>
      </c>
      <c r="AF1079" s="62"/>
      <c r="AG1079" s="63"/>
      <c r="AH1079" s="61"/>
      <c r="AO1079" s="64" t="s">
        <v>78</v>
      </c>
      <c r="AP1079" s="65">
        <v>2.8</v>
      </c>
      <c r="AQ1079" s="65">
        <v>3.7</v>
      </c>
      <c r="AR1079" s="65">
        <v>1.9</v>
      </c>
      <c r="AS1079" s="65">
        <v>2.8</v>
      </c>
      <c r="AT1079" s="65">
        <v>2.8</v>
      </c>
      <c r="AU1079" s="65"/>
      <c r="AV1079" s="65"/>
      <c r="AW1079" s="65"/>
      <c r="AX1079" s="65"/>
      <c r="AY1079" s="65"/>
      <c r="AZ1079" s="65"/>
      <c r="BA1079" s="65"/>
      <c r="BB1079" s="65"/>
      <c r="BC1079" s="65"/>
      <c r="BD1079" s="65"/>
      <c r="BE1079" s="65"/>
      <c r="BF1079" s="65"/>
      <c r="BG1079" s="65"/>
      <c r="BH1079" s="65"/>
      <c r="BI1079" s="65"/>
      <c r="BJ1079" s="65"/>
      <c r="BK1079" s="65"/>
      <c r="BL1079" s="65"/>
      <c r="BM1079" s="65"/>
      <c r="BN1079" s="65"/>
      <c r="BO1079" s="65"/>
    </row>
    <row r="1080" spans="1:67" s="58" customFormat="1" x14ac:dyDescent="0.2">
      <c r="A1080" s="49" t="s">
        <v>67</v>
      </c>
      <c r="B1080" s="50">
        <v>43172</v>
      </c>
      <c r="C1080" s="51">
        <v>0.69791666666666696</v>
      </c>
      <c r="D1080" s="49" t="s">
        <v>224</v>
      </c>
      <c r="E1080" s="49"/>
      <c r="F1080" s="52">
        <v>57</v>
      </c>
      <c r="G1080" s="53">
        <v>3</v>
      </c>
      <c r="H1080" s="54">
        <v>5.2631578947368418E-2</v>
      </c>
      <c r="I1080" s="55">
        <v>6.83E-2</v>
      </c>
      <c r="J1080" s="53">
        <v>314.15899999999999</v>
      </c>
      <c r="K1080" s="53">
        <v>0.5464</v>
      </c>
      <c r="L1080" s="53">
        <v>8</v>
      </c>
      <c r="M1080" s="56">
        <v>191.65385553928743</v>
      </c>
      <c r="N1080" s="53">
        <v>1806</v>
      </c>
      <c r="O1080" s="57" t="s">
        <v>206</v>
      </c>
      <c r="P1080" s="57" t="s">
        <v>82</v>
      </c>
      <c r="Q1080" s="53" t="s">
        <v>207</v>
      </c>
      <c r="R1080" s="53" t="s">
        <v>84</v>
      </c>
      <c r="S1080" s="53"/>
      <c r="T1080" s="59">
        <v>1</v>
      </c>
      <c r="U1080" s="59">
        <v>1</v>
      </c>
      <c r="V1080" s="53">
        <v>3.7</v>
      </c>
      <c r="W1080" s="53"/>
      <c r="X1080" s="53"/>
      <c r="Y1080" s="9">
        <f t="shared" si="16"/>
        <v>191.65385553928746</v>
      </c>
      <c r="Z1080" s="60" t="s">
        <v>73</v>
      </c>
      <c r="AA1080" s="58" t="s">
        <v>372</v>
      </c>
      <c r="AB1080" s="58" t="s">
        <v>75</v>
      </c>
      <c r="AC1080" s="61" t="s">
        <v>76</v>
      </c>
      <c r="AD1080" s="53" t="s">
        <v>120</v>
      </c>
      <c r="AE1080" s="56">
        <v>26.521826378333333</v>
      </c>
      <c r="AF1080" s="62"/>
      <c r="AG1080" s="63"/>
      <c r="AH1080" s="61"/>
      <c r="AO1080" s="64" t="s">
        <v>78</v>
      </c>
      <c r="AP1080" s="65">
        <v>3.7</v>
      </c>
      <c r="AQ1080" s="65">
        <v>3.7</v>
      </c>
      <c r="AR1080" s="65"/>
      <c r="AS1080" s="65"/>
      <c r="AT1080" s="65"/>
      <c r="AU1080" s="65"/>
      <c r="AV1080" s="65"/>
      <c r="AW1080" s="65"/>
      <c r="AX1080" s="65"/>
      <c r="AY1080" s="65"/>
      <c r="AZ1080" s="65"/>
      <c r="BA1080" s="65"/>
      <c r="BB1080" s="65"/>
      <c r="BC1080" s="65"/>
      <c r="BD1080" s="65"/>
      <c r="BE1080" s="65"/>
      <c r="BF1080" s="65"/>
      <c r="BG1080" s="65"/>
      <c r="BH1080" s="65"/>
      <c r="BI1080" s="65"/>
      <c r="BJ1080" s="65"/>
      <c r="BK1080" s="65"/>
      <c r="BL1080" s="65"/>
      <c r="BM1080" s="65"/>
      <c r="BN1080" s="65"/>
      <c r="BO1080" s="65"/>
    </row>
    <row r="1081" spans="1:67" s="58" customFormat="1" x14ac:dyDescent="0.2">
      <c r="A1081" s="49"/>
      <c r="B1081" s="50"/>
      <c r="C1081" s="51"/>
      <c r="D1081" s="49"/>
      <c r="E1081" s="49"/>
      <c r="F1081" s="52"/>
      <c r="G1081" s="53"/>
      <c r="H1081" s="54"/>
      <c r="I1081" s="55"/>
      <c r="J1081" s="53"/>
      <c r="K1081" s="53"/>
      <c r="L1081" s="53"/>
      <c r="M1081" s="56"/>
      <c r="N1081" s="53"/>
      <c r="O1081" s="57"/>
      <c r="P1081" s="57"/>
      <c r="Q1081" s="53"/>
      <c r="R1081" s="53"/>
      <c r="S1081" s="53"/>
      <c r="T1081" s="59"/>
      <c r="U1081" s="59"/>
      <c r="V1081" s="53"/>
      <c r="W1081" s="53"/>
      <c r="X1081" s="53"/>
      <c r="Y1081" s="9" t="e">
        <f t="shared" si="16"/>
        <v>#DIV/0!</v>
      </c>
      <c r="Z1081" s="60"/>
      <c r="AC1081" s="61"/>
      <c r="AD1081" s="53"/>
      <c r="AE1081" s="56"/>
      <c r="AF1081" s="62"/>
      <c r="AG1081" s="63"/>
      <c r="AH1081" s="61"/>
      <c r="AO1081" s="64" t="s">
        <v>79</v>
      </c>
      <c r="AP1081" s="65">
        <v>3.7</v>
      </c>
      <c r="AQ1081" s="65">
        <v>3.7</v>
      </c>
      <c r="AR1081" s="65"/>
      <c r="AS1081" s="65"/>
      <c r="AT1081" s="65"/>
      <c r="AU1081" s="65"/>
      <c r="AV1081" s="65"/>
      <c r="AW1081" s="65"/>
      <c r="AX1081" s="65"/>
      <c r="AY1081" s="65"/>
      <c r="AZ1081" s="65"/>
      <c r="BA1081" s="65"/>
      <c r="BB1081" s="65"/>
      <c r="BC1081" s="65"/>
      <c r="BD1081" s="65"/>
      <c r="BE1081" s="65"/>
      <c r="BF1081" s="65"/>
      <c r="BG1081" s="65"/>
      <c r="BH1081" s="65"/>
      <c r="BI1081" s="65"/>
      <c r="BJ1081" s="65"/>
      <c r="BK1081" s="65"/>
      <c r="BL1081" s="65"/>
      <c r="BM1081" s="65"/>
      <c r="BN1081" s="65"/>
      <c r="BO1081" s="65"/>
    </row>
    <row r="1082" spans="1:67" s="58" customFormat="1" x14ac:dyDescent="0.2">
      <c r="A1082" s="49" t="s">
        <v>67</v>
      </c>
      <c r="B1082" s="50">
        <v>43172</v>
      </c>
      <c r="C1082" s="51">
        <v>0.69791666666666696</v>
      </c>
      <c r="D1082" s="49" t="s">
        <v>224</v>
      </c>
      <c r="E1082" s="49"/>
      <c r="F1082" s="52">
        <v>57</v>
      </c>
      <c r="G1082" s="53">
        <v>3</v>
      </c>
      <c r="H1082" s="54">
        <v>5.2631578947368418E-2</v>
      </c>
      <c r="I1082" s="55">
        <v>6.83E-2</v>
      </c>
      <c r="J1082" s="53">
        <v>314.15899999999999</v>
      </c>
      <c r="K1082" s="53">
        <v>0.5464</v>
      </c>
      <c r="L1082" s="53">
        <v>8</v>
      </c>
      <c r="M1082" s="56">
        <v>191.65385553928743</v>
      </c>
      <c r="N1082" s="53">
        <v>1419</v>
      </c>
      <c r="O1082" s="57" t="s">
        <v>94</v>
      </c>
      <c r="P1082" s="57" t="s">
        <v>82</v>
      </c>
      <c r="Q1082" s="53" t="s">
        <v>95</v>
      </c>
      <c r="R1082" s="53" t="s">
        <v>96</v>
      </c>
      <c r="S1082" s="53"/>
      <c r="T1082" s="59">
        <v>428</v>
      </c>
      <c r="U1082" s="59">
        <v>860</v>
      </c>
      <c r="V1082" s="53">
        <v>0.8</v>
      </c>
      <c r="W1082" s="53">
        <v>0.8</v>
      </c>
      <c r="X1082" s="53">
        <v>0.8</v>
      </c>
      <c r="Y1082" s="9">
        <f t="shared" si="16"/>
        <v>82027.850170815029</v>
      </c>
      <c r="Z1082" s="60" t="s">
        <v>97</v>
      </c>
      <c r="AA1082" s="58" t="s">
        <v>372</v>
      </c>
      <c r="AB1082" s="58" t="s">
        <v>75</v>
      </c>
      <c r="AC1082" s="61" t="s">
        <v>76</v>
      </c>
      <c r="AD1082" s="53" t="s">
        <v>85</v>
      </c>
      <c r="AE1082" s="56">
        <v>0.18</v>
      </c>
      <c r="AF1082" s="56">
        <v>0.18</v>
      </c>
      <c r="AG1082" s="56">
        <v>0.18</v>
      </c>
      <c r="AH1082" s="56">
        <v>0.18</v>
      </c>
      <c r="AI1082" s="56">
        <v>0.18</v>
      </c>
      <c r="AJ1082" s="56">
        <v>0.18</v>
      </c>
      <c r="AK1082" s="56">
        <v>0.18</v>
      </c>
      <c r="AL1082" s="56">
        <v>0.18</v>
      </c>
      <c r="AM1082" s="56">
        <v>0.18</v>
      </c>
      <c r="AN1082" s="56">
        <v>0.18</v>
      </c>
      <c r="AO1082" s="66" t="s">
        <v>78</v>
      </c>
      <c r="AP1082" s="65">
        <v>0.75200000000000033</v>
      </c>
      <c r="AQ1082" s="65">
        <v>0.7</v>
      </c>
      <c r="AR1082" s="65">
        <v>0.7</v>
      </c>
      <c r="AS1082" s="65">
        <v>0.7</v>
      </c>
      <c r="AT1082" s="65">
        <v>0.7</v>
      </c>
      <c r="AU1082" s="65">
        <v>0.7</v>
      </c>
      <c r="AV1082" s="65">
        <v>0.7</v>
      </c>
      <c r="AW1082" s="65">
        <v>0.7</v>
      </c>
      <c r="AX1082" s="65">
        <v>0.7</v>
      </c>
      <c r="AY1082" s="65">
        <v>0.7</v>
      </c>
      <c r="AZ1082" s="65">
        <v>0.7</v>
      </c>
      <c r="BA1082" s="65">
        <v>0.7</v>
      </c>
      <c r="BB1082" s="65">
        <v>0.7</v>
      </c>
      <c r="BC1082" s="65">
        <v>0.8</v>
      </c>
      <c r="BD1082" s="65">
        <v>0.8</v>
      </c>
      <c r="BE1082" s="65">
        <v>0.8</v>
      </c>
      <c r="BF1082" s="65">
        <v>0.8</v>
      </c>
      <c r="BG1082" s="65">
        <v>0.8</v>
      </c>
      <c r="BH1082" s="65">
        <v>0.8</v>
      </c>
      <c r="BI1082" s="65">
        <v>0.8</v>
      </c>
      <c r="BJ1082" s="65">
        <v>0.8</v>
      </c>
      <c r="BK1082" s="65">
        <v>0.8</v>
      </c>
      <c r="BL1082" s="65">
        <v>0.8</v>
      </c>
      <c r="BM1082" s="65">
        <v>0.8</v>
      </c>
      <c r="BN1082" s="65">
        <v>0.8</v>
      </c>
      <c r="BO1082" s="65">
        <v>0.8</v>
      </c>
    </row>
    <row r="1083" spans="1:67" s="58" customFormat="1" x14ac:dyDescent="0.2">
      <c r="A1083" s="49" t="s">
        <v>67</v>
      </c>
      <c r="B1083" s="50">
        <v>43172</v>
      </c>
      <c r="C1083" s="51">
        <v>0.64930555555555602</v>
      </c>
      <c r="D1083" s="49" t="s">
        <v>222</v>
      </c>
      <c r="E1083" s="49">
        <v>3</v>
      </c>
      <c r="F1083" s="52">
        <v>64</v>
      </c>
      <c r="G1083" s="53">
        <v>2</v>
      </c>
      <c r="H1083" s="54">
        <v>3.125E-2</v>
      </c>
      <c r="I1083" s="55">
        <v>6.83E-2</v>
      </c>
      <c r="J1083" s="53">
        <v>314.15899999999999</v>
      </c>
      <c r="K1083" s="53">
        <v>0.61470000000000002</v>
      </c>
      <c r="L1083" s="53">
        <v>9</v>
      </c>
      <c r="M1083" s="56">
        <v>255.53847405238326</v>
      </c>
      <c r="N1083" s="53">
        <v>1037</v>
      </c>
      <c r="O1083" s="57" t="s">
        <v>86</v>
      </c>
      <c r="P1083" s="57" t="s">
        <v>82</v>
      </c>
      <c r="Q1083" s="53" t="s">
        <v>87</v>
      </c>
      <c r="R1083" s="53" t="s">
        <v>84</v>
      </c>
      <c r="S1083" s="53"/>
      <c r="T1083" s="59">
        <v>3</v>
      </c>
      <c r="U1083" s="59">
        <v>3</v>
      </c>
      <c r="V1083" s="53">
        <v>2.8</v>
      </c>
      <c r="W1083" s="53"/>
      <c r="X1083" s="53"/>
      <c r="Y1083" s="9">
        <f t="shared" si="16"/>
        <v>766.61542215714974</v>
      </c>
      <c r="Z1083" s="60" t="s">
        <v>73</v>
      </c>
      <c r="AA1083" s="58" t="s">
        <v>373</v>
      </c>
      <c r="AB1083" s="58" t="s">
        <v>75</v>
      </c>
      <c r="AC1083" s="61" t="s">
        <v>76</v>
      </c>
      <c r="AD1083" s="53" t="s">
        <v>85</v>
      </c>
      <c r="AE1083" s="56">
        <v>8.1812239583333319</v>
      </c>
      <c r="AF1083" s="62"/>
      <c r="AG1083" s="63"/>
      <c r="AH1083" s="61"/>
      <c r="AO1083" s="64" t="s">
        <v>78</v>
      </c>
      <c r="AP1083" s="65">
        <v>2.5</v>
      </c>
      <c r="AQ1083" s="65">
        <v>2.8</v>
      </c>
      <c r="AR1083" s="65">
        <v>2.8</v>
      </c>
      <c r="AS1083" s="65">
        <v>1.9</v>
      </c>
      <c r="AT1083" s="65"/>
      <c r="AU1083" s="65"/>
      <c r="AV1083" s="65"/>
      <c r="AW1083" s="65"/>
      <c r="AX1083" s="65"/>
      <c r="AY1083" s="65"/>
      <c r="AZ1083" s="65"/>
      <c r="BA1083" s="65"/>
      <c r="BB1083" s="65"/>
      <c r="BC1083" s="65"/>
      <c r="BD1083" s="65"/>
      <c r="BE1083" s="65"/>
      <c r="BF1083" s="65"/>
      <c r="BG1083" s="65"/>
      <c r="BH1083" s="65"/>
      <c r="BI1083" s="65"/>
      <c r="BJ1083" s="65"/>
      <c r="BK1083" s="65"/>
      <c r="BL1083" s="65"/>
      <c r="BM1083" s="65"/>
      <c r="BN1083" s="65"/>
      <c r="BO1083" s="65"/>
    </row>
    <row r="1084" spans="1:67" s="58" customFormat="1" x14ac:dyDescent="0.2">
      <c r="A1084" s="49" t="s">
        <v>67</v>
      </c>
      <c r="B1084" s="50">
        <v>43172</v>
      </c>
      <c r="C1084" s="51">
        <v>0.64930555555555602</v>
      </c>
      <c r="D1084" s="49" t="s">
        <v>222</v>
      </c>
      <c r="E1084" s="49">
        <v>3</v>
      </c>
      <c r="F1084" s="52">
        <v>64</v>
      </c>
      <c r="G1084" s="53">
        <v>2</v>
      </c>
      <c r="H1084" s="54">
        <v>3.125E-2</v>
      </c>
      <c r="I1084" s="55">
        <v>6.83E-2</v>
      </c>
      <c r="J1084" s="53">
        <v>314.15899999999999</v>
      </c>
      <c r="K1084" s="53">
        <v>0.61470000000000002</v>
      </c>
      <c r="L1084" s="53">
        <v>9</v>
      </c>
      <c r="M1084" s="56">
        <v>255.53847405238326</v>
      </c>
      <c r="N1084" s="53">
        <v>1364</v>
      </c>
      <c r="O1084" s="57" t="s">
        <v>88</v>
      </c>
      <c r="P1084" s="57" t="s">
        <v>82</v>
      </c>
      <c r="Q1084" s="53" t="s">
        <v>89</v>
      </c>
      <c r="R1084" s="53" t="s">
        <v>90</v>
      </c>
      <c r="S1084" s="53"/>
      <c r="T1084" s="59">
        <v>1</v>
      </c>
      <c r="U1084" s="59">
        <v>1</v>
      </c>
      <c r="V1084" s="53">
        <v>11.1</v>
      </c>
      <c r="W1084" s="53"/>
      <c r="X1084" s="53"/>
      <c r="Y1084" s="9">
        <f t="shared" si="16"/>
        <v>255.53847405238326</v>
      </c>
      <c r="Z1084" s="60" t="s">
        <v>73</v>
      </c>
      <c r="AA1084" s="58" t="s">
        <v>373</v>
      </c>
      <c r="AB1084" s="58" t="s">
        <v>75</v>
      </c>
      <c r="AC1084" s="61" t="s">
        <v>76</v>
      </c>
      <c r="AD1084" s="53" t="s">
        <v>91</v>
      </c>
      <c r="AE1084" s="56">
        <v>538.67979792749986</v>
      </c>
      <c r="AF1084" s="62"/>
      <c r="AG1084" s="63"/>
      <c r="AH1084" s="61"/>
      <c r="AO1084" s="64" t="s">
        <v>78</v>
      </c>
      <c r="AP1084" s="65">
        <v>11.1</v>
      </c>
      <c r="AQ1084" s="65">
        <v>11.1</v>
      </c>
      <c r="AR1084" s="65"/>
      <c r="AS1084" s="65"/>
      <c r="AT1084" s="65"/>
      <c r="AU1084" s="65"/>
      <c r="AV1084" s="65"/>
      <c r="AW1084" s="65"/>
      <c r="AX1084" s="65"/>
      <c r="AY1084" s="65"/>
      <c r="AZ1084" s="65"/>
      <c r="BA1084" s="65"/>
      <c r="BB1084" s="65"/>
      <c r="BC1084" s="65"/>
      <c r="BD1084" s="65"/>
      <c r="BE1084" s="65"/>
      <c r="BF1084" s="65"/>
      <c r="BG1084" s="65"/>
      <c r="BH1084" s="65"/>
      <c r="BI1084" s="65"/>
      <c r="BJ1084" s="65"/>
      <c r="BK1084" s="65"/>
      <c r="BL1084" s="65"/>
      <c r="BM1084" s="65"/>
      <c r="BN1084" s="65"/>
      <c r="BO1084" s="65"/>
    </row>
    <row r="1085" spans="1:67" s="58" customFormat="1" x14ac:dyDescent="0.2">
      <c r="A1085" s="49"/>
      <c r="B1085" s="50"/>
      <c r="C1085" s="51"/>
      <c r="D1085" s="49"/>
      <c r="E1085" s="49"/>
      <c r="F1085" s="52"/>
      <c r="G1085" s="53"/>
      <c r="H1085" s="54"/>
      <c r="I1085" s="55"/>
      <c r="J1085" s="53"/>
      <c r="K1085" s="53"/>
      <c r="L1085" s="53"/>
      <c r="M1085" s="56"/>
      <c r="N1085" s="53"/>
      <c r="O1085" s="57"/>
      <c r="P1085" s="57"/>
      <c r="Q1085" s="53"/>
      <c r="R1085" s="53"/>
      <c r="S1085" s="53"/>
      <c r="T1085" s="59"/>
      <c r="U1085" s="59"/>
      <c r="V1085" s="53"/>
      <c r="W1085" s="53"/>
      <c r="X1085" s="53"/>
      <c r="Y1085" s="9" t="e">
        <f t="shared" si="16"/>
        <v>#DIV/0!</v>
      </c>
      <c r="Z1085" s="60"/>
      <c r="AC1085" s="61"/>
      <c r="AD1085" s="53"/>
      <c r="AE1085" s="56"/>
      <c r="AF1085" s="62"/>
      <c r="AG1085" s="63"/>
      <c r="AH1085" s="61"/>
      <c r="AO1085" s="64" t="s">
        <v>79</v>
      </c>
      <c r="AP1085" s="65">
        <v>5.6</v>
      </c>
      <c r="AQ1085" s="65">
        <v>5.6</v>
      </c>
      <c r="AR1085" s="65"/>
      <c r="AS1085" s="65"/>
      <c r="AT1085" s="65"/>
      <c r="AU1085" s="65"/>
      <c r="AV1085" s="65"/>
      <c r="AW1085" s="65"/>
      <c r="AX1085" s="65"/>
      <c r="AY1085" s="65"/>
      <c r="AZ1085" s="65"/>
      <c r="BA1085" s="65"/>
      <c r="BB1085" s="65"/>
      <c r="BC1085" s="65"/>
      <c r="BD1085" s="65"/>
      <c r="BE1085" s="65"/>
      <c r="BF1085" s="65"/>
      <c r="BG1085" s="65"/>
      <c r="BH1085" s="65"/>
      <c r="BI1085" s="65"/>
      <c r="BJ1085" s="65"/>
      <c r="BK1085" s="65"/>
      <c r="BL1085" s="65"/>
      <c r="BM1085" s="65"/>
      <c r="BN1085" s="65"/>
      <c r="BO1085" s="65"/>
    </row>
    <row r="1086" spans="1:67" s="58" customFormat="1" x14ac:dyDescent="0.2">
      <c r="A1086" s="49" t="s">
        <v>67</v>
      </c>
      <c r="B1086" s="50">
        <v>43172</v>
      </c>
      <c r="C1086" s="51">
        <v>0.64930555555555602</v>
      </c>
      <c r="D1086" s="49" t="s">
        <v>222</v>
      </c>
      <c r="E1086" s="49">
        <v>3</v>
      </c>
      <c r="F1086" s="52">
        <v>64</v>
      </c>
      <c r="G1086" s="53">
        <v>2</v>
      </c>
      <c r="H1086" s="54">
        <v>3.125E-2</v>
      </c>
      <c r="I1086" s="55">
        <v>6.83E-2</v>
      </c>
      <c r="J1086" s="53">
        <v>314.15899999999999</v>
      </c>
      <c r="K1086" s="53">
        <v>0.61470000000000002</v>
      </c>
      <c r="L1086" s="53">
        <v>9</v>
      </c>
      <c r="M1086" s="56">
        <v>255.53847405238326</v>
      </c>
      <c r="N1086" s="53">
        <v>1419</v>
      </c>
      <c r="O1086" s="57" t="s">
        <v>94</v>
      </c>
      <c r="P1086" s="57" t="s">
        <v>82</v>
      </c>
      <c r="Q1086" s="53" t="s">
        <v>95</v>
      </c>
      <c r="R1086" s="53" t="s">
        <v>96</v>
      </c>
      <c r="S1086" s="53"/>
      <c r="T1086" s="59">
        <v>434</v>
      </c>
      <c r="U1086" s="59">
        <v>873</v>
      </c>
      <c r="V1086" s="53">
        <v>0.8</v>
      </c>
      <c r="W1086" s="53">
        <v>0.8</v>
      </c>
      <c r="X1086" s="53">
        <v>0.8</v>
      </c>
      <c r="Y1086" s="9">
        <f t="shared" si="16"/>
        <v>110903.69773873434</v>
      </c>
      <c r="Z1086" s="60" t="s">
        <v>97</v>
      </c>
      <c r="AA1086" s="58" t="s">
        <v>373</v>
      </c>
      <c r="AB1086" s="58" t="s">
        <v>75</v>
      </c>
      <c r="AC1086" s="61" t="s">
        <v>76</v>
      </c>
      <c r="AD1086" s="53" t="s">
        <v>85</v>
      </c>
      <c r="AE1086" s="56">
        <v>0.18</v>
      </c>
      <c r="AF1086" s="56">
        <v>0.18</v>
      </c>
      <c r="AG1086" s="56">
        <v>0.18</v>
      </c>
      <c r="AH1086" s="56">
        <v>0.18</v>
      </c>
      <c r="AI1086" s="56">
        <v>0.18</v>
      </c>
      <c r="AJ1086" s="56">
        <v>0.18</v>
      </c>
      <c r="AK1086" s="56">
        <v>0.18</v>
      </c>
      <c r="AL1086" s="56">
        <v>0.18</v>
      </c>
      <c r="AM1086" s="56">
        <v>0.18</v>
      </c>
      <c r="AN1086" s="56">
        <v>0.18</v>
      </c>
      <c r="AO1086" s="66" t="s">
        <v>78</v>
      </c>
      <c r="AP1086" s="65">
        <v>0.75200000000000033</v>
      </c>
      <c r="AQ1086" s="65">
        <v>0.7</v>
      </c>
      <c r="AR1086" s="65">
        <v>0.7</v>
      </c>
      <c r="AS1086" s="65">
        <v>0.7</v>
      </c>
      <c r="AT1086" s="65">
        <v>0.7</v>
      </c>
      <c r="AU1086" s="65">
        <v>0.7</v>
      </c>
      <c r="AV1086" s="65">
        <v>0.7</v>
      </c>
      <c r="AW1086" s="65">
        <v>0.7</v>
      </c>
      <c r="AX1086" s="65">
        <v>0.7</v>
      </c>
      <c r="AY1086" s="65">
        <v>0.7</v>
      </c>
      <c r="AZ1086" s="65">
        <v>0.7</v>
      </c>
      <c r="BA1086" s="65">
        <v>0.7</v>
      </c>
      <c r="BB1086" s="65">
        <v>0.7</v>
      </c>
      <c r="BC1086" s="65">
        <v>0.8</v>
      </c>
      <c r="BD1086" s="65">
        <v>0.8</v>
      </c>
      <c r="BE1086" s="65">
        <v>0.8</v>
      </c>
      <c r="BF1086" s="65">
        <v>0.8</v>
      </c>
      <c r="BG1086" s="65">
        <v>0.8</v>
      </c>
      <c r="BH1086" s="65">
        <v>0.8</v>
      </c>
      <c r="BI1086" s="65">
        <v>0.8</v>
      </c>
      <c r="BJ1086" s="65">
        <v>0.8</v>
      </c>
      <c r="BK1086" s="65">
        <v>0.8</v>
      </c>
      <c r="BL1086" s="65">
        <v>0.8</v>
      </c>
      <c r="BM1086" s="65">
        <v>0.8</v>
      </c>
      <c r="BN1086" s="65">
        <v>0.8</v>
      </c>
      <c r="BO1086" s="65">
        <v>0.8</v>
      </c>
    </row>
    <row r="1087" spans="1:67" s="58" customFormat="1" x14ac:dyDescent="0.2">
      <c r="A1087" s="49" t="s">
        <v>67</v>
      </c>
      <c r="B1087" s="50">
        <v>43206</v>
      </c>
      <c r="C1087" s="51">
        <v>0.80208333333333304</v>
      </c>
      <c r="D1087" s="49" t="s">
        <v>256</v>
      </c>
      <c r="E1087" s="49">
        <v>3</v>
      </c>
      <c r="F1087" s="52">
        <v>62</v>
      </c>
      <c r="G1087" s="53">
        <v>2</v>
      </c>
      <c r="H1087" s="54">
        <v>3.2258064516129031E-2</v>
      </c>
      <c r="I1087" s="55">
        <v>6.83E-2</v>
      </c>
      <c r="J1087" s="53">
        <v>314.15899999999999</v>
      </c>
      <c r="K1087" s="53">
        <v>0.47809999999999997</v>
      </c>
      <c r="L1087" s="53">
        <v>7</v>
      </c>
      <c r="M1087" s="56">
        <v>328.54946663877848</v>
      </c>
      <c r="N1087" s="53">
        <v>1037</v>
      </c>
      <c r="O1087" s="57" t="s">
        <v>86</v>
      </c>
      <c r="P1087" s="57" t="s">
        <v>82</v>
      </c>
      <c r="Q1087" s="53" t="s">
        <v>87</v>
      </c>
      <c r="R1087" s="53" t="s">
        <v>84</v>
      </c>
      <c r="S1087" s="53"/>
      <c r="T1087" s="59">
        <v>4</v>
      </c>
      <c r="U1087" s="59">
        <v>4</v>
      </c>
      <c r="V1087" s="53">
        <v>3.7</v>
      </c>
      <c r="W1087" s="53"/>
      <c r="X1087" s="53"/>
      <c r="Y1087" s="9">
        <f t="shared" si="16"/>
        <v>1314.1978665551139</v>
      </c>
      <c r="Z1087" s="60" t="s">
        <v>73</v>
      </c>
      <c r="AA1087" s="58" t="s">
        <v>374</v>
      </c>
      <c r="AB1087" s="58" t="s">
        <v>75</v>
      </c>
      <c r="AC1087" s="61" t="s">
        <v>221</v>
      </c>
      <c r="AD1087" s="53" t="s">
        <v>85</v>
      </c>
      <c r="AE1087" s="56">
        <v>18.816553304999996</v>
      </c>
      <c r="AF1087" s="62"/>
      <c r="AG1087" s="63"/>
      <c r="AH1087" s="61"/>
      <c r="AO1087" s="64" t="s">
        <v>78</v>
      </c>
      <c r="AP1087" s="65">
        <v>3.25</v>
      </c>
      <c r="AQ1087" s="65">
        <v>2.8</v>
      </c>
      <c r="AR1087" s="65">
        <v>3.7</v>
      </c>
      <c r="AS1087" s="65">
        <v>2.8</v>
      </c>
      <c r="AT1087" s="65">
        <v>3.7</v>
      </c>
      <c r="AU1087" s="65"/>
      <c r="AV1087" s="65"/>
      <c r="AW1087" s="65"/>
      <c r="AX1087" s="65"/>
      <c r="AY1087" s="65"/>
      <c r="AZ1087" s="65"/>
      <c r="BA1087" s="65"/>
      <c r="BB1087" s="65"/>
      <c r="BC1087" s="65"/>
      <c r="BD1087" s="65"/>
      <c r="BE1087" s="65"/>
      <c r="BF1087" s="65"/>
      <c r="BG1087" s="65"/>
      <c r="BH1087" s="65"/>
      <c r="BI1087" s="65"/>
      <c r="BJ1087" s="65"/>
      <c r="BK1087" s="65"/>
      <c r="BL1087" s="65"/>
      <c r="BM1087" s="65"/>
      <c r="BN1087" s="65"/>
      <c r="BO1087" s="65"/>
    </row>
    <row r="1088" spans="1:67" s="58" customFormat="1" x14ac:dyDescent="0.2">
      <c r="A1088" s="49" t="s">
        <v>67</v>
      </c>
      <c r="B1088" s="50">
        <v>43206</v>
      </c>
      <c r="C1088" s="51">
        <v>0.80208333333333304</v>
      </c>
      <c r="D1088" s="49" t="s">
        <v>256</v>
      </c>
      <c r="E1088" s="49">
        <v>3</v>
      </c>
      <c r="F1088" s="52">
        <v>62</v>
      </c>
      <c r="G1088" s="53">
        <v>2</v>
      </c>
      <c r="H1088" s="54">
        <v>3.2258064516129031E-2</v>
      </c>
      <c r="I1088" s="55">
        <v>6.83E-2</v>
      </c>
      <c r="J1088" s="53">
        <v>314.15899999999999</v>
      </c>
      <c r="K1088" s="53">
        <v>0.47809999999999997</v>
      </c>
      <c r="L1088" s="53">
        <v>7</v>
      </c>
      <c r="M1088" s="56">
        <v>328.54946663877848</v>
      </c>
      <c r="N1088" s="53">
        <v>1134</v>
      </c>
      <c r="O1088" s="58" t="s">
        <v>375</v>
      </c>
      <c r="P1088" s="57" t="s">
        <v>82</v>
      </c>
      <c r="Q1088" s="53" t="s">
        <v>127</v>
      </c>
      <c r="R1088" s="53" t="s">
        <v>376</v>
      </c>
      <c r="S1088" s="53"/>
      <c r="T1088" s="59">
        <v>1</v>
      </c>
      <c r="U1088" s="59">
        <v>1</v>
      </c>
      <c r="V1088" s="53">
        <v>13</v>
      </c>
      <c r="W1088" s="53"/>
      <c r="X1088" s="53"/>
      <c r="Y1088" s="9">
        <f t="shared" si="16"/>
        <v>328.54946663877848</v>
      </c>
      <c r="Z1088" s="60" t="s">
        <v>73</v>
      </c>
      <c r="AA1088" s="58" t="s">
        <v>374</v>
      </c>
      <c r="AB1088" s="58" t="s">
        <v>75</v>
      </c>
      <c r="AC1088" s="61" t="s">
        <v>221</v>
      </c>
      <c r="AD1088" s="53" t="s">
        <v>129</v>
      </c>
      <c r="AE1088" s="56">
        <v>24.572469783333329</v>
      </c>
      <c r="AF1088" s="62"/>
      <c r="AG1088" s="63"/>
      <c r="AH1088" s="61"/>
      <c r="AO1088" s="64" t="s">
        <v>78</v>
      </c>
      <c r="AP1088" s="65">
        <v>13</v>
      </c>
      <c r="AQ1088" s="65">
        <v>13</v>
      </c>
      <c r="AR1088" s="65"/>
      <c r="AS1088" s="65"/>
      <c r="AT1088" s="65"/>
      <c r="AU1088" s="65"/>
      <c r="AV1088" s="65"/>
      <c r="AW1088" s="65"/>
      <c r="AX1088" s="65"/>
      <c r="AY1088" s="65"/>
      <c r="AZ1088" s="65"/>
      <c r="BA1088" s="65"/>
      <c r="BB1088" s="65"/>
      <c r="BC1088" s="65"/>
      <c r="BD1088" s="65"/>
      <c r="BE1088" s="65"/>
      <c r="BF1088" s="65"/>
      <c r="BG1088" s="65"/>
      <c r="BH1088" s="65"/>
      <c r="BI1088" s="65"/>
      <c r="BJ1088" s="65"/>
      <c r="BK1088" s="65"/>
      <c r="BL1088" s="65"/>
      <c r="BM1088" s="65"/>
      <c r="BN1088" s="65"/>
      <c r="BO1088" s="65"/>
    </row>
    <row r="1089" spans="1:67" s="58" customFormat="1" x14ac:dyDescent="0.2">
      <c r="A1089" s="49"/>
      <c r="B1089" s="50"/>
      <c r="C1089" s="51"/>
      <c r="D1089" s="49"/>
      <c r="E1089" s="49"/>
      <c r="F1089" s="52"/>
      <c r="G1089" s="53"/>
      <c r="H1089" s="54"/>
      <c r="I1089" s="55"/>
      <c r="J1089" s="53"/>
      <c r="K1089" s="53"/>
      <c r="L1089" s="53"/>
      <c r="M1089" s="56"/>
      <c r="N1089" s="53"/>
      <c r="P1089" s="57"/>
      <c r="Q1089" s="53"/>
      <c r="R1089" s="53"/>
      <c r="S1089" s="53"/>
      <c r="T1089" s="59"/>
      <c r="U1089" s="59"/>
      <c r="V1089" s="53"/>
      <c r="W1089" s="53"/>
      <c r="X1089" s="53"/>
      <c r="Y1089" s="9" t="e">
        <f t="shared" si="16"/>
        <v>#DIV/0!</v>
      </c>
      <c r="Z1089" s="60"/>
      <c r="AC1089" s="61"/>
      <c r="AD1089" s="53"/>
      <c r="AE1089" s="56"/>
      <c r="AF1089" s="62"/>
      <c r="AG1089" s="63"/>
      <c r="AH1089" s="61"/>
      <c r="AO1089" s="64" t="s">
        <v>79</v>
      </c>
      <c r="AP1089" s="65">
        <v>1.9</v>
      </c>
      <c r="AQ1089" s="65">
        <v>1.9</v>
      </c>
      <c r="AR1089" s="65"/>
      <c r="AS1089" s="65"/>
      <c r="AT1089" s="65"/>
      <c r="AU1089" s="65"/>
      <c r="AV1089" s="65"/>
      <c r="AW1089" s="65"/>
      <c r="AX1089" s="65"/>
      <c r="AY1089" s="65"/>
      <c r="AZ1089" s="65"/>
      <c r="BA1089" s="65"/>
      <c r="BB1089" s="65"/>
      <c r="BC1089" s="65"/>
      <c r="BD1089" s="65"/>
      <c r="BE1089" s="65"/>
      <c r="BF1089" s="65"/>
      <c r="BG1089" s="65"/>
      <c r="BH1089" s="65"/>
      <c r="BI1089" s="65"/>
      <c r="BJ1089" s="65"/>
      <c r="BK1089" s="65"/>
      <c r="BL1089" s="65"/>
      <c r="BM1089" s="65"/>
      <c r="BN1089" s="65"/>
      <c r="BO1089" s="65"/>
    </row>
    <row r="1090" spans="1:67" s="58" customFormat="1" x14ac:dyDescent="0.2">
      <c r="A1090" s="49" t="s">
        <v>67</v>
      </c>
      <c r="B1090" s="50">
        <v>43206</v>
      </c>
      <c r="C1090" s="51">
        <v>0.80208333333333304</v>
      </c>
      <c r="D1090" s="49" t="s">
        <v>256</v>
      </c>
      <c r="E1090" s="49">
        <v>3</v>
      </c>
      <c r="F1090" s="52">
        <v>62</v>
      </c>
      <c r="G1090" s="53">
        <v>2</v>
      </c>
      <c r="H1090" s="54">
        <v>3.2258064516129031E-2</v>
      </c>
      <c r="I1090" s="55">
        <v>6.83E-2</v>
      </c>
      <c r="J1090" s="53">
        <v>314.15899999999999</v>
      </c>
      <c r="K1090" s="53">
        <v>0.47809999999999997</v>
      </c>
      <c r="L1090" s="53">
        <v>7</v>
      </c>
      <c r="M1090" s="56">
        <v>328.54946663877848</v>
      </c>
      <c r="N1090" s="53">
        <v>1419</v>
      </c>
      <c r="O1090" s="57" t="s">
        <v>94</v>
      </c>
      <c r="P1090" s="57" t="s">
        <v>82</v>
      </c>
      <c r="Q1090" s="53" t="s">
        <v>95</v>
      </c>
      <c r="R1090" s="53" t="s">
        <v>96</v>
      </c>
      <c r="S1090" s="53"/>
      <c r="T1090" s="59">
        <v>450</v>
      </c>
      <c r="U1090" s="59">
        <v>902</v>
      </c>
      <c r="V1090" s="53">
        <v>0.8</v>
      </c>
      <c r="W1090" s="53">
        <v>0.8</v>
      </c>
      <c r="X1090" s="53">
        <v>0.8</v>
      </c>
      <c r="Y1090" s="9">
        <f t="shared" si="16"/>
        <v>147847.25998745032</v>
      </c>
      <c r="Z1090" s="60" t="s">
        <v>97</v>
      </c>
      <c r="AA1090" s="58" t="s">
        <v>374</v>
      </c>
      <c r="AB1090" s="58" t="s">
        <v>75</v>
      </c>
      <c r="AC1090" s="61" t="s">
        <v>221</v>
      </c>
      <c r="AD1090" s="53" t="s">
        <v>85</v>
      </c>
      <c r="AE1090" s="56">
        <v>0.18</v>
      </c>
      <c r="AF1090" s="56">
        <v>0.18</v>
      </c>
      <c r="AG1090" s="56">
        <v>0.18</v>
      </c>
      <c r="AH1090" s="56">
        <v>0.18</v>
      </c>
      <c r="AI1090" s="56">
        <v>0.18</v>
      </c>
      <c r="AJ1090" s="56">
        <v>0.18</v>
      </c>
      <c r="AK1090" s="56">
        <v>0.18</v>
      </c>
      <c r="AL1090" s="56">
        <v>0.18</v>
      </c>
      <c r="AM1090" s="56">
        <v>0.18</v>
      </c>
      <c r="AN1090" s="56">
        <v>0.18</v>
      </c>
      <c r="AO1090" s="66" t="s">
        <v>78</v>
      </c>
      <c r="AP1090" s="65">
        <v>0.75200000000000033</v>
      </c>
      <c r="AQ1090" s="65">
        <v>0.7</v>
      </c>
      <c r="AR1090" s="65">
        <v>0.7</v>
      </c>
      <c r="AS1090" s="65">
        <v>0.7</v>
      </c>
      <c r="AT1090" s="65">
        <v>0.7</v>
      </c>
      <c r="AU1090" s="65">
        <v>0.7</v>
      </c>
      <c r="AV1090" s="65">
        <v>0.7</v>
      </c>
      <c r="AW1090" s="65">
        <v>0.7</v>
      </c>
      <c r="AX1090" s="65">
        <v>0.7</v>
      </c>
      <c r="AY1090" s="65">
        <v>0.7</v>
      </c>
      <c r="AZ1090" s="65">
        <v>0.7</v>
      </c>
      <c r="BA1090" s="65">
        <v>0.7</v>
      </c>
      <c r="BB1090" s="65">
        <v>0.7</v>
      </c>
      <c r="BC1090" s="65">
        <v>0.8</v>
      </c>
      <c r="BD1090" s="65">
        <v>0.8</v>
      </c>
      <c r="BE1090" s="65">
        <v>0.8</v>
      </c>
      <c r="BF1090" s="65">
        <v>0.8</v>
      </c>
      <c r="BG1090" s="65">
        <v>0.8</v>
      </c>
      <c r="BH1090" s="65">
        <v>0.8</v>
      </c>
      <c r="BI1090" s="65">
        <v>0.8</v>
      </c>
      <c r="BJ1090" s="65">
        <v>0.8</v>
      </c>
      <c r="BK1090" s="65">
        <v>0.8</v>
      </c>
      <c r="BL1090" s="65">
        <v>0.8</v>
      </c>
      <c r="BM1090" s="65">
        <v>0.8</v>
      </c>
      <c r="BN1090" s="65">
        <v>0.8</v>
      </c>
      <c r="BO1090" s="65">
        <v>0.8</v>
      </c>
    </row>
    <row r="1091" spans="1:67" s="58" customFormat="1" x14ac:dyDescent="0.2">
      <c r="A1091" s="49" t="s">
        <v>67</v>
      </c>
      <c r="B1091" s="50">
        <v>43206</v>
      </c>
      <c r="C1091" s="51">
        <v>0.80208333333333304</v>
      </c>
      <c r="D1091" s="49" t="s">
        <v>256</v>
      </c>
      <c r="E1091" s="49">
        <v>3</v>
      </c>
      <c r="F1091" s="52">
        <v>62</v>
      </c>
      <c r="G1091" s="53">
        <v>2</v>
      </c>
      <c r="H1091" s="54">
        <v>3.2258064516129031E-2</v>
      </c>
      <c r="I1091" s="55">
        <v>6.83E-2</v>
      </c>
      <c r="J1091" s="53">
        <v>314.15899999999999</v>
      </c>
      <c r="K1091" s="53">
        <v>0.47809999999999997</v>
      </c>
      <c r="L1091" s="53">
        <v>7</v>
      </c>
      <c r="M1091" s="56">
        <v>328.54946663877848</v>
      </c>
      <c r="N1091" s="53">
        <v>1519</v>
      </c>
      <c r="O1091" s="58" t="s">
        <v>301</v>
      </c>
      <c r="P1091" s="57" t="s">
        <v>82</v>
      </c>
      <c r="Q1091" s="53" t="s">
        <v>302</v>
      </c>
      <c r="R1091" s="53" t="s">
        <v>84</v>
      </c>
      <c r="S1091" s="53"/>
      <c r="T1091" s="59">
        <v>1</v>
      </c>
      <c r="U1091" s="59">
        <v>6</v>
      </c>
      <c r="V1091" s="53">
        <v>0.8</v>
      </c>
      <c r="W1091" s="53"/>
      <c r="X1091" s="53"/>
      <c r="Y1091" s="9">
        <f t="shared" ref="Y1091:Y1154" si="17">(T1091*J1091)/(G1091*I1091*L1091)</f>
        <v>328.54946663877848</v>
      </c>
      <c r="Z1091" s="60" t="s">
        <v>97</v>
      </c>
      <c r="AA1091" s="58" t="s">
        <v>374</v>
      </c>
      <c r="AB1091" s="58" t="s">
        <v>75</v>
      </c>
      <c r="AC1091" s="61" t="s">
        <v>221</v>
      </c>
      <c r="AD1091" s="53" t="s">
        <v>85</v>
      </c>
      <c r="AE1091" s="56">
        <v>0.26808234666666664</v>
      </c>
      <c r="AF1091" s="62"/>
      <c r="AG1091" s="63"/>
      <c r="AH1091" s="61"/>
      <c r="AO1091" s="64" t="s">
        <v>78</v>
      </c>
      <c r="AP1091" s="65">
        <v>0.8</v>
      </c>
      <c r="AQ1091" s="65">
        <v>0.8</v>
      </c>
      <c r="AR1091" s="65">
        <v>0.8</v>
      </c>
      <c r="AS1091" s="65">
        <v>0.8</v>
      </c>
      <c r="AT1091" s="65">
        <v>0.8</v>
      </c>
      <c r="AU1091" s="65">
        <v>0.8</v>
      </c>
      <c r="AV1091" s="65"/>
      <c r="AW1091" s="65"/>
      <c r="AX1091" s="65"/>
      <c r="AY1091" s="65"/>
      <c r="AZ1091" s="65"/>
      <c r="BA1091" s="65"/>
      <c r="BB1091" s="65"/>
      <c r="BC1091" s="65"/>
      <c r="BD1091" s="65"/>
      <c r="BE1091" s="65"/>
      <c r="BF1091" s="65"/>
      <c r="BG1091" s="65"/>
      <c r="BH1091" s="65"/>
      <c r="BI1091" s="65"/>
      <c r="BJ1091" s="65"/>
      <c r="BK1091" s="65"/>
      <c r="BL1091" s="65"/>
      <c r="BM1091" s="65"/>
      <c r="BN1091" s="65"/>
      <c r="BO1091" s="65"/>
    </row>
    <row r="1092" spans="1:67" s="58" customFormat="1" x14ac:dyDescent="0.2">
      <c r="A1092" s="49" t="s">
        <v>67</v>
      </c>
      <c r="B1092" s="50">
        <v>43173</v>
      </c>
      <c r="C1092" s="51">
        <v>0.69444444444444497</v>
      </c>
      <c r="D1092" s="49" t="s">
        <v>219</v>
      </c>
      <c r="E1092" s="49"/>
      <c r="F1092" s="52">
        <v>59.5</v>
      </c>
      <c r="G1092" s="53">
        <v>2</v>
      </c>
      <c r="H1092" s="54">
        <v>3.3613445378151259E-2</v>
      </c>
      <c r="I1092" s="55">
        <v>6.83E-2</v>
      </c>
      <c r="J1092" s="53">
        <v>314.15899999999999</v>
      </c>
      <c r="K1092" s="53">
        <v>0.61470000000000002</v>
      </c>
      <c r="L1092" s="53">
        <v>9</v>
      </c>
      <c r="M1092" s="56">
        <v>255.53847405238326</v>
      </c>
      <c r="N1092" s="53">
        <v>310</v>
      </c>
      <c r="O1092" s="57" t="s">
        <v>377</v>
      </c>
      <c r="P1092" s="58" t="s">
        <v>70</v>
      </c>
      <c r="Q1092" s="53" t="s">
        <v>292</v>
      </c>
      <c r="R1092" s="53" t="s">
        <v>84</v>
      </c>
      <c r="S1092" s="53"/>
      <c r="T1092" s="59">
        <v>1</v>
      </c>
      <c r="U1092" s="59">
        <v>1</v>
      </c>
      <c r="V1092" s="53">
        <v>24.1</v>
      </c>
      <c r="W1092" s="53"/>
      <c r="X1092" s="53"/>
      <c r="Y1092" s="9">
        <f t="shared" si="17"/>
        <v>255.53847405238326</v>
      </c>
      <c r="Z1092" s="60" t="s">
        <v>73</v>
      </c>
      <c r="AA1092" s="58" t="s">
        <v>378</v>
      </c>
      <c r="AB1092" s="58" t="s">
        <v>75</v>
      </c>
      <c r="AC1092" s="61" t="s">
        <v>379</v>
      </c>
      <c r="AD1092" s="53" t="s">
        <v>293</v>
      </c>
      <c r="AE1092" s="56">
        <v>373.43097985120988</v>
      </c>
      <c r="AF1092" s="62"/>
      <c r="AG1092" s="63"/>
      <c r="AH1092" s="61"/>
      <c r="AO1092" s="64" t="s">
        <v>78</v>
      </c>
      <c r="AP1092" s="65">
        <v>24.1</v>
      </c>
      <c r="AQ1092" s="65">
        <v>24.1</v>
      </c>
      <c r="AR1092" s="65"/>
      <c r="AS1092" s="65"/>
      <c r="AT1092" s="65"/>
      <c r="AU1092" s="65"/>
      <c r="AV1092" s="65"/>
      <c r="AW1092" s="65"/>
      <c r="AX1092" s="65"/>
      <c r="AY1092" s="65"/>
      <c r="AZ1092" s="65"/>
      <c r="BA1092" s="65"/>
      <c r="BB1092" s="65"/>
      <c r="BC1092" s="65"/>
      <c r="BD1092" s="65"/>
      <c r="BE1092" s="65"/>
      <c r="BF1092" s="65"/>
      <c r="BG1092" s="65"/>
      <c r="BH1092" s="65"/>
      <c r="BI1092" s="65"/>
      <c r="BJ1092" s="65"/>
      <c r="BK1092" s="65"/>
      <c r="BL1092" s="65"/>
      <c r="BM1092" s="65"/>
      <c r="BN1092" s="65"/>
      <c r="BO1092" s="65"/>
    </row>
    <row r="1093" spans="1:67" s="58" customFormat="1" x14ac:dyDescent="0.2">
      <c r="A1093" s="49"/>
      <c r="B1093" s="50"/>
      <c r="C1093" s="51"/>
      <c r="D1093" s="49"/>
      <c r="E1093" s="49"/>
      <c r="F1093" s="52"/>
      <c r="G1093" s="53"/>
      <c r="H1093" s="54"/>
      <c r="I1093" s="55"/>
      <c r="J1093" s="53"/>
      <c r="K1093" s="53"/>
      <c r="L1093" s="53"/>
      <c r="M1093" s="56"/>
      <c r="N1093" s="53"/>
      <c r="O1093" s="57"/>
      <c r="Q1093" s="53"/>
      <c r="R1093" s="53"/>
      <c r="S1093" s="53"/>
      <c r="T1093" s="59"/>
      <c r="U1093" s="59"/>
      <c r="V1093" s="53"/>
      <c r="W1093" s="53"/>
      <c r="X1093" s="53"/>
      <c r="Y1093" s="9" t="e">
        <f t="shared" si="17"/>
        <v>#DIV/0!</v>
      </c>
      <c r="Z1093" s="60"/>
      <c r="AC1093" s="61"/>
      <c r="AD1093" s="53"/>
      <c r="AE1093" s="56"/>
      <c r="AF1093" s="62"/>
      <c r="AG1093" s="63"/>
      <c r="AH1093" s="61"/>
      <c r="AO1093" s="64" t="s">
        <v>79</v>
      </c>
      <c r="AP1093" s="65">
        <v>8.3000000000000007</v>
      </c>
      <c r="AQ1093" s="65">
        <v>8.3000000000000007</v>
      </c>
      <c r="AR1093" s="65"/>
      <c r="AS1093" s="65"/>
      <c r="AT1093" s="65"/>
      <c r="AU1093" s="65"/>
      <c r="AV1093" s="65"/>
      <c r="AW1093" s="65"/>
      <c r="AX1093" s="65"/>
      <c r="AY1093" s="65"/>
      <c r="AZ1093" s="65"/>
      <c r="BA1093" s="65"/>
      <c r="BB1093" s="65"/>
      <c r="BC1093" s="65"/>
      <c r="BD1093" s="65"/>
      <c r="BE1093" s="65"/>
      <c r="BF1093" s="65"/>
      <c r="BG1093" s="65"/>
      <c r="BH1093" s="65"/>
      <c r="BI1093" s="65"/>
      <c r="BJ1093" s="65"/>
      <c r="BK1093" s="65"/>
      <c r="BL1093" s="65"/>
      <c r="BM1093" s="65"/>
      <c r="BN1093" s="65"/>
      <c r="BO1093" s="65"/>
    </row>
    <row r="1094" spans="1:67" s="58" customFormat="1" x14ac:dyDescent="0.2">
      <c r="A1094" s="49"/>
      <c r="B1094" s="50"/>
      <c r="C1094" s="51"/>
      <c r="D1094" s="49"/>
      <c r="E1094" s="49"/>
      <c r="F1094" s="52"/>
      <c r="G1094" s="53"/>
      <c r="H1094" s="54"/>
      <c r="I1094" s="55"/>
      <c r="J1094" s="53"/>
      <c r="K1094" s="53"/>
      <c r="L1094" s="53"/>
      <c r="M1094" s="56"/>
      <c r="N1094" s="53"/>
      <c r="O1094" s="57"/>
      <c r="Q1094" s="53"/>
      <c r="R1094" s="53"/>
      <c r="S1094" s="53"/>
      <c r="T1094" s="59"/>
      <c r="U1094" s="59"/>
      <c r="V1094" s="53"/>
      <c r="W1094" s="53"/>
      <c r="X1094" s="53"/>
      <c r="Y1094" s="9" t="e">
        <f t="shared" si="17"/>
        <v>#DIV/0!</v>
      </c>
      <c r="Z1094" s="60"/>
      <c r="AC1094" s="61"/>
      <c r="AD1094" s="53"/>
      <c r="AE1094" s="56"/>
      <c r="AF1094" s="62"/>
      <c r="AG1094" s="63"/>
      <c r="AH1094" s="61"/>
      <c r="AO1094" s="64" t="s">
        <v>80</v>
      </c>
      <c r="AP1094" s="65">
        <v>5.6</v>
      </c>
      <c r="AQ1094" s="65">
        <v>5.6</v>
      </c>
      <c r="AR1094" s="65"/>
      <c r="AS1094" s="65"/>
      <c r="AT1094" s="65"/>
      <c r="AU1094" s="65"/>
      <c r="AV1094" s="65"/>
      <c r="AW1094" s="65"/>
      <c r="AX1094" s="65"/>
      <c r="AY1094" s="65"/>
      <c r="AZ1094" s="65"/>
      <c r="BA1094" s="65"/>
      <c r="BB1094" s="65"/>
      <c r="BC1094" s="65"/>
      <c r="BD1094" s="65"/>
      <c r="BE1094" s="65"/>
      <c r="BF1094" s="65"/>
      <c r="BG1094" s="65"/>
      <c r="BH1094" s="65"/>
      <c r="BI1094" s="65"/>
      <c r="BJ1094" s="65"/>
      <c r="BK1094" s="65"/>
      <c r="BL1094" s="65"/>
      <c r="BM1094" s="65"/>
      <c r="BN1094" s="65"/>
      <c r="BO1094" s="65"/>
    </row>
    <row r="1095" spans="1:67" s="58" customFormat="1" x14ac:dyDescent="0.2">
      <c r="A1095" s="49" t="s">
        <v>67</v>
      </c>
      <c r="B1095" s="50">
        <v>43173</v>
      </c>
      <c r="C1095" s="51">
        <v>0.69444444444444497</v>
      </c>
      <c r="D1095" s="49" t="s">
        <v>219</v>
      </c>
      <c r="E1095" s="49"/>
      <c r="F1095" s="52">
        <v>59.5</v>
      </c>
      <c r="G1095" s="53">
        <v>2</v>
      </c>
      <c r="H1095" s="54">
        <v>3.3613445378151259E-2</v>
      </c>
      <c r="I1095" s="55">
        <v>6.83E-2</v>
      </c>
      <c r="J1095" s="53">
        <v>314.15899999999999</v>
      </c>
      <c r="K1095" s="53">
        <v>0.61470000000000002</v>
      </c>
      <c r="L1095" s="53">
        <v>9</v>
      </c>
      <c r="M1095" s="56">
        <v>255.53847405238326</v>
      </c>
      <c r="N1095" s="53">
        <v>1037</v>
      </c>
      <c r="O1095" s="57" t="s">
        <v>86</v>
      </c>
      <c r="P1095" s="57" t="s">
        <v>82</v>
      </c>
      <c r="Q1095" s="53" t="s">
        <v>87</v>
      </c>
      <c r="R1095" s="53" t="s">
        <v>84</v>
      </c>
      <c r="S1095" s="53"/>
      <c r="T1095" s="59">
        <v>7</v>
      </c>
      <c r="U1095" s="59">
        <v>7</v>
      </c>
      <c r="V1095" s="53">
        <v>2.8</v>
      </c>
      <c r="W1095" s="53"/>
      <c r="X1095" s="53"/>
      <c r="Y1095" s="9">
        <f t="shared" si="17"/>
        <v>1788.7693183666827</v>
      </c>
      <c r="Z1095" s="60" t="s">
        <v>73</v>
      </c>
      <c r="AA1095" s="58" t="s">
        <v>378</v>
      </c>
      <c r="AB1095" s="58" t="s">
        <v>75</v>
      </c>
      <c r="AC1095" s="61" t="s">
        <v>380</v>
      </c>
      <c r="AD1095" s="53" t="s">
        <v>85</v>
      </c>
      <c r="AE1095" s="56">
        <v>6.3706209216666645</v>
      </c>
      <c r="AF1095" s="62"/>
      <c r="AG1095" s="63"/>
      <c r="AH1095" s="61"/>
      <c r="AO1095" s="64" t="s">
        <v>78</v>
      </c>
      <c r="AP1095" s="65">
        <v>2.2600000000000002</v>
      </c>
      <c r="AQ1095" s="65">
        <v>1.9</v>
      </c>
      <c r="AR1095" s="65">
        <v>2.8</v>
      </c>
      <c r="AS1095" s="65">
        <v>1.9</v>
      </c>
      <c r="AT1095" s="65">
        <v>1.9</v>
      </c>
      <c r="AU1095" s="65">
        <v>2.8</v>
      </c>
      <c r="AV1095" s="65"/>
      <c r="AW1095" s="65"/>
      <c r="AX1095" s="65"/>
      <c r="AY1095" s="65"/>
      <c r="AZ1095" s="65"/>
      <c r="BA1095" s="65"/>
      <c r="BB1095" s="65"/>
      <c r="BC1095" s="65"/>
      <c r="BD1095" s="65"/>
      <c r="BE1095" s="65"/>
      <c r="BF1095" s="65"/>
      <c r="BG1095" s="65"/>
      <c r="BH1095" s="65"/>
      <c r="BI1095" s="65"/>
      <c r="BJ1095" s="65"/>
      <c r="BK1095" s="65"/>
      <c r="BL1095" s="65"/>
      <c r="BM1095" s="65"/>
      <c r="BN1095" s="65"/>
      <c r="BO1095" s="65"/>
    </row>
    <row r="1096" spans="1:67" s="58" customFormat="1" x14ac:dyDescent="0.2">
      <c r="A1096" s="49" t="s">
        <v>67</v>
      </c>
      <c r="B1096" s="50">
        <v>43173</v>
      </c>
      <c r="C1096" s="51">
        <v>0.69444444444444497</v>
      </c>
      <c r="D1096" s="49" t="s">
        <v>219</v>
      </c>
      <c r="E1096" s="49"/>
      <c r="F1096" s="52">
        <v>59.5</v>
      </c>
      <c r="G1096" s="53">
        <v>2</v>
      </c>
      <c r="H1096" s="54">
        <v>3.3613445378151259E-2</v>
      </c>
      <c r="I1096" s="55">
        <v>6.83E-2</v>
      </c>
      <c r="J1096" s="53">
        <v>314.15899999999999</v>
      </c>
      <c r="K1096" s="53">
        <v>0.61470000000000002</v>
      </c>
      <c r="L1096" s="53">
        <v>9</v>
      </c>
      <c r="M1096" s="56">
        <v>255.53847405238326</v>
      </c>
      <c r="N1096" s="53">
        <v>1419</v>
      </c>
      <c r="O1096" s="57" t="s">
        <v>94</v>
      </c>
      <c r="P1096" s="57" t="s">
        <v>82</v>
      </c>
      <c r="Q1096" s="53" t="s">
        <v>95</v>
      </c>
      <c r="R1096" s="53" t="s">
        <v>96</v>
      </c>
      <c r="S1096" s="53"/>
      <c r="T1096" s="59">
        <v>437</v>
      </c>
      <c r="U1096" s="59">
        <v>876</v>
      </c>
      <c r="V1096" s="53">
        <v>0.8</v>
      </c>
      <c r="W1096" s="53">
        <v>0.8</v>
      </c>
      <c r="X1096" s="53">
        <v>0.8</v>
      </c>
      <c r="Y1096" s="9">
        <f t="shared" si="17"/>
        <v>111670.3131608915</v>
      </c>
      <c r="Z1096" s="60" t="s">
        <v>97</v>
      </c>
      <c r="AA1096" s="58" t="s">
        <v>378</v>
      </c>
      <c r="AB1096" s="58" t="s">
        <v>75</v>
      </c>
      <c r="AC1096" s="61" t="s">
        <v>380</v>
      </c>
      <c r="AD1096" s="53" t="s">
        <v>85</v>
      </c>
      <c r="AE1096" s="56">
        <v>0.18</v>
      </c>
      <c r="AF1096" s="56">
        <v>0.18</v>
      </c>
      <c r="AG1096" s="56">
        <v>0.18</v>
      </c>
      <c r="AH1096" s="56">
        <v>0.18</v>
      </c>
      <c r="AI1096" s="56">
        <v>0.18</v>
      </c>
      <c r="AJ1096" s="56">
        <v>0.18</v>
      </c>
      <c r="AK1096" s="56">
        <v>0.18</v>
      </c>
      <c r="AL1096" s="56">
        <v>0.18</v>
      </c>
      <c r="AM1096" s="56">
        <v>0.18</v>
      </c>
      <c r="AN1096" s="56">
        <v>0.18</v>
      </c>
      <c r="AO1096" s="66" t="s">
        <v>78</v>
      </c>
      <c r="AP1096" s="65">
        <v>0.75200000000000033</v>
      </c>
      <c r="AQ1096" s="65">
        <v>0.7</v>
      </c>
      <c r="AR1096" s="65">
        <v>0.7</v>
      </c>
      <c r="AS1096" s="65">
        <v>0.7</v>
      </c>
      <c r="AT1096" s="65">
        <v>0.7</v>
      </c>
      <c r="AU1096" s="65">
        <v>0.7</v>
      </c>
      <c r="AV1096" s="65">
        <v>0.7</v>
      </c>
      <c r="AW1096" s="65">
        <v>0.7</v>
      </c>
      <c r="AX1096" s="65">
        <v>0.7</v>
      </c>
      <c r="AY1096" s="65">
        <v>0.7</v>
      </c>
      <c r="AZ1096" s="65">
        <v>0.7</v>
      </c>
      <c r="BA1096" s="65">
        <v>0.7</v>
      </c>
      <c r="BB1096" s="65">
        <v>0.7</v>
      </c>
      <c r="BC1096" s="65">
        <v>0.8</v>
      </c>
      <c r="BD1096" s="65">
        <v>0.8</v>
      </c>
      <c r="BE1096" s="65">
        <v>0.8</v>
      </c>
      <c r="BF1096" s="65">
        <v>0.8</v>
      </c>
      <c r="BG1096" s="65">
        <v>0.8</v>
      </c>
      <c r="BH1096" s="65">
        <v>0.8</v>
      </c>
      <c r="BI1096" s="65">
        <v>0.8</v>
      </c>
      <c r="BJ1096" s="65">
        <v>0.8</v>
      </c>
      <c r="BK1096" s="65">
        <v>0.8</v>
      </c>
      <c r="BL1096" s="65">
        <v>0.8</v>
      </c>
      <c r="BM1096" s="65">
        <v>0.8</v>
      </c>
      <c r="BN1096" s="65">
        <v>0.8</v>
      </c>
      <c r="BO1096" s="65">
        <v>0.8</v>
      </c>
    </row>
    <row r="1097" spans="1:67" s="58" customFormat="1" x14ac:dyDescent="0.2">
      <c r="A1097" s="49" t="s">
        <v>67</v>
      </c>
      <c r="B1097" s="50">
        <v>43207</v>
      </c>
      <c r="C1097" s="51">
        <v>0.82291666666666696</v>
      </c>
      <c r="D1097" s="49" t="s">
        <v>278</v>
      </c>
      <c r="E1097" s="49"/>
      <c r="F1097" s="52">
        <v>62</v>
      </c>
      <c r="G1097" s="53">
        <v>2</v>
      </c>
      <c r="H1097" s="54">
        <v>3.2258064516129031E-2</v>
      </c>
      <c r="I1097" s="55">
        <v>6.83E-2</v>
      </c>
      <c r="J1097" s="53">
        <v>314.15899999999999</v>
      </c>
      <c r="K1097" s="53">
        <v>0.47809999999999997</v>
      </c>
      <c r="L1097" s="53">
        <v>7</v>
      </c>
      <c r="M1097" s="56">
        <v>328.54946663877848</v>
      </c>
      <c r="N1097" s="53">
        <v>846</v>
      </c>
      <c r="O1097" s="58" t="s">
        <v>381</v>
      </c>
      <c r="P1097" s="58" t="s">
        <v>70</v>
      </c>
      <c r="Q1097" s="53" t="s">
        <v>382</v>
      </c>
      <c r="R1097" s="53" t="s">
        <v>84</v>
      </c>
      <c r="S1097" s="53"/>
      <c r="T1097" s="59">
        <v>1</v>
      </c>
      <c r="U1097" s="59">
        <v>1</v>
      </c>
      <c r="V1097" s="53">
        <v>9.3000000000000007</v>
      </c>
      <c r="W1097" s="53"/>
      <c r="X1097" s="53"/>
      <c r="Y1097" s="9">
        <f t="shared" si="17"/>
        <v>328.54946663877848</v>
      </c>
      <c r="Z1097" s="60" t="s">
        <v>73</v>
      </c>
      <c r="AA1097" s="58" t="s">
        <v>383</v>
      </c>
      <c r="AB1097" s="58" t="s">
        <v>75</v>
      </c>
      <c r="AC1097" s="61" t="s">
        <v>76</v>
      </c>
      <c r="AD1097" s="53" t="s">
        <v>77</v>
      </c>
      <c r="AE1097" s="56">
        <v>124.317428685</v>
      </c>
      <c r="AF1097" s="62"/>
      <c r="AG1097" s="63"/>
      <c r="AH1097" s="61"/>
      <c r="AO1097" s="64" t="s">
        <v>78</v>
      </c>
      <c r="AP1097" s="65">
        <v>9.3000000000000007</v>
      </c>
      <c r="AQ1097" s="65">
        <v>9.3000000000000007</v>
      </c>
      <c r="AR1097" s="65"/>
      <c r="AS1097" s="65"/>
      <c r="AT1097" s="65"/>
      <c r="AU1097" s="65"/>
      <c r="AV1097" s="65"/>
      <c r="AW1097" s="65"/>
      <c r="AX1097" s="65"/>
      <c r="AY1097" s="65"/>
      <c r="AZ1097" s="65"/>
      <c r="BA1097" s="65"/>
      <c r="BB1097" s="65"/>
      <c r="BC1097" s="65"/>
      <c r="BD1097" s="65"/>
      <c r="BE1097" s="65"/>
      <c r="BF1097" s="65"/>
      <c r="BG1097" s="65"/>
      <c r="BH1097" s="65"/>
      <c r="BI1097" s="65"/>
      <c r="BJ1097" s="65"/>
      <c r="BK1097" s="65"/>
      <c r="BL1097" s="65"/>
      <c r="BM1097" s="65"/>
      <c r="BN1097" s="65"/>
      <c r="BO1097" s="65"/>
    </row>
    <row r="1098" spans="1:67" s="58" customFormat="1" x14ac:dyDescent="0.2">
      <c r="A1098" s="49"/>
      <c r="B1098" s="50"/>
      <c r="C1098" s="51"/>
      <c r="D1098" s="49"/>
      <c r="E1098" s="49"/>
      <c r="F1098" s="52"/>
      <c r="G1098" s="53"/>
      <c r="H1098" s="54"/>
      <c r="I1098" s="55"/>
      <c r="J1098" s="53"/>
      <c r="K1098" s="53"/>
      <c r="L1098" s="53"/>
      <c r="M1098" s="56"/>
      <c r="N1098" s="53"/>
      <c r="Q1098" s="53"/>
      <c r="R1098" s="53"/>
      <c r="S1098" s="53"/>
      <c r="T1098" s="59"/>
      <c r="U1098" s="59"/>
      <c r="V1098" s="53"/>
      <c r="W1098" s="53"/>
      <c r="X1098" s="53"/>
      <c r="Y1098" s="9" t="e">
        <f t="shared" si="17"/>
        <v>#DIV/0!</v>
      </c>
      <c r="Z1098" s="60"/>
      <c r="AC1098" s="61"/>
      <c r="AD1098" s="53"/>
      <c r="AE1098" s="56"/>
      <c r="AF1098" s="62"/>
      <c r="AG1098" s="63"/>
      <c r="AH1098" s="61"/>
      <c r="AO1098" s="64" t="s">
        <v>79</v>
      </c>
      <c r="AP1098" s="65">
        <v>4.5999999999999996</v>
      </c>
      <c r="AQ1098" s="65">
        <v>4.5999999999999996</v>
      </c>
      <c r="AR1098" s="65"/>
      <c r="AS1098" s="65"/>
      <c r="AT1098" s="65"/>
      <c r="AU1098" s="65"/>
      <c r="AV1098" s="65"/>
      <c r="AW1098" s="65"/>
      <c r="AX1098" s="65"/>
      <c r="AY1098" s="65"/>
      <c r="AZ1098" s="65"/>
      <c r="BA1098" s="65"/>
      <c r="BB1098" s="65"/>
      <c r="BC1098" s="65"/>
      <c r="BD1098" s="65"/>
      <c r="BE1098" s="65"/>
      <c r="BF1098" s="65"/>
      <c r="BG1098" s="65"/>
      <c r="BH1098" s="65"/>
      <c r="BI1098" s="65"/>
      <c r="BJ1098" s="65"/>
      <c r="BK1098" s="65"/>
      <c r="BL1098" s="65"/>
      <c r="BM1098" s="65"/>
      <c r="BN1098" s="65"/>
      <c r="BO1098" s="65"/>
    </row>
    <row r="1099" spans="1:67" s="58" customFormat="1" x14ac:dyDescent="0.2">
      <c r="A1099" s="49"/>
      <c r="B1099" s="50"/>
      <c r="C1099" s="51"/>
      <c r="D1099" s="49"/>
      <c r="E1099" s="49"/>
      <c r="F1099" s="52"/>
      <c r="G1099" s="53"/>
      <c r="H1099" s="54"/>
      <c r="I1099" s="55"/>
      <c r="J1099" s="53"/>
      <c r="K1099" s="53"/>
      <c r="L1099" s="53"/>
      <c r="M1099" s="56"/>
      <c r="N1099" s="53"/>
      <c r="Q1099" s="53"/>
      <c r="R1099" s="53"/>
      <c r="S1099" s="53"/>
      <c r="T1099" s="59"/>
      <c r="U1099" s="59"/>
      <c r="V1099" s="53"/>
      <c r="W1099" s="53"/>
      <c r="X1099" s="53"/>
      <c r="Y1099" s="9" t="e">
        <f t="shared" si="17"/>
        <v>#DIV/0!</v>
      </c>
      <c r="Z1099" s="60"/>
      <c r="AC1099" s="61"/>
      <c r="AD1099" s="53"/>
      <c r="AE1099" s="56"/>
      <c r="AF1099" s="62"/>
      <c r="AG1099" s="63"/>
      <c r="AH1099" s="61"/>
      <c r="AO1099" s="64" t="s">
        <v>80</v>
      </c>
      <c r="AP1099" s="65">
        <v>3.7</v>
      </c>
      <c r="AQ1099" s="65">
        <v>3.7</v>
      </c>
      <c r="AR1099" s="65"/>
      <c r="AS1099" s="65"/>
      <c r="AT1099" s="65"/>
      <c r="AU1099" s="65"/>
      <c r="AV1099" s="65"/>
      <c r="AW1099" s="65"/>
      <c r="AX1099" s="65"/>
      <c r="AY1099" s="65"/>
      <c r="AZ1099" s="65"/>
      <c r="BA1099" s="65"/>
      <c r="BB1099" s="65"/>
      <c r="BC1099" s="65"/>
      <c r="BD1099" s="65"/>
      <c r="BE1099" s="65"/>
      <c r="BF1099" s="65"/>
      <c r="BG1099" s="65"/>
      <c r="BH1099" s="65"/>
      <c r="BI1099" s="65"/>
      <c r="BJ1099" s="65"/>
      <c r="BK1099" s="65"/>
      <c r="BL1099" s="65"/>
      <c r="BM1099" s="65"/>
      <c r="BN1099" s="65"/>
      <c r="BO1099" s="65"/>
    </row>
    <row r="1100" spans="1:67" s="58" customFormat="1" x14ac:dyDescent="0.2">
      <c r="A1100" s="49" t="s">
        <v>67</v>
      </c>
      <c r="B1100" s="50">
        <v>43207</v>
      </c>
      <c r="C1100" s="51">
        <v>0.82291666666666696</v>
      </c>
      <c r="D1100" s="49" t="s">
        <v>278</v>
      </c>
      <c r="E1100" s="49"/>
      <c r="F1100" s="52">
        <v>62</v>
      </c>
      <c r="G1100" s="53">
        <v>2</v>
      </c>
      <c r="H1100" s="54">
        <v>3.2258064516129031E-2</v>
      </c>
      <c r="I1100" s="55">
        <v>6.83E-2</v>
      </c>
      <c r="J1100" s="53">
        <v>314.15899999999999</v>
      </c>
      <c r="K1100" s="53">
        <v>0.47809999999999997</v>
      </c>
      <c r="L1100" s="53">
        <v>7</v>
      </c>
      <c r="M1100" s="56">
        <v>328.54946663877848</v>
      </c>
      <c r="N1100" s="53">
        <v>1134</v>
      </c>
      <c r="O1100" s="58" t="s">
        <v>375</v>
      </c>
      <c r="P1100" s="57" t="s">
        <v>82</v>
      </c>
      <c r="Q1100" s="53" t="s">
        <v>127</v>
      </c>
      <c r="R1100" s="53" t="s">
        <v>376</v>
      </c>
      <c r="S1100" s="53"/>
      <c r="T1100" s="59">
        <v>1</v>
      </c>
      <c r="U1100" s="59">
        <v>1</v>
      </c>
      <c r="V1100" s="53">
        <v>29.6</v>
      </c>
      <c r="W1100" s="53"/>
      <c r="X1100" s="53"/>
      <c r="Y1100" s="9">
        <f t="shared" si="17"/>
        <v>328.54946663877848</v>
      </c>
      <c r="Z1100" s="60" t="s">
        <v>73</v>
      </c>
      <c r="AA1100" s="58" t="s">
        <v>383</v>
      </c>
      <c r="AB1100" s="58" t="s">
        <v>75</v>
      </c>
      <c r="AC1100" s="61" t="s">
        <v>76</v>
      </c>
      <c r="AD1100" s="53" t="s">
        <v>129</v>
      </c>
      <c r="AE1100" s="56">
        <v>55.949623506666654</v>
      </c>
      <c r="AF1100" s="62"/>
      <c r="AG1100" s="63"/>
      <c r="AH1100" s="61"/>
      <c r="AO1100" s="64" t="s">
        <v>78</v>
      </c>
      <c r="AP1100" s="65">
        <v>29.6</v>
      </c>
      <c r="AQ1100" s="65">
        <v>29.6</v>
      </c>
      <c r="AR1100" s="65"/>
      <c r="AS1100" s="65"/>
      <c r="AT1100" s="65"/>
      <c r="AU1100" s="65"/>
      <c r="AV1100" s="65"/>
      <c r="AW1100" s="65"/>
      <c r="AX1100" s="65"/>
      <c r="AY1100" s="65"/>
      <c r="AZ1100" s="65"/>
      <c r="BA1100" s="65"/>
      <c r="BB1100" s="65"/>
      <c r="BC1100" s="65"/>
      <c r="BD1100" s="65"/>
      <c r="BE1100" s="65"/>
      <c r="BF1100" s="65"/>
      <c r="BG1100" s="65"/>
      <c r="BH1100" s="65"/>
      <c r="BI1100" s="65"/>
      <c r="BJ1100" s="65"/>
      <c r="BK1100" s="65"/>
      <c r="BL1100" s="65"/>
      <c r="BM1100" s="65"/>
      <c r="BN1100" s="65"/>
      <c r="BO1100" s="65"/>
    </row>
    <row r="1101" spans="1:67" s="58" customFormat="1" x14ac:dyDescent="0.2">
      <c r="A1101" s="49"/>
      <c r="B1101" s="50"/>
      <c r="C1101" s="51"/>
      <c r="D1101" s="49"/>
      <c r="E1101" s="49"/>
      <c r="F1101" s="52"/>
      <c r="G1101" s="53"/>
      <c r="H1101" s="54"/>
      <c r="I1101" s="55"/>
      <c r="J1101" s="53"/>
      <c r="K1101" s="53"/>
      <c r="L1101" s="53"/>
      <c r="M1101" s="56"/>
      <c r="N1101" s="53"/>
      <c r="P1101" s="57"/>
      <c r="Q1101" s="53"/>
      <c r="R1101" s="53"/>
      <c r="S1101" s="53"/>
      <c r="T1101" s="59"/>
      <c r="U1101" s="59"/>
      <c r="V1101" s="53"/>
      <c r="W1101" s="53"/>
      <c r="X1101" s="53"/>
      <c r="Y1101" s="9" t="e">
        <f t="shared" si="17"/>
        <v>#DIV/0!</v>
      </c>
      <c r="Z1101" s="60"/>
      <c r="AC1101" s="61"/>
      <c r="AD1101" s="53"/>
      <c r="AE1101" s="56"/>
      <c r="AF1101" s="62"/>
      <c r="AG1101" s="63"/>
      <c r="AH1101" s="61"/>
      <c r="AO1101" s="64" t="s">
        <v>79</v>
      </c>
      <c r="AP1101" s="65">
        <v>1.9</v>
      </c>
      <c r="AQ1101" s="65">
        <v>1.9</v>
      </c>
      <c r="AR1101" s="65"/>
      <c r="AS1101" s="65"/>
      <c r="AT1101" s="65"/>
      <c r="AU1101" s="65"/>
      <c r="AV1101" s="65"/>
      <c r="AW1101" s="65"/>
      <c r="AX1101" s="65"/>
      <c r="AY1101" s="65"/>
      <c r="AZ1101" s="65"/>
      <c r="BA1101" s="65"/>
      <c r="BB1101" s="65"/>
      <c r="BC1101" s="65"/>
      <c r="BD1101" s="65"/>
      <c r="BE1101" s="65"/>
      <c r="BF1101" s="65"/>
      <c r="BG1101" s="65"/>
      <c r="BH1101" s="65"/>
      <c r="BI1101" s="65"/>
      <c r="BJ1101" s="65"/>
      <c r="BK1101" s="65"/>
      <c r="BL1101" s="65"/>
      <c r="BM1101" s="65"/>
      <c r="BN1101" s="65"/>
      <c r="BO1101" s="65"/>
    </row>
    <row r="1102" spans="1:67" s="58" customFormat="1" x14ac:dyDescent="0.2">
      <c r="A1102" s="49" t="s">
        <v>67</v>
      </c>
      <c r="B1102" s="50">
        <v>43207</v>
      </c>
      <c r="C1102" s="51">
        <v>0.82291666666666696</v>
      </c>
      <c r="D1102" s="49" t="s">
        <v>278</v>
      </c>
      <c r="E1102" s="49"/>
      <c r="F1102" s="52">
        <v>62</v>
      </c>
      <c r="G1102" s="53">
        <v>2</v>
      </c>
      <c r="H1102" s="54">
        <v>3.2258064516129031E-2</v>
      </c>
      <c r="I1102" s="55">
        <v>6.83E-2</v>
      </c>
      <c r="J1102" s="53">
        <v>314.15899999999999</v>
      </c>
      <c r="K1102" s="53">
        <v>0.47809999999999997</v>
      </c>
      <c r="L1102" s="53">
        <v>7</v>
      </c>
      <c r="M1102" s="56">
        <v>328.54946663877848</v>
      </c>
      <c r="N1102" s="53">
        <v>1419</v>
      </c>
      <c r="O1102" s="57" t="s">
        <v>94</v>
      </c>
      <c r="P1102" s="57" t="s">
        <v>82</v>
      </c>
      <c r="Q1102" s="53" t="s">
        <v>95</v>
      </c>
      <c r="R1102" s="53" t="s">
        <v>96</v>
      </c>
      <c r="S1102" s="53"/>
      <c r="T1102" s="59">
        <v>463</v>
      </c>
      <c r="U1102" s="59">
        <v>934</v>
      </c>
      <c r="V1102" s="53">
        <v>0.8</v>
      </c>
      <c r="W1102" s="53">
        <v>0.8</v>
      </c>
      <c r="X1102" s="53">
        <v>0.8</v>
      </c>
      <c r="Y1102" s="9">
        <f t="shared" si="17"/>
        <v>152118.40305375445</v>
      </c>
      <c r="Z1102" s="60" t="s">
        <v>97</v>
      </c>
      <c r="AA1102" s="58" t="s">
        <v>383</v>
      </c>
      <c r="AB1102" s="58" t="s">
        <v>75</v>
      </c>
      <c r="AC1102" s="61" t="s">
        <v>76</v>
      </c>
      <c r="AD1102" s="53" t="s">
        <v>85</v>
      </c>
      <c r="AE1102" s="56">
        <v>0.18</v>
      </c>
      <c r="AF1102" s="56">
        <v>0.18</v>
      </c>
      <c r="AG1102" s="56">
        <v>0.18</v>
      </c>
      <c r="AH1102" s="56">
        <v>0.18</v>
      </c>
      <c r="AI1102" s="56">
        <v>0.18</v>
      </c>
      <c r="AJ1102" s="56">
        <v>0.18</v>
      </c>
      <c r="AK1102" s="56">
        <v>0.18</v>
      </c>
      <c r="AL1102" s="56">
        <v>0.18</v>
      </c>
      <c r="AM1102" s="56">
        <v>0.18</v>
      </c>
      <c r="AN1102" s="56">
        <v>0.18</v>
      </c>
      <c r="AO1102" s="66" t="s">
        <v>78</v>
      </c>
      <c r="AP1102" s="65">
        <v>0.75200000000000033</v>
      </c>
      <c r="AQ1102" s="65">
        <v>0.7</v>
      </c>
      <c r="AR1102" s="65">
        <v>0.7</v>
      </c>
      <c r="AS1102" s="65">
        <v>0.7</v>
      </c>
      <c r="AT1102" s="65">
        <v>0.7</v>
      </c>
      <c r="AU1102" s="65">
        <v>0.7</v>
      </c>
      <c r="AV1102" s="65">
        <v>0.7</v>
      </c>
      <c r="AW1102" s="65">
        <v>0.7</v>
      </c>
      <c r="AX1102" s="65">
        <v>0.7</v>
      </c>
      <c r="AY1102" s="65">
        <v>0.7</v>
      </c>
      <c r="AZ1102" s="65">
        <v>0.7</v>
      </c>
      <c r="BA1102" s="65">
        <v>0.7</v>
      </c>
      <c r="BB1102" s="65">
        <v>0.7</v>
      </c>
      <c r="BC1102" s="65">
        <v>0.8</v>
      </c>
      <c r="BD1102" s="65">
        <v>0.8</v>
      </c>
      <c r="BE1102" s="65">
        <v>0.8</v>
      </c>
      <c r="BF1102" s="65">
        <v>0.8</v>
      </c>
      <c r="BG1102" s="65">
        <v>0.8</v>
      </c>
      <c r="BH1102" s="65">
        <v>0.8</v>
      </c>
      <c r="BI1102" s="65">
        <v>0.8</v>
      </c>
      <c r="BJ1102" s="65">
        <v>0.8</v>
      </c>
      <c r="BK1102" s="65">
        <v>0.8</v>
      </c>
      <c r="BL1102" s="65">
        <v>0.8</v>
      </c>
      <c r="BM1102" s="65">
        <v>0.8</v>
      </c>
      <c r="BN1102" s="65">
        <v>0.8</v>
      </c>
      <c r="BO1102" s="65">
        <v>0.8</v>
      </c>
    </row>
    <row r="1103" spans="1:67" s="58" customFormat="1" x14ac:dyDescent="0.2">
      <c r="A1103" s="49" t="s">
        <v>67</v>
      </c>
      <c r="B1103" s="50">
        <v>43207</v>
      </c>
      <c r="C1103" s="51">
        <v>0.82291666666666696</v>
      </c>
      <c r="D1103" s="49" t="s">
        <v>278</v>
      </c>
      <c r="E1103" s="49"/>
      <c r="F1103" s="52">
        <v>62</v>
      </c>
      <c r="G1103" s="53">
        <v>2</v>
      </c>
      <c r="H1103" s="54">
        <v>3.2258064516129031E-2</v>
      </c>
      <c r="I1103" s="55">
        <v>6.83E-2</v>
      </c>
      <c r="J1103" s="53">
        <v>314.15899999999999</v>
      </c>
      <c r="K1103" s="53">
        <v>0.47809999999999997</v>
      </c>
      <c r="L1103" s="53">
        <v>7</v>
      </c>
      <c r="M1103" s="56">
        <v>328.54946663877848</v>
      </c>
      <c r="N1103" s="53">
        <v>1519</v>
      </c>
      <c r="O1103" s="58" t="s">
        <v>301</v>
      </c>
      <c r="P1103" s="57" t="s">
        <v>82</v>
      </c>
      <c r="Q1103" s="53" t="s">
        <v>302</v>
      </c>
      <c r="R1103" s="53" t="s">
        <v>84</v>
      </c>
      <c r="S1103" s="53"/>
      <c r="T1103" s="59">
        <v>1</v>
      </c>
      <c r="U1103" s="59">
        <v>8</v>
      </c>
      <c r="V1103" s="53">
        <v>0.8</v>
      </c>
      <c r="W1103" s="53"/>
      <c r="X1103" s="53"/>
      <c r="Y1103" s="9">
        <f t="shared" si="17"/>
        <v>328.54946663877848</v>
      </c>
      <c r="Z1103" s="60" t="s">
        <v>97</v>
      </c>
      <c r="AA1103" s="58" t="s">
        <v>383</v>
      </c>
      <c r="AB1103" s="58" t="s">
        <v>75</v>
      </c>
      <c r="AC1103" s="61" t="s">
        <v>76</v>
      </c>
      <c r="AD1103" s="53" t="s">
        <v>85</v>
      </c>
      <c r="AE1103" s="56">
        <v>0.26808234666666664</v>
      </c>
      <c r="AF1103" s="62"/>
      <c r="AG1103" s="63"/>
      <c r="AH1103" s="61"/>
      <c r="AO1103" s="64" t="s">
        <v>78</v>
      </c>
      <c r="AP1103" s="65">
        <v>0.8</v>
      </c>
      <c r="AQ1103" s="65">
        <v>0.8</v>
      </c>
      <c r="AR1103" s="65">
        <v>0.8</v>
      </c>
      <c r="AS1103" s="65">
        <v>0.8</v>
      </c>
      <c r="AT1103" s="65">
        <v>0.8</v>
      </c>
      <c r="AU1103" s="65">
        <v>0.8</v>
      </c>
      <c r="AV1103" s="65"/>
      <c r="AW1103" s="65"/>
      <c r="AX1103" s="65"/>
      <c r="AY1103" s="65"/>
      <c r="AZ1103" s="65"/>
      <c r="BA1103" s="65"/>
      <c r="BB1103" s="65"/>
      <c r="BC1103" s="65"/>
      <c r="BD1103" s="65"/>
      <c r="BE1103" s="65"/>
      <c r="BF1103" s="65"/>
      <c r="BG1103" s="65"/>
      <c r="BH1103" s="65"/>
      <c r="BI1103" s="65"/>
      <c r="BJ1103" s="65"/>
      <c r="BK1103" s="65"/>
      <c r="BL1103" s="65"/>
      <c r="BM1103" s="65"/>
      <c r="BN1103" s="65"/>
      <c r="BO1103" s="65"/>
    </row>
    <row r="1104" spans="1:67" s="81" customFormat="1" x14ac:dyDescent="0.2">
      <c r="A1104" s="69" t="s">
        <v>67</v>
      </c>
      <c r="B1104" s="74">
        <v>43200</v>
      </c>
      <c r="C1104" s="75">
        <v>0.61319444444444404</v>
      </c>
      <c r="D1104" s="69" t="s">
        <v>68</v>
      </c>
      <c r="E1104" s="69">
        <v>3</v>
      </c>
      <c r="F1104" s="76">
        <v>64</v>
      </c>
      <c r="G1104" s="69">
        <v>2</v>
      </c>
      <c r="H1104" s="77">
        <v>3.125E-2</v>
      </c>
      <c r="I1104" s="78">
        <v>6.83E-2</v>
      </c>
      <c r="J1104" s="69">
        <v>314.15899999999999</v>
      </c>
      <c r="K1104" s="69">
        <v>0.47809999999999997</v>
      </c>
      <c r="L1104" s="69">
        <v>7</v>
      </c>
      <c r="M1104" s="79">
        <v>328.54946663877848</v>
      </c>
      <c r="N1104" s="69">
        <v>190</v>
      </c>
      <c r="O1104" s="80" t="s">
        <v>102</v>
      </c>
      <c r="P1104" s="81" t="s">
        <v>70</v>
      </c>
      <c r="Q1104" s="69" t="s">
        <v>103</v>
      </c>
      <c r="R1104" s="69" t="s">
        <v>84</v>
      </c>
      <c r="S1104" s="69"/>
      <c r="T1104" s="60">
        <v>1</v>
      </c>
      <c r="U1104" s="60">
        <v>1</v>
      </c>
      <c r="V1104" s="69">
        <v>4.5999999999999996</v>
      </c>
      <c r="W1104" s="69"/>
      <c r="X1104" s="69"/>
      <c r="Y1104" s="9">
        <f t="shared" si="17"/>
        <v>328.54946663877848</v>
      </c>
      <c r="Z1104" s="60" t="s">
        <v>73</v>
      </c>
      <c r="AA1104" s="58" t="s">
        <v>384</v>
      </c>
      <c r="AB1104" s="81" t="s">
        <v>75</v>
      </c>
      <c r="AC1104" s="82" t="s">
        <v>76</v>
      </c>
      <c r="AD1104" s="69" t="s">
        <v>104</v>
      </c>
      <c r="AE1104" s="79">
        <v>61.490341069999992</v>
      </c>
      <c r="AF1104" s="83"/>
      <c r="AG1104" s="84"/>
      <c r="AH1104" s="82"/>
      <c r="AO1104" s="85" t="s">
        <v>78</v>
      </c>
      <c r="AP1104" s="86">
        <v>3.7</v>
      </c>
      <c r="AQ1104" s="86">
        <v>3.7</v>
      </c>
      <c r="AR1104" s="86"/>
      <c r="AS1104" s="86"/>
      <c r="AT1104" s="86"/>
      <c r="AU1104" s="86"/>
      <c r="AV1104" s="86"/>
      <c r="AW1104" s="86"/>
      <c r="AX1104" s="86"/>
      <c r="AY1104" s="86"/>
      <c r="AZ1104" s="86"/>
      <c r="BA1104" s="86"/>
      <c r="BB1104" s="86"/>
      <c r="BC1104" s="86"/>
      <c r="BD1104" s="86"/>
      <c r="BE1104" s="86"/>
      <c r="BF1104" s="86"/>
      <c r="BG1104" s="86"/>
      <c r="BH1104" s="86"/>
      <c r="BI1104" s="86"/>
      <c r="BJ1104" s="86"/>
      <c r="BK1104" s="86"/>
      <c r="BL1104" s="86"/>
      <c r="BM1104" s="86"/>
      <c r="BN1104" s="86"/>
      <c r="BO1104" s="86"/>
    </row>
    <row r="1105" spans="1:67" s="81" customFormat="1" x14ac:dyDescent="0.2">
      <c r="A1105" s="69"/>
      <c r="B1105" s="74"/>
      <c r="C1105" s="75"/>
      <c r="D1105" s="69"/>
      <c r="E1105" s="69"/>
      <c r="F1105" s="76"/>
      <c r="G1105" s="69"/>
      <c r="H1105" s="77"/>
      <c r="I1105" s="78"/>
      <c r="J1105" s="69"/>
      <c r="K1105" s="69"/>
      <c r="L1105" s="69"/>
      <c r="M1105" s="79"/>
      <c r="N1105" s="69"/>
      <c r="O1105" s="80"/>
      <c r="Q1105" s="69"/>
      <c r="R1105" s="69"/>
      <c r="S1105" s="69"/>
      <c r="T1105" s="60"/>
      <c r="U1105" s="60"/>
      <c r="V1105" s="69"/>
      <c r="W1105" s="69"/>
      <c r="X1105" s="69"/>
      <c r="Y1105" s="9" t="e">
        <f t="shared" si="17"/>
        <v>#DIV/0!</v>
      </c>
      <c r="Z1105" s="60"/>
      <c r="AC1105" s="82"/>
      <c r="AD1105" s="69"/>
      <c r="AE1105" s="79"/>
      <c r="AF1105" s="83"/>
      <c r="AG1105" s="84"/>
      <c r="AH1105" s="82"/>
      <c r="AO1105" s="64" t="s">
        <v>79</v>
      </c>
      <c r="AP1105" s="86">
        <v>4.5999999999999996</v>
      </c>
      <c r="AQ1105" s="86">
        <v>4.5999999999999996</v>
      </c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 s="86"/>
      <c r="BH1105" s="86"/>
      <c r="BI1105" s="86"/>
      <c r="BJ1105" s="86"/>
      <c r="BK1105" s="86"/>
      <c r="BL1105" s="86"/>
      <c r="BM1105" s="86"/>
      <c r="BN1105" s="86"/>
      <c r="BO1105" s="86"/>
    </row>
    <row r="1106" spans="1:67" s="81" customFormat="1" x14ac:dyDescent="0.2">
      <c r="A1106" s="69" t="s">
        <v>67</v>
      </c>
      <c r="B1106" s="74">
        <v>43200</v>
      </c>
      <c r="C1106" s="75">
        <v>0.61319444444444404</v>
      </c>
      <c r="D1106" s="69" t="s">
        <v>68</v>
      </c>
      <c r="E1106" s="69">
        <v>3</v>
      </c>
      <c r="F1106" s="76">
        <v>64</v>
      </c>
      <c r="G1106" s="69">
        <v>2</v>
      </c>
      <c r="H1106" s="77">
        <v>3.125E-2</v>
      </c>
      <c r="I1106" s="78">
        <v>6.83E-2</v>
      </c>
      <c r="J1106" s="69">
        <v>314.15899999999999</v>
      </c>
      <c r="K1106" s="69">
        <v>0.47809999999999997</v>
      </c>
      <c r="L1106" s="69">
        <v>7</v>
      </c>
      <c r="M1106" s="79">
        <v>328.54946663877848</v>
      </c>
      <c r="N1106" s="69">
        <v>1037</v>
      </c>
      <c r="O1106" s="80" t="s">
        <v>86</v>
      </c>
      <c r="P1106" s="80" t="s">
        <v>82</v>
      </c>
      <c r="Q1106" s="69" t="s">
        <v>87</v>
      </c>
      <c r="R1106" s="69" t="s">
        <v>84</v>
      </c>
      <c r="S1106" s="69"/>
      <c r="T1106" s="60">
        <v>7</v>
      </c>
      <c r="U1106" s="60">
        <v>7</v>
      </c>
      <c r="V1106" s="69">
        <v>3</v>
      </c>
      <c r="W1106" s="69"/>
      <c r="X1106" s="69"/>
      <c r="Y1106" s="9">
        <f t="shared" si="17"/>
        <v>2299.8462664714493</v>
      </c>
      <c r="Z1106" s="60" t="s">
        <v>73</v>
      </c>
      <c r="AA1106" s="58" t="s">
        <v>384</v>
      </c>
      <c r="AB1106" s="81" t="s">
        <v>75</v>
      </c>
      <c r="AC1106" s="82" t="s">
        <v>76</v>
      </c>
      <c r="AD1106" s="69" t="s">
        <v>85</v>
      </c>
      <c r="AE1106" s="79">
        <v>14.137154999999998</v>
      </c>
      <c r="AF1106" s="83"/>
      <c r="AG1106" s="84"/>
      <c r="AH1106" s="82"/>
      <c r="AO1106" s="85" t="s">
        <v>78</v>
      </c>
      <c r="AP1106" s="86">
        <v>2.9800000000000004</v>
      </c>
      <c r="AQ1106" s="86">
        <v>2.8</v>
      </c>
      <c r="AR1106" s="86">
        <v>3.7</v>
      </c>
      <c r="AS1106" s="86">
        <v>2.8</v>
      </c>
      <c r="AT1106" s="86">
        <v>2.8</v>
      </c>
      <c r="AU1106" s="86">
        <v>2.8</v>
      </c>
      <c r="AV1106" s="86"/>
      <c r="AW1106" s="86"/>
      <c r="AX1106" s="86"/>
      <c r="AY1106" s="86"/>
      <c r="AZ1106" s="86"/>
      <c r="BA1106" s="86"/>
      <c r="BB1106" s="86"/>
      <c r="BC1106" s="86"/>
      <c r="BD1106" s="86"/>
      <c r="BE1106" s="86"/>
      <c r="BF1106" s="86"/>
      <c r="BG1106" s="86"/>
      <c r="BH1106" s="86"/>
      <c r="BI1106" s="86"/>
      <c r="BJ1106" s="86"/>
      <c r="BK1106" s="86"/>
      <c r="BL1106" s="86"/>
      <c r="BM1106" s="86"/>
      <c r="BN1106" s="86"/>
      <c r="BO1106" s="86"/>
    </row>
    <row r="1107" spans="1:67" s="81" customFormat="1" x14ac:dyDescent="0.2">
      <c r="A1107" s="69" t="s">
        <v>67</v>
      </c>
      <c r="B1107" s="74">
        <v>43200</v>
      </c>
      <c r="C1107" s="75">
        <v>0.61319444444444404</v>
      </c>
      <c r="D1107" s="69" t="s">
        <v>68</v>
      </c>
      <c r="E1107" s="69">
        <v>3</v>
      </c>
      <c r="F1107" s="76">
        <v>64</v>
      </c>
      <c r="G1107" s="69">
        <v>2</v>
      </c>
      <c r="H1107" s="77">
        <v>3.125E-2</v>
      </c>
      <c r="I1107" s="78">
        <v>6.83E-2</v>
      </c>
      <c r="J1107" s="69">
        <v>314.15899999999999</v>
      </c>
      <c r="K1107" s="69">
        <v>0.47809999999999997</v>
      </c>
      <c r="L1107" s="69">
        <v>7</v>
      </c>
      <c r="M1107" s="79">
        <v>328.54946663877848</v>
      </c>
      <c r="N1107" s="69">
        <v>1235</v>
      </c>
      <c r="O1107" s="80" t="s">
        <v>216</v>
      </c>
      <c r="P1107" s="80" t="s">
        <v>82</v>
      </c>
      <c r="Q1107" s="69" t="s">
        <v>217</v>
      </c>
      <c r="R1107" s="69" t="s">
        <v>84</v>
      </c>
      <c r="S1107" s="69"/>
      <c r="T1107" s="60">
        <v>1</v>
      </c>
      <c r="U1107" s="60">
        <v>4</v>
      </c>
      <c r="V1107" s="69">
        <v>4.5999999999999996</v>
      </c>
      <c r="W1107" s="69"/>
      <c r="X1107" s="69"/>
      <c r="Y1107" s="9">
        <f t="shared" si="17"/>
        <v>328.54946663877848</v>
      </c>
      <c r="Z1107" s="60" t="s">
        <v>97</v>
      </c>
      <c r="AA1107" s="58" t="s">
        <v>384</v>
      </c>
      <c r="AB1107" s="81" t="s">
        <v>75</v>
      </c>
      <c r="AC1107" s="82" t="s">
        <v>76</v>
      </c>
      <c r="AD1107" s="69" t="s">
        <v>120</v>
      </c>
      <c r="AE1107" s="79">
        <v>1.9509273899999997</v>
      </c>
      <c r="AF1107" s="83"/>
      <c r="AG1107" s="84"/>
      <c r="AH1107" s="82"/>
      <c r="AO1107" s="85" t="s">
        <v>78</v>
      </c>
      <c r="AP1107" s="86">
        <v>4.5999999999999996</v>
      </c>
      <c r="AQ1107" s="86">
        <v>4.5999999999999996</v>
      </c>
      <c r="AR1107" s="86">
        <v>4.5999999999999996</v>
      </c>
      <c r="AS1107" s="86">
        <v>4.5999999999999996</v>
      </c>
      <c r="AT1107" s="86">
        <v>4.5999999999999996</v>
      </c>
      <c r="AU1107" s="86"/>
      <c r="AV1107" s="86"/>
      <c r="AW1107" s="86"/>
      <c r="AX1107" s="86"/>
      <c r="AY1107" s="86"/>
      <c r="AZ1107" s="86"/>
      <c r="BA1107" s="86"/>
      <c r="BB1107" s="86"/>
      <c r="BC1107" s="86"/>
      <c r="BD1107" s="86"/>
      <c r="BE1107" s="86"/>
      <c r="BF1107" s="86"/>
      <c r="BG1107" s="86"/>
      <c r="BH1107" s="86"/>
      <c r="BI1107" s="86"/>
      <c r="BJ1107" s="86"/>
      <c r="BK1107" s="86"/>
      <c r="BL1107" s="86"/>
      <c r="BM1107" s="86"/>
      <c r="BN1107" s="86"/>
      <c r="BO1107" s="86"/>
    </row>
    <row r="1108" spans="1:67" s="81" customFormat="1" x14ac:dyDescent="0.2">
      <c r="A1108" s="69"/>
      <c r="B1108" s="74"/>
      <c r="C1108" s="75"/>
      <c r="D1108" s="69"/>
      <c r="E1108" s="69"/>
      <c r="F1108" s="76"/>
      <c r="G1108" s="69"/>
      <c r="H1108" s="77"/>
      <c r="I1108" s="78"/>
      <c r="J1108" s="69"/>
      <c r="K1108" s="69"/>
      <c r="L1108" s="69"/>
      <c r="M1108" s="79"/>
      <c r="N1108" s="69"/>
      <c r="O1108" s="80"/>
      <c r="P1108" s="80"/>
      <c r="Q1108" s="69"/>
      <c r="R1108" s="69"/>
      <c r="S1108" s="69"/>
      <c r="T1108" s="60"/>
      <c r="U1108" s="60"/>
      <c r="V1108" s="69"/>
      <c r="W1108" s="69"/>
      <c r="X1108" s="69"/>
      <c r="Y1108" s="9" t="e">
        <f t="shared" si="17"/>
        <v>#DIV/0!</v>
      </c>
      <c r="Z1108" s="60"/>
      <c r="AC1108" s="82"/>
      <c r="AD1108" s="69"/>
      <c r="AE1108" s="79"/>
      <c r="AF1108" s="83"/>
      <c r="AG1108" s="84"/>
      <c r="AH1108" s="82"/>
      <c r="AO1108" s="64" t="s">
        <v>79</v>
      </c>
      <c r="AP1108" s="86">
        <v>0.9</v>
      </c>
      <c r="AQ1108" s="86">
        <v>0.9</v>
      </c>
      <c r="AR1108" s="86">
        <v>0.9</v>
      </c>
      <c r="AS1108" s="86">
        <v>0.9</v>
      </c>
      <c r="AT1108" s="86">
        <v>0.9</v>
      </c>
      <c r="AU1108" s="86"/>
      <c r="AV1108" s="86"/>
      <c r="AW1108" s="86"/>
      <c r="AX1108" s="86"/>
      <c r="AY1108" s="86"/>
      <c r="AZ1108" s="86"/>
      <c r="BA1108" s="86"/>
      <c r="BB1108" s="86"/>
      <c r="BC1108" s="86"/>
      <c r="BD1108" s="86"/>
      <c r="BE1108" s="86"/>
      <c r="BF1108" s="86"/>
      <c r="BG1108" s="86"/>
      <c r="BH1108" s="86"/>
      <c r="BI1108" s="86"/>
      <c r="BJ1108" s="86"/>
      <c r="BK1108" s="86"/>
      <c r="BL1108" s="86"/>
      <c r="BM1108" s="86"/>
      <c r="BN1108" s="86"/>
      <c r="BO1108" s="86"/>
    </row>
    <row r="1109" spans="1:67" s="81" customFormat="1" x14ac:dyDescent="0.2">
      <c r="A1109" s="69" t="s">
        <v>67</v>
      </c>
      <c r="B1109" s="74">
        <v>43200</v>
      </c>
      <c r="C1109" s="75">
        <v>0.61319444444444404</v>
      </c>
      <c r="D1109" s="69" t="s">
        <v>68</v>
      </c>
      <c r="E1109" s="69">
        <v>3</v>
      </c>
      <c r="F1109" s="76">
        <v>64</v>
      </c>
      <c r="G1109" s="69">
        <v>2</v>
      </c>
      <c r="H1109" s="77">
        <v>3.125E-2</v>
      </c>
      <c r="I1109" s="78">
        <v>6.83E-2</v>
      </c>
      <c r="J1109" s="69">
        <v>314.15899999999999</v>
      </c>
      <c r="K1109" s="69">
        <v>0.47809999999999997</v>
      </c>
      <c r="L1109" s="69">
        <v>7</v>
      </c>
      <c r="M1109" s="79">
        <v>328.54946663877848</v>
      </c>
      <c r="N1109" s="69">
        <v>1364</v>
      </c>
      <c r="O1109" s="80" t="s">
        <v>88</v>
      </c>
      <c r="P1109" s="80" t="s">
        <v>82</v>
      </c>
      <c r="Q1109" s="69" t="s">
        <v>89</v>
      </c>
      <c r="R1109" s="69" t="s">
        <v>90</v>
      </c>
      <c r="S1109" s="69"/>
      <c r="T1109" s="60">
        <v>5</v>
      </c>
      <c r="U1109" s="60">
        <v>5</v>
      </c>
      <c r="V1109" s="69">
        <v>11.1</v>
      </c>
      <c r="W1109" s="69"/>
      <c r="X1109" s="69"/>
      <c r="Y1109" s="9">
        <f t="shared" si="17"/>
        <v>1642.7473331938927</v>
      </c>
      <c r="Z1109" s="60" t="s">
        <v>73</v>
      </c>
      <c r="AA1109" s="58" t="s">
        <v>384</v>
      </c>
      <c r="AB1109" s="81" t="s">
        <v>75</v>
      </c>
      <c r="AC1109" s="82" t="s">
        <v>76</v>
      </c>
      <c r="AD1109" s="69" t="s">
        <v>91</v>
      </c>
      <c r="AE1109" s="79">
        <v>376.88005895249989</v>
      </c>
      <c r="AF1109" s="83"/>
      <c r="AG1109" s="84"/>
      <c r="AH1109" s="82"/>
      <c r="AO1109" s="85" t="s">
        <v>78</v>
      </c>
      <c r="AP1109" s="86">
        <v>9.66</v>
      </c>
      <c r="AQ1109" s="86">
        <v>9.3000000000000007</v>
      </c>
      <c r="AR1109" s="86">
        <v>9.3000000000000007</v>
      </c>
      <c r="AS1109" s="86">
        <v>11.1</v>
      </c>
      <c r="AT1109" s="86">
        <v>9.3000000000000007</v>
      </c>
      <c r="AU1109" s="86">
        <v>9.3000000000000007</v>
      </c>
      <c r="AV1109" s="86"/>
      <c r="AW1109" s="86"/>
      <c r="AX1109" s="86"/>
      <c r="AY1109" s="86"/>
      <c r="AZ1109" s="86"/>
      <c r="BA1109" s="86"/>
      <c r="BB1109" s="86"/>
      <c r="BC1109" s="86"/>
      <c r="BD1109" s="86"/>
      <c r="BE1109" s="86"/>
      <c r="BF1109" s="86"/>
      <c r="BG1109" s="86"/>
      <c r="BH1109" s="86"/>
      <c r="BI1109" s="86"/>
      <c r="BJ1109" s="86"/>
      <c r="BK1109" s="86"/>
      <c r="BL1109" s="86"/>
      <c r="BM1109" s="86"/>
      <c r="BN1109" s="86"/>
      <c r="BO1109" s="86"/>
    </row>
    <row r="1110" spans="1:67" s="81" customFormat="1" x14ac:dyDescent="0.2">
      <c r="A1110" s="69"/>
      <c r="B1110" s="74"/>
      <c r="C1110" s="75"/>
      <c r="D1110" s="69"/>
      <c r="E1110" s="69"/>
      <c r="F1110" s="76"/>
      <c r="G1110" s="69"/>
      <c r="H1110" s="77"/>
      <c r="I1110" s="78"/>
      <c r="J1110" s="69"/>
      <c r="K1110" s="69"/>
      <c r="L1110" s="69"/>
      <c r="M1110" s="79"/>
      <c r="N1110" s="69"/>
      <c r="O1110" s="80"/>
      <c r="P1110" s="80"/>
      <c r="Q1110" s="69"/>
      <c r="R1110" s="69"/>
      <c r="S1110" s="69"/>
      <c r="T1110" s="60"/>
      <c r="U1110" s="60"/>
      <c r="V1110" s="69"/>
      <c r="W1110" s="69"/>
      <c r="X1110" s="69"/>
      <c r="Y1110" s="9" t="e">
        <f t="shared" si="17"/>
        <v>#DIV/0!</v>
      </c>
      <c r="Z1110" s="60"/>
      <c r="AC1110" s="82"/>
      <c r="AD1110" s="69"/>
      <c r="AE1110" s="79"/>
      <c r="AF1110" s="83"/>
      <c r="AG1110" s="84"/>
      <c r="AH1110" s="82"/>
      <c r="AO1110" s="64" t="s">
        <v>79</v>
      </c>
      <c r="AP1110" s="86">
        <v>5.6</v>
      </c>
      <c r="AQ1110" s="86">
        <v>5.6</v>
      </c>
      <c r="AR1110" s="86">
        <v>5.6</v>
      </c>
      <c r="AS1110" s="86">
        <v>5.6</v>
      </c>
      <c r="AT1110" s="86">
        <v>5.6</v>
      </c>
      <c r="AU1110" s="86">
        <v>5.6</v>
      </c>
      <c r="AV1110" s="86"/>
      <c r="AW1110" s="86"/>
      <c r="AX1110" s="86"/>
      <c r="AY1110" s="86"/>
      <c r="AZ1110" s="86"/>
      <c r="BA1110" s="86"/>
      <c r="BB1110" s="86"/>
      <c r="BC1110" s="86"/>
      <c r="BD1110" s="86"/>
      <c r="BE1110" s="86"/>
      <c r="BF1110" s="86"/>
      <c r="BG1110" s="86"/>
      <c r="BH1110" s="86"/>
      <c r="BI1110" s="86"/>
      <c r="BJ1110" s="86"/>
      <c r="BK1110" s="86"/>
      <c r="BL1110" s="86"/>
      <c r="BM1110" s="86"/>
      <c r="BN1110" s="86"/>
      <c r="BO1110" s="86"/>
    </row>
    <row r="1111" spans="1:67" s="81" customFormat="1" x14ac:dyDescent="0.2">
      <c r="A1111" s="69" t="s">
        <v>67</v>
      </c>
      <c r="B1111" s="74">
        <v>43200</v>
      </c>
      <c r="C1111" s="75">
        <v>0.61319444444444404</v>
      </c>
      <c r="D1111" s="69" t="s">
        <v>68</v>
      </c>
      <c r="E1111" s="69">
        <v>3</v>
      </c>
      <c r="F1111" s="76">
        <v>64</v>
      </c>
      <c r="G1111" s="69">
        <v>2</v>
      </c>
      <c r="H1111" s="77">
        <v>3.125E-2</v>
      </c>
      <c r="I1111" s="78">
        <v>6.83E-2</v>
      </c>
      <c r="J1111" s="69">
        <v>314.15899999999999</v>
      </c>
      <c r="K1111" s="69">
        <v>0.47809999999999997</v>
      </c>
      <c r="L1111" s="69">
        <v>7</v>
      </c>
      <c r="M1111" s="79">
        <v>328.54946663877848</v>
      </c>
      <c r="N1111" s="69">
        <v>1419</v>
      </c>
      <c r="O1111" s="80" t="s">
        <v>94</v>
      </c>
      <c r="P1111" s="80" t="s">
        <v>82</v>
      </c>
      <c r="Q1111" s="69" t="s">
        <v>95</v>
      </c>
      <c r="R1111" s="69" t="s">
        <v>96</v>
      </c>
      <c r="S1111" s="69"/>
      <c r="T1111" s="60">
        <v>419</v>
      </c>
      <c r="U1111" s="60">
        <v>841</v>
      </c>
      <c r="V1111" s="69">
        <v>0.8</v>
      </c>
      <c r="W1111" s="69">
        <v>0.8</v>
      </c>
      <c r="X1111" s="69">
        <v>0.8</v>
      </c>
      <c r="Y1111" s="9">
        <f t="shared" si="17"/>
        <v>137662.22652164818</v>
      </c>
      <c r="Z1111" s="60" t="s">
        <v>97</v>
      </c>
      <c r="AA1111" s="58" t="s">
        <v>384</v>
      </c>
      <c r="AB1111" s="81" t="s">
        <v>75</v>
      </c>
      <c r="AC1111" s="82" t="s">
        <v>76</v>
      </c>
      <c r="AD1111" s="69" t="s">
        <v>85</v>
      </c>
      <c r="AE1111" s="79">
        <v>0.18</v>
      </c>
      <c r="AF1111" s="79">
        <v>0.18</v>
      </c>
      <c r="AG1111" s="79">
        <v>0.18</v>
      </c>
      <c r="AH1111" s="79">
        <v>0.18</v>
      </c>
      <c r="AI1111" s="79">
        <v>0.18</v>
      </c>
      <c r="AJ1111" s="79">
        <v>0.18</v>
      </c>
      <c r="AK1111" s="79">
        <v>0.18</v>
      </c>
      <c r="AL1111" s="79">
        <v>0.18</v>
      </c>
      <c r="AM1111" s="79">
        <v>0.18</v>
      </c>
      <c r="AN1111" s="79">
        <v>0.18</v>
      </c>
      <c r="AO1111" s="85" t="s">
        <v>78</v>
      </c>
      <c r="AP1111" s="86">
        <v>0.75200000000000033</v>
      </c>
      <c r="AQ1111" s="86">
        <v>0.7</v>
      </c>
      <c r="AR1111" s="86">
        <v>0.7</v>
      </c>
      <c r="AS1111" s="86">
        <v>0.7</v>
      </c>
      <c r="AT1111" s="86">
        <v>0.7</v>
      </c>
      <c r="AU1111" s="86">
        <v>0.7</v>
      </c>
      <c r="AV1111" s="86">
        <v>0.7</v>
      </c>
      <c r="AW1111" s="86">
        <v>0.7</v>
      </c>
      <c r="AX1111" s="86">
        <v>0.7</v>
      </c>
      <c r="AY1111" s="86">
        <v>0.7</v>
      </c>
      <c r="AZ1111" s="86">
        <v>0.7</v>
      </c>
      <c r="BA1111" s="86">
        <v>0.7</v>
      </c>
      <c r="BB1111" s="86">
        <v>0.7</v>
      </c>
      <c r="BC1111" s="86">
        <v>0.8</v>
      </c>
      <c r="BD1111" s="86">
        <v>0.8</v>
      </c>
      <c r="BE1111" s="86">
        <v>0.8</v>
      </c>
      <c r="BF1111" s="86">
        <v>0.8</v>
      </c>
      <c r="BG1111" s="86">
        <v>0.8</v>
      </c>
      <c r="BH1111" s="86">
        <v>0.8</v>
      </c>
      <c r="BI1111" s="86">
        <v>0.8</v>
      </c>
      <c r="BJ1111" s="86">
        <v>0.8</v>
      </c>
      <c r="BK1111" s="86">
        <v>0.8</v>
      </c>
      <c r="BL1111" s="86">
        <v>0.8</v>
      </c>
      <c r="BM1111" s="86">
        <v>0.8</v>
      </c>
      <c r="BN1111" s="86">
        <v>0.8</v>
      </c>
      <c r="BO1111" s="86">
        <v>0.8</v>
      </c>
    </row>
    <row r="1112" spans="1:67" s="58" customFormat="1" x14ac:dyDescent="0.2">
      <c r="A1112" s="49" t="s">
        <v>67</v>
      </c>
      <c r="B1112" s="50">
        <v>43171</v>
      </c>
      <c r="C1112" s="51">
        <v>0.63541666666666696</v>
      </c>
      <c r="D1112" s="49" t="s">
        <v>189</v>
      </c>
      <c r="E1112" s="49"/>
      <c r="F1112" s="52">
        <v>62.5</v>
      </c>
      <c r="G1112" s="53">
        <v>4</v>
      </c>
      <c r="H1112" s="54">
        <v>6.4000000000000001E-2</v>
      </c>
      <c r="I1112" s="55">
        <v>6.9746499000000003E-2</v>
      </c>
      <c r="J1112" s="53">
        <v>314.15899999999999</v>
      </c>
      <c r="K1112" s="53">
        <v>0.41847899399999999</v>
      </c>
      <c r="L1112" s="53">
        <v>6</v>
      </c>
      <c r="M1112" s="56">
        <v>187.67907380316441</v>
      </c>
      <c r="N1112" s="53">
        <v>44</v>
      </c>
      <c r="O1112" s="57" t="s">
        <v>266</v>
      </c>
      <c r="P1112" s="58" t="s">
        <v>70</v>
      </c>
      <c r="Q1112" s="53" t="s">
        <v>110</v>
      </c>
      <c r="R1112" s="53" t="s">
        <v>267</v>
      </c>
      <c r="S1112" s="53"/>
      <c r="T1112" s="59">
        <v>1</v>
      </c>
      <c r="U1112" s="59">
        <v>1</v>
      </c>
      <c r="V1112" s="53">
        <v>8.3000000000000007</v>
      </c>
      <c r="W1112" s="53"/>
      <c r="X1112" s="53"/>
      <c r="Y1112" s="9">
        <f t="shared" si="17"/>
        <v>187.67907380316441</v>
      </c>
      <c r="Z1112" s="60" t="s">
        <v>73</v>
      </c>
      <c r="AA1112" s="58" t="s">
        <v>385</v>
      </c>
      <c r="AB1112" s="58" t="s">
        <v>386</v>
      </c>
      <c r="AC1112" s="61" t="s">
        <v>387</v>
      </c>
      <c r="AD1112" s="53" t="s">
        <v>77</v>
      </c>
      <c r="AE1112" s="56">
        <v>37.548283679999997</v>
      </c>
      <c r="AF1112" s="62"/>
      <c r="AG1112" s="63"/>
      <c r="AH1112" s="61"/>
      <c r="AO1112" s="64" t="s">
        <v>78</v>
      </c>
      <c r="AP1112" s="65">
        <v>8.3000000000000007</v>
      </c>
      <c r="AQ1112" s="65">
        <v>8.3000000000000007</v>
      </c>
      <c r="AR1112" s="65"/>
      <c r="AS1112" s="65"/>
      <c r="AT1112" s="65"/>
      <c r="AU1112" s="65"/>
      <c r="AV1112" s="65"/>
      <c r="AW1112" s="65"/>
      <c r="AX1112" s="65"/>
      <c r="AY1112" s="65"/>
      <c r="AZ1112" s="65"/>
      <c r="BA1112" s="65"/>
      <c r="BB1112" s="65"/>
      <c r="BC1112" s="65"/>
      <c r="BD1112" s="65"/>
      <c r="BE1112" s="65"/>
      <c r="BF1112" s="65"/>
      <c r="BG1112" s="65"/>
      <c r="BH1112" s="65"/>
      <c r="BI1112" s="65"/>
      <c r="BJ1112" s="65"/>
      <c r="BK1112" s="65"/>
      <c r="BL1112" s="65"/>
      <c r="BM1112" s="65"/>
      <c r="BN1112" s="65"/>
      <c r="BO1112" s="65"/>
    </row>
    <row r="1113" spans="1:67" s="58" customFormat="1" x14ac:dyDescent="0.2">
      <c r="A1113" s="49"/>
      <c r="B1113" s="50"/>
      <c r="C1113" s="51"/>
      <c r="D1113" s="49"/>
      <c r="E1113" s="49"/>
      <c r="F1113" s="52"/>
      <c r="G1113" s="53"/>
      <c r="H1113" s="54"/>
      <c r="I1113" s="55"/>
      <c r="J1113" s="53"/>
      <c r="K1113" s="53"/>
      <c r="L1113" s="53"/>
      <c r="M1113" s="56"/>
      <c r="N1113" s="53"/>
      <c r="O1113" s="57"/>
      <c r="Q1113" s="53"/>
      <c r="R1113" s="53"/>
      <c r="S1113" s="53"/>
      <c r="T1113" s="59"/>
      <c r="U1113" s="59"/>
      <c r="V1113" s="53"/>
      <c r="W1113" s="53"/>
      <c r="X1113" s="53"/>
      <c r="Y1113" s="9" t="e">
        <f t="shared" si="17"/>
        <v>#DIV/0!</v>
      </c>
      <c r="Z1113" s="60"/>
      <c r="AC1113" s="61"/>
      <c r="AD1113" s="53"/>
      <c r="AE1113" s="56"/>
      <c r="AF1113" s="62"/>
      <c r="AG1113" s="63"/>
      <c r="AH1113" s="61"/>
      <c r="AO1113" s="64" t="s">
        <v>79</v>
      </c>
      <c r="AP1113" s="65">
        <v>2.4</v>
      </c>
      <c r="AQ1113" s="65">
        <v>2.4</v>
      </c>
      <c r="AR1113" s="65"/>
      <c r="AS1113" s="65"/>
      <c r="AT1113" s="65"/>
      <c r="AU1113" s="65"/>
      <c r="AV1113" s="65"/>
      <c r="AW1113" s="65"/>
      <c r="AX1113" s="65"/>
      <c r="AY1113" s="65"/>
      <c r="AZ1113" s="65"/>
      <c r="BA1113" s="65"/>
      <c r="BB1113" s="65"/>
      <c r="BC1113" s="65"/>
      <c r="BD1113" s="65"/>
      <c r="BE1113" s="65"/>
      <c r="BF1113" s="65"/>
      <c r="BG1113" s="65"/>
      <c r="BH1113" s="65"/>
      <c r="BI1113" s="65"/>
      <c r="BJ1113" s="65"/>
      <c r="BK1113" s="65"/>
      <c r="BL1113" s="65"/>
      <c r="BM1113" s="65"/>
      <c r="BN1113" s="65"/>
      <c r="BO1113" s="65"/>
    </row>
    <row r="1114" spans="1:67" s="58" customFormat="1" x14ac:dyDescent="0.2">
      <c r="A1114" s="49"/>
      <c r="B1114" s="50"/>
      <c r="C1114" s="51"/>
      <c r="D1114" s="49"/>
      <c r="E1114" s="49"/>
      <c r="F1114" s="52"/>
      <c r="G1114" s="53"/>
      <c r="H1114" s="54"/>
      <c r="I1114" s="55"/>
      <c r="J1114" s="53"/>
      <c r="K1114" s="53"/>
      <c r="L1114" s="53"/>
      <c r="M1114" s="56"/>
      <c r="N1114" s="53"/>
      <c r="O1114" s="57"/>
      <c r="Q1114" s="53"/>
      <c r="R1114" s="53"/>
      <c r="S1114" s="53"/>
      <c r="T1114" s="59"/>
      <c r="U1114" s="59"/>
      <c r="V1114" s="53"/>
      <c r="W1114" s="53"/>
      <c r="X1114" s="53"/>
      <c r="Y1114" s="9" t="e">
        <f t="shared" si="17"/>
        <v>#DIV/0!</v>
      </c>
      <c r="Z1114" s="60"/>
      <c r="AC1114" s="61"/>
      <c r="AD1114" s="53"/>
      <c r="AE1114" s="56"/>
      <c r="AF1114" s="62"/>
      <c r="AG1114" s="63"/>
      <c r="AH1114" s="61"/>
      <c r="AO1114" s="64" t="s">
        <v>80</v>
      </c>
      <c r="AP1114" s="65">
        <v>2.4</v>
      </c>
      <c r="AQ1114" s="65">
        <v>2.4</v>
      </c>
      <c r="AR1114" s="65"/>
      <c r="AS1114" s="65"/>
      <c r="AT1114" s="65"/>
      <c r="AU1114" s="65"/>
      <c r="AV1114" s="65"/>
      <c r="AW1114" s="65"/>
      <c r="AX1114" s="65"/>
      <c r="AY1114" s="65"/>
      <c r="AZ1114" s="65"/>
      <c r="BA1114" s="65"/>
      <c r="BB1114" s="65"/>
      <c r="BC1114" s="65"/>
      <c r="BD1114" s="65"/>
      <c r="BE1114" s="65"/>
      <c r="BF1114" s="65"/>
      <c r="BG1114" s="65"/>
      <c r="BH1114" s="65"/>
      <c r="BI1114" s="65"/>
      <c r="BJ1114" s="65"/>
      <c r="BK1114" s="65"/>
      <c r="BL1114" s="65"/>
      <c r="BM1114" s="65"/>
      <c r="BN1114" s="65"/>
      <c r="BO1114" s="65"/>
    </row>
    <row r="1115" spans="1:67" s="58" customFormat="1" x14ac:dyDescent="0.2">
      <c r="A1115" s="49" t="s">
        <v>67</v>
      </c>
      <c r="B1115" s="50">
        <v>43171</v>
      </c>
      <c r="C1115" s="51">
        <v>0.63541666666666696</v>
      </c>
      <c r="D1115" s="49" t="s">
        <v>189</v>
      </c>
      <c r="E1115" s="49"/>
      <c r="F1115" s="52">
        <v>62.5</v>
      </c>
      <c r="G1115" s="53">
        <v>4</v>
      </c>
      <c r="H1115" s="54">
        <v>6.4000000000000001E-2</v>
      </c>
      <c r="I1115" s="55">
        <v>6.9746499000000003E-2</v>
      </c>
      <c r="J1115" s="53">
        <v>314.15899999999999</v>
      </c>
      <c r="K1115" s="53">
        <v>0.41847899399999999</v>
      </c>
      <c r="L1115" s="53">
        <v>6</v>
      </c>
      <c r="M1115" s="56">
        <v>187.67907380316441</v>
      </c>
      <c r="N1115" s="53">
        <v>190</v>
      </c>
      <c r="O1115" s="57" t="s">
        <v>296</v>
      </c>
      <c r="P1115" s="58" t="s">
        <v>70</v>
      </c>
      <c r="Q1115" s="53" t="s">
        <v>103</v>
      </c>
      <c r="R1115" s="53" t="s">
        <v>84</v>
      </c>
      <c r="S1115" s="53"/>
      <c r="T1115" s="59">
        <v>2</v>
      </c>
      <c r="U1115" s="59">
        <v>2</v>
      </c>
      <c r="V1115" s="53">
        <v>11.1</v>
      </c>
      <c r="W1115" s="53"/>
      <c r="X1115" s="53"/>
      <c r="Y1115" s="9">
        <f t="shared" si="17"/>
        <v>375.35814760632883</v>
      </c>
      <c r="Z1115" s="60" t="s">
        <v>73</v>
      </c>
      <c r="AA1115" s="58" t="s">
        <v>385</v>
      </c>
      <c r="AB1115" s="58" t="s">
        <v>386</v>
      </c>
      <c r="AC1115" s="61" t="s">
        <v>387</v>
      </c>
      <c r="AD1115" s="53" t="s">
        <v>104</v>
      </c>
      <c r="AE1115" s="56">
        <v>364.92709440000004</v>
      </c>
      <c r="AF1115" s="62"/>
      <c r="AG1115" s="63"/>
      <c r="AH1115" s="61"/>
      <c r="AO1115" s="64" t="s">
        <v>78</v>
      </c>
      <c r="AP1115" s="65">
        <v>6</v>
      </c>
      <c r="AQ1115" s="65">
        <v>8.3000000000000007</v>
      </c>
      <c r="AR1115" s="65">
        <v>3.7</v>
      </c>
      <c r="AS1115" s="65"/>
      <c r="AT1115" s="65"/>
      <c r="AU1115" s="65"/>
      <c r="AV1115" s="65"/>
      <c r="AW1115" s="65"/>
      <c r="AX1115" s="65"/>
      <c r="AY1115" s="65"/>
      <c r="AZ1115" s="65"/>
      <c r="BA1115" s="65"/>
      <c r="BB1115" s="65"/>
      <c r="BC1115" s="65"/>
      <c r="BD1115" s="65"/>
      <c r="BE1115" s="65"/>
      <c r="BF1115" s="65"/>
      <c r="BG1115" s="65"/>
      <c r="BH1115" s="65"/>
      <c r="BI1115" s="65"/>
      <c r="BJ1115" s="65"/>
      <c r="BK1115" s="65"/>
      <c r="BL1115" s="65"/>
      <c r="BM1115" s="65"/>
      <c r="BN1115" s="65"/>
      <c r="BO1115" s="65"/>
    </row>
    <row r="1116" spans="1:67" s="58" customFormat="1" x14ac:dyDescent="0.2">
      <c r="A1116" s="49"/>
      <c r="B1116" s="50"/>
      <c r="C1116" s="51"/>
      <c r="D1116" s="49"/>
      <c r="E1116" s="49"/>
      <c r="F1116" s="52"/>
      <c r="G1116" s="53"/>
      <c r="H1116" s="54"/>
      <c r="I1116" s="55"/>
      <c r="J1116" s="53"/>
      <c r="K1116" s="53"/>
      <c r="L1116" s="53"/>
      <c r="M1116" s="56"/>
      <c r="N1116" s="53"/>
      <c r="O1116" s="57"/>
      <c r="Q1116" s="53"/>
      <c r="R1116" s="53"/>
      <c r="S1116" s="53"/>
      <c r="T1116" s="59"/>
      <c r="U1116" s="59"/>
      <c r="V1116" s="53"/>
      <c r="W1116" s="53"/>
      <c r="X1116" s="53"/>
      <c r="Y1116" s="9" t="e">
        <f t="shared" si="17"/>
        <v>#DIV/0!</v>
      </c>
      <c r="Z1116" s="60"/>
      <c r="AC1116" s="61"/>
      <c r="AD1116" s="53"/>
      <c r="AE1116" s="56"/>
      <c r="AF1116" s="62"/>
      <c r="AG1116" s="63"/>
      <c r="AH1116" s="61"/>
      <c r="AO1116" s="64" t="s">
        <v>79</v>
      </c>
      <c r="AP1116" s="65">
        <v>8.8000000000000007</v>
      </c>
      <c r="AQ1116" s="65">
        <v>11.1</v>
      </c>
      <c r="AR1116" s="65">
        <v>6.5</v>
      </c>
      <c r="AS1116" s="65"/>
      <c r="AT1116" s="65"/>
      <c r="AU1116" s="65"/>
      <c r="AV1116" s="65"/>
      <c r="AW1116" s="65"/>
      <c r="AX1116" s="65"/>
      <c r="AY1116" s="65"/>
      <c r="AZ1116" s="65"/>
      <c r="BA1116" s="65"/>
      <c r="BB1116" s="65"/>
      <c r="BC1116" s="65"/>
      <c r="BD1116" s="65"/>
      <c r="BE1116" s="65"/>
      <c r="BF1116" s="65"/>
      <c r="BG1116" s="65"/>
      <c r="BH1116" s="65"/>
      <c r="BI1116" s="65"/>
      <c r="BJ1116" s="65"/>
      <c r="BK1116" s="65"/>
      <c r="BL1116" s="65"/>
      <c r="BM1116" s="65"/>
      <c r="BN1116" s="65"/>
      <c r="BO1116" s="65"/>
    </row>
    <row r="1117" spans="1:67" s="58" customFormat="1" x14ac:dyDescent="0.2">
      <c r="A1117" s="49" t="s">
        <v>67</v>
      </c>
      <c r="B1117" s="50">
        <v>43171</v>
      </c>
      <c r="C1117" s="51">
        <v>0.63541666666666696</v>
      </c>
      <c r="D1117" s="49" t="s">
        <v>189</v>
      </c>
      <c r="E1117" s="49"/>
      <c r="F1117" s="52">
        <v>62.5</v>
      </c>
      <c r="G1117" s="53">
        <v>4</v>
      </c>
      <c r="H1117" s="54">
        <v>6.4000000000000001E-2</v>
      </c>
      <c r="I1117" s="55">
        <v>6.9746499000000003E-2</v>
      </c>
      <c r="J1117" s="53">
        <v>314.15899999999999</v>
      </c>
      <c r="K1117" s="53">
        <v>0.41847899399999999</v>
      </c>
      <c r="L1117" s="53">
        <v>6</v>
      </c>
      <c r="M1117" s="56">
        <v>187.67907380316441</v>
      </c>
      <c r="N1117" s="53">
        <v>1037</v>
      </c>
      <c r="O1117" s="57" t="s">
        <v>86</v>
      </c>
      <c r="P1117" s="57" t="s">
        <v>82</v>
      </c>
      <c r="Q1117" s="53" t="s">
        <v>87</v>
      </c>
      <c r="R1117" s="53" t="s">
        <v>84</v>
      </c>
      <c r="S1117" s="53"/>
      <c r="T1117" s="59">
        <v>29</v>
      </c>
      <c r="U1117" s="59">
        <v>29</v>
      </c>
      <c r="V1117" s="53">
        <v>4.3</v>
      </c>
      <c r="W1117" s="53"/>
      <c r="X1117" s="53"/>
      <c r="Y1117" s="9">
        <f t="shared" si="17"/>
        <v>5442.693140291768</v>
      </c>
      <c r="Z1117" s="60" t="s">
        <v>73</v>
      </c>
      <c r="AA1117" s="58" t="s">
        <v>385</v>
      </c>
      <c r="AB1117" s="58" t="s">
        <v>386</v>
      </c>
      <c r="AC1117" s="61" t="s">
        <v>387</v>
      </c>
      <c r="AD1117" s="53" t="s">
        <v>85</v>
      </c>
      <c r="AE1117" s="56">
        <v>17.157270186666665</v>
      </c>
      <c r="AF1117" s="62"/>
      <c r="AG1117" s="63"/>
      <c r="AH1117" s="61"/>
      <c r="AO1117" s="64" t="s">
        <v>78</v>
      </c>
      <c r="AP1117" s="65">
        <v>3.2</v>
      </c>
      <c r="AQ1117" s="65">
        <v>3.7</v>
      </c>
      <c r="AR1117" s="65">
        <v>2.4</v>
      </c>
      <c r="AS1117" s="65">
        <v>1.9</v>
      </c>
      <c r="AT1117" s="65">
        <v>4.3</v>
      </c>
      <c r="AU1117" s="65">
        <v>3.7</v>
      </c>
      <c r="AV1117" s="65"/>
      <c r="AW1117" s="65"/>
      <c r="AX1117" s="65"/>
      <c r="AY1117" s="65"/>
      <c r="AZ1117" s="65"/>
      <c r="BA1117" s="65"/>
      <c r="BB1117" s="65"/>
      <c r="BC1117" s="65"/>
      <c r="BD1117" s="65"/>
      <c r="BE1117" s="65"/>
      <c r="BF1117" s="65"/>
      <c r="BG1117" s="65"/>
      <c r="BH1117" s="65"/>
      <c r="BI1117" s="65"/>
      <c r="BJ1117" s="65"/>
      <c r="BK1117" s="65"/>
      <c r="BL1117" s="65"/>
      <c r="BM1117" s="65"/>
      <c r="BN1117" s="65"/>
      <c r="BO1117" s="65"/>
    </row>
    <row r="1118" spans="1:67" s="58" customFormat="1" x14ac:dyDescent="0.2">
      <c r="A1118" s="49" t="s">
        <v>67</v>
      </c>
      <c r="B1118" s="50">
        <v>43171</v>
      </c>
      <c r="C1118" s="51">
        <v>0.63541666666666696</v>
      </c>
      <c r="D1118" s="49" t="s">
        <v>189</v>
      </c>
      <c r="E1118" s="49"/>
      <c r="F1118" s="52">
        <v>62.5</v>
      </c>
      <c r="G1118" s="53">
        <v>4</v>
      </c>
      <c r="H1118" s="54">
        <v>6.4000000000000001E-2</v>
      </c>
      <c r="I1118" s="55">
        <v>6.9746499000000003E-2</v>
      </c>
      <c r="J1118" s="53">
        <v>314.15899999999999</v>
      </c>
      <c r="K1118" s="53">
        <v>0.41847899399999999</v>
      </c>
      <c r="L1118" s="53">
        <v>6</v>
      </c>
      <c r="M1118" s="56">
        <v>187.67907380316441</v>
      </c>
      <c r="N1118" s="53">
        <v>1364</v>
      </c>
      <c r="O1118" s="57" t="s">
        <v>88</v>
      </c>
      <c r="P1118" s="57" t="s">
        <v>82</v>
      </c>
      <c r="Q1118" s="53" t="s">
        <v>89</v>
      </c>
      <c r="R1118" s="53" t="s">
        <v>90</v>
      </c>
      <c r="S1118" s="53"/>
      <c r="T1118" s="59">
        <v>1</v>
      </c>
      <c r="U1118" s="59">
        <v>1</v>
      </c>
      <c r="V1118" s="53">
        <v>11.1</v>
      </c>
      <c r="W1118" s="53"/>
      <c r="X1118" s="53"/>
      <c r="Y1118" s="9">
        <f t="shared" si="17"/>
        <v>187.67907380316441</v>
      </c>
      <c r="Z1118" s="60" t="s">
        <v>73</v>
      </c>
      <c r="AA1118" s="58" t="s">
        <v>385</v>
      </c>
      <c r="AB1118" s="58" t="s">
        <v>386</v>
      </c>
      <c r="AC1118" s="61" t="s">
        <v>387</v>
      </c>
      <c r="AD1118" s="53" t="s">
        <v>91</v>
      </c>
      <c r="AE1118" s="56">
        <v>596.74109351249979</v>
      </c>
      <c r="AF1118" s="62"/>
      <c r="AG1118" s="63"/>
      <c r="AH1118" s="61"/>
      <c r="AO1118" s="64" t="s">
        <v>78</v>
      </c>
      <c r="AP1118" s="65">
        <v>11.1</v>
      </c>
      <c r="AQ1118" s="65">
        <v>11.1</v>
      </c>
      <c r="AR1118" s="65"/>
      <c r="AS1118" s="65"/>
      <c r="AT1118" s="65"/>
      <c r="AU1118" s="65"/>
      <c r="AV1118" s="65"/>
      <c r="AW1118" s="65"/>
      <c r="AX1118" s="65"/>
      <c r="AY1118" s="65"/>
      <c r="AZ1118" s="65"/>
      <c r="BA1118" s="65"/>
      <c r="BB1118" s="65"/>
      <c r="BC1118" s="65"/>
      <c r="BD1118" s="65"/>
      <c r="BE1118" s="65"/>
      <c r="BF1118" s="65"/>
      <c r="BG1118" s="65"/>
      <c r="BH1118" s="65"/>
      <c r="BI1118" s="65"/>
      <c r="BJ1118" s="65"/>
      <c r="BK1118" s="65"/>
      <c r="BL1118" s="65"/>
      <c r="BM1118" s="65"/>
      <c r="BN1118" s="65"/>
      <c r="BO1118" s="65"/>
    </row>
    <row r="1119" spans="1:67" s="58" customFormat="1" x14ac:dyDescent="0.2">
      <c r="A1119" s="49"/>
      <c r="B1119" s="50"/>
      <c r="C1119" s="51"/>
      <c r="D1119" s="49"/>
      <c r="E1119" s="49"/>
      <c r="F1119" s="52"/>
      <c r="G1119" s="53"/>
      <c r="H1119" s="54"/>
      <c r="I1119" s="55"/>
      <c r="J1119" s="53"/>
      <c r="K1119" s="53"/>
      <c r="L1119" s="53"/>
      <c r="M1119" s="56"/>
      <c r="N1119" s="53"/>
      <c r="O1119" s="57"/>
      <c r="P1119" s="57"/>
      <c r="Q1119" s="53"/>
      <c r="R1119" s="53"/>
      <c r="S1119" s="53"/>
      <c r="T1119" s="59"/>
      <c r="U1119" s="59"/>
      <c r="V1119" s="53"/>
      <c r="W1119" s="53"/>
      <c r="X1119" s="53"/>
      <c r="Y1119" s="9" t="e">
        <f t="shared" si="17"/>
        <v>#DIV/0!</v>
      </c>
      <c r="Z1119" s="60"/>
      <c r="AC1119" s="61"/>
      <c r="AD1119" s="53"/>
      <c r="AE1119" s="56"/>
      <c r="AF1119" s="62"/>
      <c r="AG1119" s="63"/>
      <c r="AH1119" s="61"/>
      <c r="AO1119" s="64" t="s">
        <v>79</v>
      </c>
      <c r="AP1119" s="65">
        <v>7.4</v>
      </c>
      <c r="AQ1119" s="65">
        <v>7.4</v>
      </c>
      <c r="AR1119" s="65"/>
      <c r="AS1119" s="65"/>
      <c r="AT1119" s="65"/>
      <c r="AU1119" s="65"/>
      <c r="AV1119" s="65"/>
      <c r="AW1119" s="65"/>
      <c r="AX1119" s="65"/>
      <c r="AY1119" s="65"/>
      <c r="AZ1119" s="65"/>
      <c r="BA1119" s="65"/>
      <c r="BB1119" s="65"/>
      <c r="BC1119" s="65"/>
      <c r="BD1119" s="65"/>
      <c r="BE1119" s="65"/>
      <c r="BF1119" s="65"/>
      <c r="BG1119" s="65"/>
      <c r="BH1119" s="65"/>
      <c r="BI1119" s="65"/>
      <c r="BJ1119" s="65"/>
      <c r="BK1119" s="65"/>
      <c r="BL1119" s="65"/>
      <c r="BM1119" s="65"/>
      <c r="BN1119" s="65"/>
      <c r="BO1119" s="65"/>
    </row>
    <row r="1120" spans="1:67" s="58" customFormat="1" x14ac:dyDescent="0.2">
      <c r="A1120" s="49" t="s">
        <v>67</v>
      </c>
      <c r="B1120" s="50">
        <v>43171</v>
      </c>
      <c r="C1120" s="51">
        <v>0.63541666666666696</v>
      </c>
      <c r="D1120" s="49" t="s">
        <v>189</v>
      </c>
      <c r="E1120" s="49"/>
      <c r="F1120" s="52">
        <v>62.5</v>
      </c>
      <c r="G1120" s="53">
        <v>4</v>
      </c>
      <c r="H1120" s="54">
        <v>6.4000000000000001E-2</v>
      </c>
      <c r="I1120" s="55">
        <v>6.9746499000000003E-2</v>
      </c>
      <c r="J1120" s="53">
        <v>314.15899999999999</v>
      </c>
      <c r="K1120" s="53">
        <v>0.41847899399999999</v>
      </c>
      <c r="L1120" s="53">
        <v>6</v>
      </c>
      <c r="M1120" s="56">
        <v>187.67907380316441</v>
      </c>
      <c r="N1120" s="53">
        <v>1733</v>
      </c>
      <c r="O1120" s="57" t="s">
        <v>92</v>
      </c>
      <c r="P1120" s="57" t="s">
        <v>82</v>
      </c>
      <c r="Q1120" s="53" t="s">
        <v>89</v>
      </c>
      <c r="R1120" s="53" t="s">
        <v>93</v>
      </c>
      <c r="S1120" s="53"/>
      <c r="T1120" s="59">
        <v>8</v>
      </c>
      <c r="U1120" s="59">
        <v>8</v>
      </c>
      <c r="V1120" s="53">
        <v>7.4</v>
      </c>
      <c r="W1120" s="53"/>
      <c r="X1120" s="53"/>
      <c r="Y1120" s="9">
        <f t="shared" si="17"/>
        <v>1501.4325904253153</v>
      </c>
      <c r="Z1120" s="60" t="s">
        <v>73</v>
      </c>
      <c r="AA1120" s="58" t="s">
        <v>385</v>
      </c>
      <c r="AB1120" s="58" t="s">
        <v>386</v>
      </c>
      <c r="AC1120" s="61" t="s">
        <v>387</v>
      </c>
      <c r="AD1120" s="53" t="s">
        <v>91</v>
      </c>
      <c r="AE1120" s="56">
        <v>104.94717014249998</v>
      </c>
      <c r="AF1120" s="62"/>
      <c r="AG1120" s="63"/>
      <c r="AH1120" s="61"/>
      <c r="AO1120" s="64" t="s">
        <v>78</v>
      </c>
      <c r="AP1120" s="65">
        <v>6.32</v>
      </c>
      <c r="AQ1120" s="65">
        <v>7.4</v>
      </c>
      <c r="AR1120" s="65">
        <v>7.4</v>
      </c>
      <c r="AS1120" s="65">
        <v>5.6</v>
      </c>
      <c r="AT1120" s="65">
        <v>5.6</v>
      </c>
      <c r="AU1120" s="65">
        <v>5.6</v>
      </c>
      <c r="AV1120" s="65"/>
      <c r="AW1120" s="65"/>
      <c r="AX1120" s="65"/>
      <c r="AY1120" s="65"/>
      <c r="AZ1120" s="65"/>
      <c r="BA1120" s="65"/>
      <c r="BB1120" s="65"/>
      <c r="BC1120" s="65"/>
      <c r="BD1120" s="65"/>
      <c r="BE1120" s="65"/>
      <c r="BF1120" s="65"/>
      <c r="BG1120" s="65"/>
      <c r="BH1120" s="65"/>
      <c r="BI1120" s="65"/>
      <c r="BJ1120" s="65"/>
      <c r="BK1120" s="65"/>
      <c r="BL1120" s="65"/>
      <c r="BM1120" s="65"/>
      <c r="BN1120" s="65"/>
      <c r="BO1120" s="65"/>
    </row>
    <row r="1121" spans="1:67" s="58" customFormat="1" x14ac:dyDescent="0.2">
      <c r="A1121" s="49"/>
      <c r="B1121" s="50"/>
      <c r="C1121" s="51"/>
      <c r="D1121" s="49"/>
      <c r="E1121" s="49"/>
      <c r="F1121" s="52"/>
      <c r="G1121" s="53"/>
      <c r="H1121" s="54"/>
      <c r="I1121" s="55"/>
      <c r="J1121" s="53"/>
      <c r="K1121" s="53"/>
      <c r="L1121" s="53"/>
      <c r="M1121" s="56"/>
      <c r="N1121" s="53"/>
      <c r="O1121" s="57"/>
      <c r="P1121" s="57"/>
      <c r="Q1121" s="53"/>
      <c r="R1121" s="53"/>
      <c r="S1121" s="53"/>
      <c r="T1121" s="59"/>
      <c r="U1121" s="59"/>
      <c r="V1121" s="53"/>
      <c r="W1121" s="53"/>
      <c r="X1121" s="53"/>
      <c r="Y1121" s="9" t="e">
        <f t="shared" si="17"/>
        <v>#DIV/0!</v>
      </c>
      <c r="Z1121" s="60"/>
      <c r="AC1121" s="61"/>
      <c r="AD1121" s="53"/>
      <c r="AE1121" s="56"/>
      <c r="AF1121" s="62"/>
      <c r="AG1121" s="63"/>
      <c r="AH1121" s="61"/>
      <c r="AO1121" s="64" t="s">
        <v>79</v>
      </c>
      <c r="AP1121" s="65">
        <v>3.78</v>
      </c>
      <c r="AQ1121" s="65">
        <v>2.8</v>
      </c>
      <c r="AR1121" s="65">
        <v>5.6</v>
      </c>
      <c r="AS1121" s="65">
        <v>3.7</v>
      </c>
      <c r="AT1121" s="65">
        <v>3.1</v>
      </c>
      <c r="AU1121" s="65">
        <v>3.7</v>
      </c>
      <c r="AV1121" s="65"/>
      <c r="AW1121" s="65"/>
      <c r="AX1121" s="65"/>
      <c r="AY1121" s="65"/>
      <c r="AZ1121" s="65"/>
      <c r="BA1121" s="65"/>
      <c r="BB1121" s="65"/>
      <c r="BC1121" s="65"/>
      <c r="BD1121" s="65"/>
      <c r="BE1121" s="65"/>
      <c r="BF1121" s="65"/>
      <c r="BG1121" s="65"/>
      <c r="BH1121" s="65"/>
      <c r="BI1121" s="65"/>
      <c r="BJ1121" s="65"/>
      <c r="BK1121" s="65"/>
      <c r="BL1121" s="65"/>
      <c r="BM1121" s="65"/>
      <c r="BN1121" s="65"/>
      <c r="BO1121" s="65"/>
    </row>
    <row r="1122" spans="1:67" s="58" customFormat="1" x14ac:dyDescent="0.2">
      <c r="A1122" s="49" t="s">
        <v>67</v>
      </c>
      <c r="B1122" s="50">
        <v>43171</v>
      </c>
      <c r="C1122" s="51">
        <v>0.63541666666666696</v>
      </c>
      <c r="D1122" s="49" t="s">
        <v>189</v>
      </c>
      <c r="E1122" s="49"/>
      <c r="F1122" s="52">
        <v>62.5</v>
      </c>
      <c r="G1122" s="53">
        <v>4</v>
      </c>
      <c r="H1122" s="54">
        <v>6.4000000000000001E-2</v>
      </c>
      <c r="I1122" s="55">
        <v>6.9746499000000003E-2</v>
      </c>
      <c r="J1122" s="53">
        <v>314.15899999999999</v>
      </c>
      <c r="K1122" s="53">
        <v>0.41847899399999999</v>
      </c>
      <c r="L1122" s="53">
        <v>6</v>
      </c>
      <c r="M1122" s="56">
        <v>187.67907380316441</v>
      </c>
      <c r="N1122" s="53">
        <v>1419</v>
      </c>
      <c r="O1122" s="57" t="s">
        <v>94</v>
      </c>
      <c r="P1122" s="57" t="s">
        <v>82</v>
      </c>
      <c r="Q1122" s="53" t="s">
        <v>95</v>
      </c>
      <c r="R1122" s="53" t="s">
        <v>96</v>
      </c>
      <c r="S1122" s="53"/>
      <c r="T1122" s="59">
        <v>392</v>
      </c>
      <c r="U1122" s="59">
        <v>795</v>
      </c>
      <c r="V1122" s="53">
        <v>0.9</v>
      </c>
      <c r="W1122" s="53">
        <v>0.9</v>
      </c>
      <c r="X1122" s="53">
        <v>0.9</v>
      </c>
      <c r="Y1122" s="9">
        <f t="shared" si="17"/>
        <v>73570.196930840451</v>
      </c>
      <c r="Z1122" s="60" t="s">
        <v>97</v>
      </c>
      <c r="AA1122" s="58" t="s">
        <v>385</v>
      </c>
      <c r="AB1122" s="58" t="s">
        <v>386</v>
      </c>
      <c r="AC1122" s="61" t="s">
        <v>387</v>
      </c>
      <c r="AD1122" s="53" t="s">
        <v>85</v>
      </c>
      <c r="AE1122" s="56">
        <v>0.11309723999999999</v>
      </c>
      <c r="AF1122" s="56">
        <v>0.17959422833333327</v>
      </c>
      <c r="AG1122" s="56">
        <v>0.11309723999999999</v>
      </c>
      <c r="AH1122" s="56">
        <v>0.26808234666666664</v>
      </c>
      <c r="AI1122" s="56">
        <v>0.381703185</v>
      </c>
      <c r="AJ1122" s="56">
        <v>0.17959422833333327</v>
      </c>
      <c r="AK1122" s="56">
        <v>0.26808234666666664</v>
      </c>
      <c r="AL1122" s="56">
        <v>0.11309723999999999</v>
      </c>
      <c r="AM1122" s="56">
        <v>0.11309723999999999</v>
      </c>
      <c r="AN1122" s="56">
        <v>0.17959422833333327</v>
      </c>
      <c r="AO1122" s="66" t="s">
        <v>78</v>
      </c>
      <c r="AP1122" s="65">
        <v>0.72399999999999987</v>
      </c>
      <c r="AQ1122" s="65">
        <v>0.6</v>
      </c>
      <c r="AR1122" s="65">
        <v>0.7</v>
      </c>
      <c r="AS1122" s="65">
        <v>0.6</v>
      </c>
      <c r="AT1122" s="65">
        <v>0.8</v>
      </c>
      <c r="AU1122" s="65">
        <v>0.9</v>
      </c>
      <c r="AV1122" s="65">
        <v>0.7</v>
      </c>
      <c r="AW1122" s="65">
        <v>0.8</v>
      </c>
      <c r="AX1122" s="65">
        <v>0.6</v>
      </c>
      <c r="AY1122" s="65">
        <v>0.6</v>
      </c>
      <c r="AZ1122" s="65">
        <v>0.7</v>
      </c>
      <c r="BA1122" s="65">
        <v>0.9</v>
      </c>
      <c r="BB1122" s="65">
        <v>0.7</v>
      </c>
      <c r="BC1122" s="65">
        <v>0.6</v>
      </c>
      <c r="BD1122" s="65">
        <v>0.7</v>
      </c>
      <c r="BE1122" s="65">
        <v>0.8</v>
      </c>
      <c r="BF1122" s="65">
        <v>0.9</v>
      </c>
      <c r="BG1122" s="65">
        <v>0.6</v>
      </c>
      <c r="BH1122" s="65">
        <v>0.7</v>
      </c>
      <c r="BI1122" s="65">
        <v>0.7</v>
      </c>
      <c r="BJ1122" s="65">
        <v>0.8</v>
      </c>
      <c r="BK1122" s="65">
        <v>0.8</v>
      </c>
      <c r="BL1122" s="65">
        <v>0.7</v>
      </c>
      <c r="BM1122" s="65">
        <v>0.6</v>
      </c>
      <c r="BN1122" s="65">
        <v>0.9</v>
      </c>
      <c r="BO1122" s="65">
        <v>0.7</v>
      </c>
    </row>
    <row r="1123" spans="1:67" s="81" customFormat="1" x14ac:dyDescent="0.2">
      <c r="A1123" s="69" t="s">
        <v>67</v>
      </c>
      <c r="B1123" s="74">
        <v>43200</v>
      </c>
      <c r="C1123" s="75">
        <v>0.65277777777777801</v>
      </c>
      <c r="D1123" s="69" t="s">
        <v>113</v>
      </c>
      <c r="E1123" s="69"/>
      <c r="F1123" s="76">
        <v>59.5</v>
      </c>
      <c r="G1123" s="69">
        <v>2</v>
      </c>
      <c r="H1123" s="77">
        <v>3.3613445378151259E-2</v>
      </c>
      <c r="I1123" s="78">
        <v>6.83E-2</v>
      </c>
      <c r="J1123" s="69">
        <v>314.15899999999999</v>
      </c>
      <c r="K1123" s="69">
        <v>0.61470000000000002</v>
      </c>
      <c r="L1123" s="69">
        <v>9</v>
      </c>
      <c r="M1123" s="79">
        <v>255.53847405238326</v>
      </c>
      <c r="N1123" s="69">
        <v>145</v>
      </c>
      <c r="O1123" s="80" t="s">
        <v>69</v>
      </c>
      <c r="P1123" s="81" t="s">
        <v>70</v>
      </c>
      <c r="Q1123" s="69" t="s">
        <v>71</v>
      </c>
      <c r="R1123" s="69" t="s">
        <v>72</v>
      </c>
      <c r="S1123" s="69"/>
      <c r="T1123" s="60">
        <v>1</v>
      </c>
      <c r="U1123" s="60">
        <v>1</v>
      </c>
      <c r="V1123" s="69">
        <v>18.5</v>
      </c>
      <c r="W1123" s="69"/>
      <c r="X1123" s="69"/>
      <c r="Y1123" s="9">
        <f t="shared" si="17"/>
        <v>255.53847405238326</v>
      </c>
      <c r="Z1123" s="60" t="s">
        <v>73</v>
      </c>
      <c r="AA1123" s="58" t="s">
        <v>388</v>
      </c>
      <c r="AB1123" s="81" t="s">
        <v>75</v>
      </c>
      <c r="AC1123" s="82" t="s">
        <v>76</v>
      </c>
      <c r="AD1123" s="69" t="s">
        <v>77</v>
      </c>
      <c r="AE1123" s="79">
        <v>698.88596537499996</v>
      </c>
      <c r="AF1123" s="83"/>
      <c r="AG1123" s="84"/>
      <c r="AH1123" s="82"/>
      <c r="AO1123" s="85" t="s">
        <v>78</v>
      </c>
      <c r="AP1123" s="86">
        <v>18.5</v>
      </c>
      <c r="AQ1123" s="86">
        <v>18.5</v>
      </c>
      <c r="AR1123" s="86"/>
      <c r="AS1123" s="86"/>
      <c r="AT1123" s="86"/>
      <c r="AU1123" s="86"/>
      <c r="AV1123" s="86"/>
      <c r="AW1123" s="86"/>
      <c r="AX1123" s="86"/>
      <c r="AY1123" s="86"/>
      <c r="AZ1123" s="86"/>
      <c r="BA1123" s="86"/>
      <c r="BB1123" s="86"/>
      <c r="BC1123" s="86"/>
      <c r="BD1123" s="86"/>
      <c r="BE1123" s="86"/>
      <c r="BF1123" s="86"/>
      <c r="BG1123" s="86"/>
      <c r="BH1123" s="86"/>
      <c r="BI1123" s="86"/>
      <c r="BJ1123" s="86"/>
      <c r="BK1123" s="86"/>
      <c r="BL1123" s="86"/>
      <c r="BM1123" s="86"/>
      <c r="BN1123" s="86"/>
      <c r="BO1123" s="86"/>
    </row>
    <row r="1124" spans="1:67" s="81" customFormat="1" x14ac:dyDescent="0.2">
      <c r="A1124" s="69"/>
      <c r="B1124" s="74"/>
      <c r="C1124" s="75"/>
      <c r="D1124" s="69"/>
      <c r="E1124" s="69"/>
      <c r="F1124" s="76"/>
      <c r="G1124" s="69"/>
      <c r="H1124" s="77"/>
      <c r="I1124" s="78"/>
      <c r="J1124" s="69"/>
      <c r="K1124" s="69"/>
      <c r="L1124" s="69"/>
      <c r="M1124" s="79"/>
      <c r="N1124" s="69"/>
      <c r="O1124" s="80"/>
      <c r="Q1124" s="69"/>
      <c r="R1124" s="69"/>
      <c r="S1124" s="69"/>
      <c r="T1124" s="60"/>
      <c r="U1124" s="60"/>
      <c r="V1124" s="69"/>
      <c r="W1124" s="69"/>
      <c r="X1124" s="69"/>
      <c r="Y1124" s="9" t="e">
        <f t="shared" si="17"/>
        <v>#DIV/0!</v>
      </c>
      <c r="Z1124" s="60"/>
      <c r="AC1124" s="82"/>
      <c r="AD1124" s="69"/>
      <c r="AE1124" s="79"/>
      <c r="AF1124" s="83"/>
      <c r="AG1124" s="84"/>
      <c r="AH1124" s="82"/>
      <c r="AO1124" s="64" t="s">
        <v>79</v>
      </c>
      <c r="AP1124" s="86">
        <v>13</v>
      </c>
      <c r="AQ1124" s="86">
        <v>13</v>
      </c>
      <c r="AR1124" s="86"/>
      <c r="AS1124" s="86"/>
      <c r="AT1124" s="86"/>
      <c r="AU1124" s="86"/>
      <c r="AV1124" s="86"/>
      <c r="AW1124" s="86"/>
      <c r="AX1124" s="86"/>
      <c r="AY1124" s="86"/>
      <c r="AZ1124" s="86"/>
      <c r="BA1124" s="86"/>
      <c r="BB1124" s="86"/>
      <c r="BC1124" s="86"/>
      <c r="BD1124" s="86"/>
      <c r="BE1124" s="86"/>
      <c r="BF1124" s="86"/>
      <c r="BG1124" s="86"/>
      <c r="BH1124" s="86"/>
      <c r="BI1124" s="86"/>
      <c r="BJ1124" s="86"/>
      <c r="BK1124" s="86"/>
      <c r="BL1124" s="86"/>
      <c r="BM1124" s="86"/>
      <c r="BN1124" s="86"/>
      <c r="BO1124" s="86"/>
    </row>
    <row r="1125" spans="1:67" s="81" customFormat="1" x14ac:dyDescent="0.2">
      <c r="A1125" s="69"/>
      <c r="B1125" s="74"/>
      <c r="C1125" s="75"/>
      <c r="D1125" s="69"/>
      <c r="E1125" s="69"/>
      <c r="F1125" s="76"/>
      <c r="G1125" s="69"/>
      <c r="H1125" s="77"/>
      <c r="I1125" s="78"/>
      <c r="J1125" s="69"/>
      <c r="K1125" s="69"/>
      <c r="L1125" s="69"/>
      <c r="M1125" s="79"/>
      <c r="N1125" s="69"/>
      <c r="O1125" s="80"/>
      <c r="Q1125" s="69"/>
      <c r="R1125" s="69"/>
      <c r="S1125" s="69"/>
      <c r="T1125" s="60"/>
      <c r="U1125" s="60"/>
      <c r="V1125" s="69"/>
      <c r="W1125" s="69"/>
      <c r="X1125" s="69"/>
      <c r="Y1125" s="9" t="e">
        <f t="shared" si="17"/>
        <v>#DIV/0!</v>
      </c>
      <c r="Z1125" s="60"/>
      <c r="AC1125" s="82"/>
      <c r="AD1125" s="69"/>
      <c r="AE1125" s="79"/>
      <c r="AF1125" s="83"/>
      <c r="AG1125" s="84"/>
      <c r="AH1125" s="82"/>
      <c r="AO1125" s="64" t="s">
        <v>80</v>
      </c>
      <c r="AP1125" s="86">
        <v>3.7</v>
      </c>
      <c r="AQ1125" s="86">
        <v>3.7</v>
      </c>
      <c r="AR1125" s="86"/>
      <c r="AS1125" s="86"/>
      <c r="AT1125" s="86"/>
      <c r="AU1125" s="86"/>
      <c r="AV1125" s="86"/>
      <c r="AW1125" s="86"/>
      <c r="AX1125" s="86"/>
      <c r="AY1125" s="86"/>
      <c r="AZ1125" s="86"/>
      <c r="BA1125" s="86"/>
      <c r="BB1125" s="86"/>
      <c r="BC1125" s="86"/>
      <c r="BD1125" s="86"/>
      <c r="BE1125" s="86"/>
      <c r="BF1125" s="86"/>
      <c r="BG1125" s="86"/>
      <c r="BH1125" s="86"/>
      <c r="BI1125" s="86"/>
      <c r="BJ1125" s="86"/>
      <c r="BK1125" s="86"/>
      <c r="BL1125" s="86"/>
      <c r="BM1125" s="86"/>
      <c r="BN1125" s="86"/>
      <c r="BO1125" s="86"/>
    </row>
    <row r="1126" spans="1:67" s="81" customFormat="1" x14ac:dyDescent="0.2">
      <c r="A1126" s="69" t="s">
        <v>67</v>
      </c>
      <c r="B1126" s="74">
        <v>43200</v>
      </c>
      <c r="C1126" s="75">
        <v>0.65277777777777801</v>
      </c>
      <c r="D1126" s="69" t="s">
        <v>113</v>
      </c>
      <c r="E1126" s="69"/>
      <c r="F1126" s="76">
        <v>59.5</v>
      </c>
      <c r="G1126" s="69">
        <v>2</v>
      </c>
      <c r="H1126" s="77">
        <v>3.3613445378151259E-2</v>
      </c>
      <c r="I1126" s="78">
        <v>6.83E-2</v>
      </c>
      <c r="J1126" s="69">
        <v>314.15899999999999</v>
      </c>
      <c r="K1126" s="69">
        <v>0.61470000000000002</v>
      </c>
      <c r="L1126" s="69">
        <v>9</v>
      </c>
      <c r="M1126" s="79">
        <v>255.53847405238326</v>
      </c>
      <c r="N1126" s="69">
        <v>749</v>
      </c>
      <c r="O1126" s="80" t="s">
        <v>190</v>
      </c>
      <c r="P1126" s="81" t="s">
        <v>70</v>
      </c>
      <c r="Q1126" s="69" t="s">
        <v>191</v>
      </c>
      <c r="R1126" s="69" t="s">
        <v>84</v>
      </c>
      <c r="S1126" s="69"/>
      <c r="T1126" s="60">
        <v>1</v>
      </c>
      <c r="U1126" s="60">
        <v>1</v>
      </c>
      <c r="V1126" s="69">
        <v>20.399999999999999</v>
      </c>
      <c r="W1126" s="69"/>
      <c r="X1126" s="69"/>
      <c r="Y1126" s="9">
        <f t="shared" si="17"/>
        <v>255.53847405238326</v>
      </c>
      <c r="Z1126" s="60" t="s">
        <v>73</v>
      </c>
      <c r="AA1126" s="58" t="s">
        <v>388</v>
      </c>
      <c r="AB1126" s="81" t="s">
        <v>75</v>
      </c>
      <c r="AC1126" s="82" t="s">
        <v>76</v>
      </c>
      <c r="AD1126" s="69" t="s">
        <v>193</v>
      </c>
      <c r="AE1126" s="79">
        <v>139.63800000000001</v>
      </c>
      <c r="AF1126" s="83"/>
      <c r="AG1126" s="84"/>
      <c r="AH1126" s="82"/>
      <c r="AO1126" s="85" t="s">
        <v>78</v>
      </c>
      <c r="AP1126" s="86">
        <v>20.399999999999999</v>
      </c>
      <c r="AQ1126" s="86">
        <v>20.399999999999999</v>
      </c>
      <c r="AR1126" s="86"/>
      <c r="AS1126" s="86"/>
      <c r="AT1126" s="86"/>
      <c r="AU1126" s="86"/>
      <c r="AV1126" s="86"/>
      <c r="AW1126" s="86"/>
      <c r="AX1126" s="86"/>
      <c r="AY1126" s="86"/>
      <c r="AZ1126" s="86"/>
      <c r="BA1126" s="86"/>
      <c r="BB1126" s="86"/>
      <c r="BC1126" s="86"/>
      <c r="BD1126" s="86"/>
      <c r="BE1126" s="86"/>
      <c r="BF1126" s="86"/>
      <c r="BG1126" s="86"/>
      <c r="BH1126" s="86"/>
      <c r="BI1126" s="86"/>
      <c r="BJ1126" s="86"/>
      <c r="BK1126" s="86"/>
      <c r="BL1126" s="86"/>
      <c r="BM1126" s="86"/>
      <c r="BN1126" s="86"/>
      <c r="BO1126" s="86"/>
    </row>
    <row r="1127" spans="1:67" s="81" customFormat="1" x14ac:dyDescent="0.2">
      <c r="A1127" s="69"/>
      <c r="B1127" s="74"/>
      <c r="C1127" s="75"/>
      <c r="D1127" s="69"/>
      <c r="E1127" s="69"/>
      <c r="F1127" s="76"/>
      <c r="G1127" s="69"/>
      <c r="H1127" s="77"/>
      <c r="I1127" s="78"/>
      <c r="J1127" s="69"/>
      <c r="K1127" s="69"/>
      <c r="L1127" s="69"/>
      <c r="M1127" s="79"/>
      <c r="N1127" s="69"/>
      <c r="O1127" s="80"/>
      <c r="Q1127" s="69"/>
      <c r="R1127" s="69"/>
      <c r="S1127" s="69"/>
      <c r="T1127" s="60"/>
      <c r="U1127" s="60"/>
      <c r="V1127" s="69"/>
      <c r="W1127" s="69"/>
      <c r="X1127" s="69"/>
      <c r="Y1127" s="9" t="e">
        <f t="shared" si="17"/>
        <v>#DIV/0!</v>
      </c>
      <c r="Z1127" s="60"/>
      <c r="AC1127" s="82"/>
      <c r="AD1127" s="69"/>
      <c r="AE1127" s="79"/>
      <c r="AF1127" s="83"/>
      <c r="AG1127" s="84"/>
      <c r="AH1127" s="82"/>
      <c r="AO1127" s="64" t="s">
        <v>79</v>
      </c>
      <c r="AP1127" s="86">
        <v>3.7</v>
      </c>
      <c r="AQ1127" s="86">
        <v>3.7</v>
      </c>
      <c r="AR1127" s="86"/>
      <c r="AS1127" s="86"/>
      <c r="AT1127" s="86"/>
      <c r="AU1127" s="86"/>
      <c r="AV1127" s="86"/>
      <c r="AW1127" s="86"/>
      <c r="AX1127" s="86"/>
      <c r="AY1127" s="86"/>
      <c r="AZ1127" s="86"/>
      <c r="BA1127" s="86"/>
      <c r="BB1127" s="86"/>
      <c r="BC1127" s="86"/>
      <c r="BD1127" s="86"/>
      <c r="BE1127" s="86"/>
      <c r="BF1127" s="86"/>
      <c r="BG1127" s="86"/>
      <c r="BH1127" s="86"/>
      <c r="BI1127" s="86"/>
      <c r="BJ1127" s="86"/>
      <c r="BK1127" s="86"/>
      <c r="BL1127" s="86"/>
      <c r="BM1127" s="86"/>
      <c r="BN1127" s="86"/>
      <c r="BO1127" s="86"/>
    </row>
    <row r="1128" spans="1:67" s="81" customFormat="1" x14ac:dyDescent="0.2">
      <c r="A1128" s="69"/>
      <c r="B1128" s="74"/>
      <c r="C1128" s="75"/>
      <c r="D1128" s="69"/>
      <c r="E1128" s="69"/>
      <c r="F1128" s="76"/>
      <c r="G1128" s="69"/>
      <c r="H1128" s="77"/>
      <c r="I1128" s="78"/>
      <c r="J1128" s="69"/>
      <c r="K1128" s="69"/>
      <c r="L1128" s="69"/>
      <c r="M1128" s="79"/>
      <c r="N1128" s="69"/>
      <c r="O1128" s="80"/>
      <c r="Q1128" s="69"/>
      <c r="R1128" s="69"/>
      <c r="S1128" s="69"/>
      <c r="T1128" s="60"/>
      <c r="U1128" s="60"/>
      <c r="V1128" s="69"/>
      <c r="W1128" s="69"/>
      <c r="X1128" s="69"/>
      <c r="Y1128" s="9" t="e">
        <f t="shared" si="17"/>
        <v>#DIV/0!</v>
      </c>
      <c r="Z1128" s="60"/>
      <c r="AC1128" s="82"/>
      <c r="AD1128" s="69"/>
      <c r="AE1128" s="79"/>
      <c r="AF1128" s="83"/>
      <c r="AG1128" s="84"/>
      <c r="AH1128" s="82"/>
      <c r="AO1128" s="64" t="s">
        <v>80</v>
      </c>
      <c r="AP1128" s="86">
        <v>3.7</v>
      </c>
      <c r="AQ1128" s="86">
        <v>3.7</v>
      </c>
      <c r="AR1128" s="86"/>
      <c r="AS1128" s="86"/>
      <c r="AT1128" s="86"/>
      <c r="AU1128" s="86"/>
      <c r="AV1128" s="86"/>
      <c r="AW1128" s="86"/>
      <c r="AX1128" s="86"/>
      <c r="AY1128" s="86"/>
      <c r="AZ1128" s="86"/>
      <c r="BA1128" s="86"/>
      <c r="BB1128" s="86"/>
      <c r="BC1128" s="86"/>
      <c r="BD1128" s="86"/>
      <c r="BE1128" s="86"/>
      <c r="BF1128" s="86"/>
      <c r="BG1128" s="86"/>
      <c r="BH1128" s="86"/>
      <c r="BI1128" s="86"/>
      <c r="BJ1128" s="86"/>
      <c r="BK1128" s="86"/>
      <c r="BL1128" s="86"/>
      <c r="BM1128" s="86"/>
      <c r="BN1128" s="86"/>
      <c r="BO1128" s="86"/>
    </row>
    <row r="1129" spans="1:67" s="81" customFormat="1" x14ac:dyDescent="0.2">
      <c r="A1129" s="69" t="s">
        <v>67</v>
      </c>
      <c r="B1129" s="74">
        <v>43200</v>
      </c>
      <c r="C1129" s="75">
        <v>0.65277777777777801</v>
      </c>
      <c r="D1129" s="69" t="s">
        <v>113</v>
      </c>
      <c r="E1129" s="69"/>
      <c r="F1129" s="76">
        <v>59.5</v>
      </c>
      <c r="G1129" s="69">
        <v>2</v>
      </c>
      <c r="H1129" s="77">
        <v>3.3613445378151259E-2</v>
      </c>
      <c r="I1129" s="78">
        <v>6.83E-2</v>
      </c>
      <c r="J1129" s="69">
        <v>314.15899999999999</v>
      </c>
      <c r="K1129" s="69">
        <v>0.61470000000000002</v>
      </c>
      <c r="L1129" s="69">
        <v>9</v>
      </c>
      <c r="M1129" s="79">
        <v>255.53847405238326</v>
      </c>
      <c r="N1129" s="69">
        <v>1037</v>
      </c>
      <c r="O1129" s="80" t="s">
        <v>243</v>
      </c>
      <c r="P1129" s="80" t="s">
        <v>82</v>
      </c>
      <c r="Q1129" s="69" t="s">
        <v>87</v>
      </c>
      <c r="R1129" s="69" t="s">
        <v>84</v>
      </c>
      <c r="S1129" s="69"/>
      <c r="T1129" s="60">
        <v>3</v>
      </c>
      <c r="U1129" s="60">
        <v>3</v>
      </c>
      <c r="V1129" s="69">
        <v>4.5999999999999996</v>
      </c>
      <c r="W1129" s="69"/>
      <c r="X1129" s="69"/>
      <c r="Y1129" s="9">
        <f t="shared" si="17"/>
        <v>766.61542215714974</v>
      </c>
      <c r="Z1129" s="60" t="s">
        <v>73</v>
      </c>
      <c r="AA1129" s="58" t="s">
        <v>388</v>
      </c>
      <c r="AB1129" s="81" t="s">
        <v>75</v>
      </c>
      <c r="AC1129" s="82" t="s">
        <v>76</v>
      </c>
      <c r="AD1129" s="69" t="s">
        <v>85</v>
      </c>
      <c r="AE1129" s="79">
        <v>15.598517948333333</v>
      </c>
      <c r="AF1129" s="83"/>
      <c r="AG1129" s="84"/>
      <c r="AH1129" s="82"/>
      <c r="AO1129" s="85" t="s">
        <v>78</v>
      </c>
      <c r="AP1129" s="86">
        <v>3.0999999999999996</v>
      </c>
      <c r="AQ1129" s="86">
        <v>1.9</v>
      </c>
      <c r="AR1129" s="86">
        <v>2.8</v>
      </c>
      <c r="AS1129" s="86">
        <v>4.5999999999999996</v>
      </c>
      <c r="AT1129" s="86"/>
      <c r="AU1129" s="86"/>
      <c r="AV1129" s="86"/>
      <c r="AW1129" s="86"/>
      <c r="AX1129" s="86"/>
      <c r="AY1129" s="86"/>
      <c r="AZ1129" s="86"/>
      <c r="BA1129" s="86"/>
      <c r="BB1129" s="86"/>
      <c r="BC1129" s="86"/>
      <c r="BD1129" s="86"/>
      <c r="BE1129" s="86"/>
      <c r="BF1129" s="86"/>
      <c r="BG1129" s="86"/>
      <c r="BH1129" s="86"/>
      <c r="BI1129" s="86"/>
      <c r="BJ1129" s="86"/>
      <c r="BK1129" s="86"/>
      <c r="BL1129" s="86"/>
      <c r="BM1129" s="86"/>
      <c r="BN1129" s="86"/>
      <c r="BO1129" s="86"/>
    </row>
    <row r="1130" spans="1:67" s="81" customFormat="1" x14ac:dyDescent="0.2">
      <c r="A1130" s="69" t="s">
        <v>67</v>
      </c>
      <c r="B1130" s="74">
        <v>43200</v>
      </c>
      <c r="C1130" s="75">
        <v>0.65277777777777801</v>
      </c>
      <c r="D1130" s="69" t="s">
        <v>113</v>
      </c>
      <c r="E1130" s="69"/>
      <c r="F1130" s="76">
        <v>59.5</v>
      </c>
      <c r="G1130" s="69">
        <v>2</v>
      </c>
      <c r="H1130" s="77">
        <v>3.3613445378151259E-2</v>
      </c>
      <c r="I1130" s="78">
        <v>6.83E-2</v>
      </c>
      <c r="J1130" s="69">
        <v>314.15899999999999</v>
      </c>
      <c r="K1130" s="69">
        <v>0.61470000000000002</v>
      </c>
      <c r="L1130" s="69">
        <v>9</v>
      </c>
      <c r="M1130" s="79">
        <v>255.53847405238326</v>
      </c>
      <c r="N1130" s="69">
        <v>1806</v>
      </c>
      <c r="O1130" s="80" t="s">
        <v>206</v>
      </c>
      <c r="P1130" s="80" t="s">
        <v>82</v>
      </c>
      <c r="Q1130" s="69" t="s">
        <v>207</v>
      </c>
      <c r="R1130" s="69" t="s">
        <v>84</v>
      </c>
      <c r="S1130" s="69"/>
      <c r="T1130" s="60">
        <v>1</v>
      </c>
      <c r="U1130" s="60">
        <v>1</v>
      </c>
      <c r="V1130" s="69">
        <v>3.7</v>
      </c>
      <c r="W1130" s="69"/>
      <c r="X1130" s="69"/>
      <c r="Y1130" s="9">
        <f t="shared" si="17"/>
        <v>255.53847405238326</v>
      </c>
      <c r="Z1130" s="60" t="s">
        <v>73</v>
      </c>
      <c r="AA1130" s="58" t="s">
        <v>388</v>
      </c>
      <c r="AB1130" s="81" t="s">
        <v>75</v>
      </c>
      <c r="AC1130" s="82" t="s">
        <v>76</v>
      </c>
      <c r="AD1130" s="69" t="s">
        <v>120</v>
      </c>
      <c r="AE1130" s="79">
        <v>15.188540453333331</v>
      </c>
      <c r="AF1130" s="83"/>
      <c r="AG1130" s="84"/>
      <c r="AH1130" s="82"/>
      <c r="AO1130" s="85" t="s">
        <v>78</v>
      </c>
      <c r="AP1130" s="86">
        <v>3.7</v>
      </c>
      <c r="AQ1130" s="86">
        <v>3.7</v>
      </c>
      <c r="AR1130" s="86"/>
      <c r="AS1130" s="86"/>
      <c r="AT1130" s="86"/>
      <c r="AU1130" s="86"/>
      <c r="AV1130" s="86"/>
      <c r="AW1130" s="86"/>
      <c r="AX1130" s="86"/>
      <c r="AY1130" s="86"/>
      <c r="AZ1130" s="86"/>
      <c r="BA1130" s="86"/>
      <c r="BB1130" s="86"/>
      <c r="BC1130" s="86"/>
      <c r="BD1130" s="86"/>
      <c r="BE1130" s="86"/>
      <c r="BF1130" s="86"/>
      <c r="BG1130" s="86"/>
      <c r="BH1130" s="86"/>
      <c r="BI1130" s="86"/>
      <c r="BJ1130" s="86"/>
      <c r="BK1130" s="86"/>
      <c r="BL1130" s="86"/>
      <c r="BM1130" s="86"/>
      <c r="BN1130" s="86"/>
      <c r="BO1130" s="86"/>
    </row>
    <row r="1131" spans="1:67" s="81" customFormat="1" x14ac:dyDescent="0.2">
      <c r="A1131" s="69"/>
      <c r="B1131" s="74"/>
      <c r="C1131" s="75"/>
      <c r="D1131" s="69"/>
      <c r="E1131" s="69"/>
      <c r="F1131" s="76"/>
      <c r="G1131" s="69"/>
      <c r="H1131" s="77"/>
      <c r="I1131" s="78"/>
      <c r="J1131" s="69"/>
      <c r="K1131" s="69"/>
      <c r="L1131" s="69"/>
      <c r="M1131" s="79"/>
      <c r="N1131" s="69"/>
      <c r="O1131" s="80"/>
      <c r="P1131" s="80"/>
      <c r="Q1131" s="69"/>
      <c r="R1131" s="69"/>
      <c r="S1131" s="69"/>
      <c r="T1131" s="60"/>
      <c r="U1131" s="60"/>
      <c r="V1131" s="69"/>
      <c r="W1131" s="69"/>
      <c r="X1131" s="69"/>
      <c r="Y1131" s="9" t="e">
        <f t="shared" si="17"/>
        <v>#DIV/0!</v>
      </c>
      <c r="Z1131" s="60"/>
      <c r="AC1131" s="82"/>
      <c r="AD1131" s="69"/>
      <c r="AE1131" s="79"/>
      <c r="AF1131" s="83"/>
      <c r="AG1131" s="84"/>
      <c r="AH1131" s="82"/>
      <c r="AO1131" s="64" t="s">
        <v>79</v>
      </c>
      <c r="AP1131" s="86">
        <v>2.8</v>
      </c>
      <c r="AQ1131" s="86">
        <v>2.8</v>
      </c>
      <c r="AR1131" s="86"/>
      <c r="AS1131" s="86"/>
      <c r="AT1131" s="86"/>
      <c r="AU1131" s="86"/>
      <c r="AV1131" s="86"/>
      <c r="AW1131" s="86"/>
      <c r="AX1131" s="86"/>
      <c r="AY1131" s="86"/>
      <c r="AZ1131" s="86"/>
      <c r="BA1131" s="86"/>
      <c r="BB1131" s="86"/>
      <c r="BC1131" s="86"/>
      <c r="BD1131" s="86"/>
      <c r="BE1131" s="86"/>
      <c r="BF1131" s="86"/>
      <c r="BG1131" s="86"/>
      <c r="BH1131" s="86"/>
      <c r="BI1131" s="86"/>
      <c r="BJ1131" s="86"/>
      <c r="BK1131" s="86"/>
      <c r="BL1131" s="86"/>
      <c r="BM1131" s="86"/>
      <c r="BN1131" s="86"/>
      <c r="BO1131" s="86"/>
    </row>
    <row r="1132" spans="1:67" s="58" customFormat="1" x14ac:dyDescent="0.2">
      <c r="A1132" s="53" t="s">
        <v>67</v>
      </c>
      <c r="B1132" s="50">
        <v>43200</v>
      </c>
      <c r="C1132" s="51">
        <v>0.65277777777777801</v>
      </c>
      <c r="D1132" s="53" t="s">
        <v>113</v>
      </c>
      <c r="E1132" s="53"/>
      <c r="F1132" s="52">
        <v>59.5</v>
      </c>
      <c r="G1132" s="53">
        <v>2</v>
      </c>
      <c r="H1132" s="54">
        <v>3.3613445378151259E-2</v>
      </c>
      <c r="I1132" s="55">
        <v>6.83E-2</v>
      </c>
      <c r="J1132" s="53">
        <v>314.15899999999999</v>
      </c>
      <c r="K1132" s="53">
        <v>0.61470000000000002</v>
      </c>
      <c r="L1132" s="53">
        <v>9</v>
      </c>
      <c r="M1132" s="56">
        <v>255.53847405238326</v>
      </c>
      <c r="N1132" s="53">
        <v>1365</v>
      </c>
      <c r="O1132" s="57" t="s">
        <v>121</v>
      </c>
      <c r="P1132" s="57" t="s">
        <v>82</v>
      </c>
      <c r="Q1132" s="53" t="s">
        <v>122</v>
      </c>
      <c r="R1132" s="53" t="s">
        <v>123</v>
      </c>
      <c r="S1132" s="53"/>
      <c r="T1132" s="60">
        <v>2</v>
      </c>
      <c r="U1132" s="60">
        <v>2</v>
      </c>
      <c r="V1132" s="53">
        <v>11.1</v>
      </c>
      <c r="W1132" s="53"/>
      <c r="X1132" s="53"/>
      <c r="Y1132" s="9">
        <f t="shared" si="17"/>
        <v>511.07694810476653</v>
      </c>
      <c r="Z1132" s="60" t="s">
        <v>73</v>
      </c>
      <c r="AA1132" s="58" t="s">
        <v>388</v>
      </c>
      <c r="AB1132" s="58" t="s">
        <v>75</v>
      </c>
      <c r="AC1132" s="61" t="s">
        <v>76</v>
      </c>
      <c r="AD1132" s="53" t="s">
        <v>91</v>
      </c>
      <c r="AE1132" s="56">
        <v>596.74109351249979</v>
      </c>
      <c r="AF1132" s="62"/>
      <c r="AG1132" s="63"/>
      <c r="AH1132" s="61"/>
      <c r="AO1132" s="66" t="s">
        <v>78</v>
      </c>
      <c r="AP1132" s="65">
        <v>11.1</v>
      </c>
      <c r="AQ1132" s="65">
        <v>11.1</v>
      </c>
      <c r="AR1132" s="65">
        <v>11.1</v>
      </c>
      <c r="AS1132" s="65"/>
      <c r="AT1132" s="65"/>
      <c r="AU1132" s="65"/>
      <c r="AV1132" s="65"/>
      <c r="AW1132" s="65"/>
      <c r="AX1132" s="65"/>
      <c r="AY1132" s="65"/>
      <c r="AZ1132" s="65"/>
      <c r="BA1132" s="65"/>
      <c r="BB1132" s="65"/>
      <c r="BC1132" s="65"/>
      <c r="BD1132" s="65"/>
      <c r="BE1132" s="65"/>
      <c r="BF1132" s="65"/>
      <c r="BG1132" s="65"/>
      <c r="BH1132" s="65"/>
      <c r="BI1132" s="65"/>
      <c r="BJ1132" s="65"/>
      <c r="BK1132" s="65"/>
      <c r="BL1132" s="65"/>
      <c r="BM1132" s="65"/>
      <c r="BN1132" s="65"/>
      <c r="BO1132" s="65"/>
    </row>
    <row r="1133" spans="1:67" s="81" customFormat="1" x14ac:dyDescent="0.2">
      <c r="A1133" s="69"/>
      <c r="B1133" s="74"/>
      <c r="C1133" s="75"/>
      <c r="D1133" s="69"/>
      <c r="E1133" s="69"/>
      <c r="F1133" s="76"/>
      <c r="G1133" s="69"/>
      <c r="H1133" s="77"/>
      <c r="I1133" s="78"/>
      <c r="J1133" s="69"/>
      <c r="K1133" s="69"/>
      <c r="L1133" s="69"/>
      <c r="M1133" s="79"/>
      <c r="N1133" s="69"/>
      <c r="O1133" s="80"/>
      <c r="P1133" s="80"/>
      <c r="Q1133" s="69"/>
      <c r="R1133" s="69"/>
      <c r="S1133" s="69"/>
      <c r="T1133" s="60"/>
      <c r="U1133" s="60"/>
      <c r="V1133" s="69"/>
      <c r="W1133" s="69"/>
      <c r="X1133" s="69"/>
      <c r="Y1133" s="9" t="e">
        <f t="shared" si="17"/>
        <v>#DIV/0!</v>
      </c>
      <c r="Z1133" s="60"/>
      <c r="AC1133" s="82"/>
      <c r="AD1133" s="69"/>
      <c r="AE1133" s="79"/>
      <c r="AF1133" s="83"/>
      <c r="AG1133" s="84"/>
      <c r="AH1133" s="82"/>
      <c r="AO1133" s="64" t="s">
        <v>79</v>
      </c>
      <c r="AP1133" s="86">
        <v>7.4</v>
      </c>
      <c r="AQ1133" s="86">
        <v>7.4</v>
      </c>
      <c r="AR1133" s="86">
        <v>7.4</v>
      </c>
      <c r="AS1133" s="86"/>
      <c r="AT1133" s="86"/>
      <c r="AU1133" s="86"/>
      <c r="AV1133" s="86"/>
      <c r="AW1133" s="86"/>
      <c r="AX1133" s="86"/>
      <c r="AY1133" s="86"/>
      <c r="AZ1133" s="86"/>
      <c r="BA1133" s="86"/>
      <c r="BB1133" s="86"/>
      <c r="BC1133" s="86"/>
      <c r="BD1133" s="86"/>
      <c r="BE1133" s="86"/>
      <c r="BF1133" s="86"/>
      <c r="BG1133" s="86"/>
      <c r="BH1133" s="86"/>
      <c r="BI1133" s="86"/>
      <c r="BJ1133" s="86"/>
      <c r="BK1133" s="86"/>
      <c r="BL1133" s="86"/>
      <c r="BM1133" s="86"/>
      <c r="BN1133" s="86"/>
      <c r="BO1133" s="86"/>
    </row>
    <row r="1134" spans="1:67" s="81" customFormat="1" x14ac:dyDescent="0.2">
      <c r="A1134" s="69" t="s">
        <v>67</v>
      </c>
      <c r="B1134" s="74">
        <v>43200</v>
      </c>
      <c r="C1134" s="75">
        <v>0.65277777777777801</v>
      </c>
      <c r="D1134" s="69" t="s">
        <v>113</v>
      </c>
      <c r="E1134" s="69"/>
      <c r="F1134" s="76">
        <v>59.5</v>
      </c>
      <c r="G1134" s="69">
        <v>2</v>
      </c>
      <c r="H1134" s="77">
        <v>3.3613445378151259E-2</v>
      </c>
      <c r="I1134" s="78">
        <v>6.83E-2</v>
      </c>
      <c r="J1134" s="69">
        <v>314.15899999999999</v>
      </c>
      <c r="K1134" s="69">
        <v>0.61470000000000002</v>
      </c>
      <c r="L1134" s="69">
        <v>9</v>
      </c>
      <c r="M1134" s="79">
        <v>255.53847405238326</v>
      </c>
      <c r="N1134" s="69">
        <v>1419</v>
      </c>
      <c r="O1134" s="80" t="s">
        <v>94</v>
      </c>
      <c r="P1134" s="80" t="s">
        <v>82</v>
      </c>
      <c r="Q1134" s="69" t="s">
        <v>95</v>
      </c>
      <c r="R1134" s="69" t="s">
        <v>96</v>
      </c>
      <c r="S1134" s="69"/>
      <c r="T1134" s="60">
        <v>432</v>
      </c>
      <c r="U1134" s="60">
        <v>864</v>
      </c>
      <c r="V1134" s="69">
        <v>0.8</v>
      </c>
      <c r="W1134" s="69">
        <v>0.8</v>
      </c>
      <c r="X1134" s="69">
        <v>0.8</v>
      </c>
      <c r="Y1134" s="9">
        <f t="shared" si="17"/>
        <v>110392.62079062956</v>
      </c>
      <c r="Z1134" s="60" t="s">
        <v>97</v>
      </c>
      <c r="AA1134" s="58" t="s">
        <v>388</v>
      </c>
      <c r="AB1134" s="81" t="s">
        <v>75</v>
      </c>
      <c r="AC1134" s="82" t="s">
        <v>76</v>
      </c>
      <c r="AD1134" s="69" t="s">
        <v>85</v>
      </c>
      <c r="AE1134" s="79">
        <v>0.18</v>
      </c>
      <c r="AF1134" s="79">
        <v>0.18</v>
      </c>
      <c r="AG1134" s="79">
        <v>0.18</v>
      </c>
      <c r="AH1134" s="79">
        <v>0.18</v>
      </c>
      <c r="AI1134" s="79">
        <v>0.18</v>
      </c>
      <c r="AJ1134" s="79">
        <v>0.18</v>
      </c>
      <c r="AK1134" s="79">
        <v>0.18</v>
      </c>
      <c r="AL1134" s="79">
        <v>0.18</v>
      </c>
      <c r="AM1134" s="79">
        <v>0.18</v>
      </c>
      <c r="AN1134" s="79">
        <v>0.18</v>
      </c>
      <c r="AO1134" s="85" t="s">
        <v>78</v>
      </c>
      <c r="AP1134" s="86">
        <v>0.75200000000000033</v>
      </c>
      <c r="AQ1134" s="86">
        <v>0.7</v>
      </c>
      <c r="AR1134" s="86">
        <v>0.7</v>
      </c>
      <c r="AS1134" s="86">
        <v>0.7</v>
      </c>
      <c r="AT1134" s="86">
        <v>0.7</v>
      </c>
      <c r="AU1134" s="86">
        <v>0.7</v>
      </c>
      <c r="AV1134" s="86">
        <v>0.7</v>
      </c>
      <c r="AW1134" s="86">
        <v>0.7</v>
      </c>
      <c r="AX1134" s="86">
        <v>0.7</v>
      </c>
      <c r="AY1134" s="86">
        <v>0.7</v>
      </c>
      <c r="AZ1134" s="86">
        <v>0.7</v>
      </c>
      <c r="BA1134" s="86">
        <v>0.7</v>
      </c>
      <c r="BB1134" s="86">
        <v>0.7</v>
      </c>
      <c r="BC1134" s="86">
        <v>0.8</v>
      </c>
      <c r="BD1134" s="86">
        <v>0.8</v>
      </c>
      <c r="BE1134" s="86">
        <v>0.8</v>
      </c>
      <c r="BF1134" s="86">
        <v>0.8</v>
      </c>
      <c r="BG1134" s="86">
        <v>0.8</v>
      </c>
      <c r="BH1134" s="86">
        <v>0.8</v>
      </c>
      <c r="BI1134" s="86">
        <v>0.8</v>
      </c>
      <c r="BJ1134" s="86">
        <v>0.8</v>
      </c>
      <c r="BK1134" s="86">
        <v>0.8</v>
      </c>
      <c r="BL1134" s="86">
        <v>0.8</v>
      </c>
      <c r="BM1134" s="86">
        <v>0.8</v>
      </c>
      <c r="BN1134" s="86">
        <v>0.8</v>
      </c>
      <c r="BO1134" s="86">
        <v>0.8</v>
      </c>
    </row>
    <row r="1135" spans="1:67" s="58" customFormat="1" x14ac:dyDescent="0.2">
      <c r="A1135" s="49" t="s">
        <v>67</v>
      </c>
      <c r="B1135" s="50">
        <v>43171</v>
      </c>
      <c r="C1135" s="51">
        <v>0.65277777777777801</v>
      </c>
      <c r="D1135" s="49" t="s">
        <v>202</v>
      </c>
      <c r="E1135" s="49"/>
      <c r="F1135" s="52">
        <v>62.5</v>
      </c>
      <c r="G1135" s="53">
        <v>3</v>
      </c>
      <c r="H1135" s="54">
        <v>4.8000000000000001E-2</v>
      </c>
      <c r="I1135" s="55">
        <v>6.9746499000000003E-2</v>
      </c>
      <c r="J1135" s="53">
        <v>314.15899999999999</v>
      </c>
      <c r="K1135" s="53">
        <v>0.41847899399999999</v>
      </c>
      <c r="L1135" s="53">
        <v>6</v>
      </c>
      <c r="M1135" s="56">
        <v>250.23876507088588</v>
      </c>
      <c r="N1135" s="53">
        <v>44</v>
      </c>
      <c r="O1135" s="57" t="s">
        <v>266</v>
      </c>
      <c r="P1135" s="58" t="s">
        <v>70</v>
      </c>
      <c r="Q1135" s="53" t="s">
        <v>110</v>
      </c>
      <c r="R1135" s="53" t="s">
        <v>267</v>
      </c>
      <c r="S1135" s="53"/>
      <c r="T1135" s="59">
        <v>1</v>
      </c>
      <c r="U1135" s="59">
        <v>1</v>
      </c>
      <c r="V1135" s="53">
        <v>8.3000000000000007</v>
      </c>
      <c r="W1135" s="53"/>
      <c r="X1135" s="53"/>
      <c r="Y1135" s="9">
        <f t="shared" si="17"/>
        <v>250.23876507088588</v>
      </c>
      <c r="Z1135" s="60" t="s">
        <v>73</v>
      </c>
      <c r="AA1135" s="58" t="s">
        <v>389</v>
      </c>
      <c r="AB1135" s="58" t="s">
        <v>386</v>
      </c>
      <c r="AC1135" s="61" t="s">
        <v>390</v>
      </c>
      <c r="AD1135" s="53" t="s">
        <v>77</v>
      </c>
      <c r="AE1135" s="56">
        <v>67.534760230000003</v>
      </c>
      <c r="AF1135" s="62"/>
      <c r="AG1135" s="63"/>
      <c r="AH1135" s="61"/>
      <c r="AO1135" s="64" t="s">
        <v>78</v>
      </c>
      <c r="AP1135" s="65">
        <v>8.3000000000000007</v>
      </c>
      <c r="AQ1135" s="65">
        <v>8.3000000000000007</v>
      </c>
      <c r="AR1135" s="65"/>
      <c r="AS1135" s="65"/>
      <c r="AT1135" s="65"/>
      <c r="AU1135" s="65"/>
      <c r="AV1135" s="65"/>
      <c r="AW1135" s="65"/>
      <c r="AX1135" s="65"/>
      <c r="AY1135" s="65"/>
      <c r="AZ1135" s="65"/>
      <c r="BA1135" s="65"/>
      <c r="BB1135" s="65"/>
      <c r="BC1135" s="65"/>
      <c r="BD1135" s="65"/>
      <c r="BE1135" s="65"/>
      <c r="BF1135" s="65"/>
      <c r="BG1135" s="65"/>
      <c r="BH1135" s="65"/>
      <c r="BI1135" s="65"/>
      <c r="BJ1135" s="65"/>
      <c r="BK1135" s="65"/>
      <c r="BL1135" s="65"/>
      <c r="BM1135" s="65"/>
      <c r="BN1135" s="65"/>
      <c r="BO1135" s="65"/>
    </row>
    <row r="1136" spans="1:67" s="58" customFormat="1" x14ac:dyDescent="0.2">
      <c r="A1136" s="49"/>
      <c r="B1136" s="50"/>
      <c r="C1136" s="51"/>
      <c r="D1136" s="49"/>
      <c r="E1136" s="49"/>
      <c r="F1136" s="52"/>
      <c r="G1136" s="53"/>
      <c r="H1136" s="54"/>
      <c r="I1136" s="55"/>
      <c r="J1136" s="53"/>
      <c r="K1136" s="53"/>
      <c r="L1136" s="53"/>
      <c r="M1136" s="56"/>
      <c r="N1136" s="53"/>
      <c r="O1136" s="57"/>
      <c r="Q1136" s="53"/>
      <c r="R1136" s="53"/>
      <c r="S1136" s="53"/>
      <c r="T1136" s="59"/>
      <c r="U1136" s="59"/>
      <c r="V1136" s="53"/>
      <c r="W1136" s="53"/>
      <c r="X1136" s="53"/>
      <c r="Y1136" s="9" t="e">
        <f t="shared" si="17"/>
        <v>#DIV/0!</v>
      </c>
      <c r="Z1136" s="60"/>
      <c r="AC1136" s="61"/>
      <c r="AD1136" s="53"/>
      <c r="AE1136" s="56"/>
      <c r="AF1136" s="62"/>
      <c r="AG1136" s="63"/>
      <c r="AH1136" s="61"/>
      <c r="AO1136" s="64" t="s">
        <v>79</v>
      </c>
      <c r="AP1136" s="65">
        <v>3.7</v>
      </c>
      <c r="AQ1136" s="65">
        <v>3.7</v>
      </c>
      <c r="AR1136" s="65"/>
      <c r="AS1136" s="65"/>
      <c r="AT1136" s="65"/>
      <c r="AU1136" s="65"/>
      <c r="AV1136" s="65"/>
      <c r="AW1136" s="65"/>
      <c r="AX1136" s="65"/>
      <c r="AY1136" s="65"/>
      <c r="AZ1136" s="65"/>
      <c r="BA1136" s="65"/>
      <c r="BB1136" s="65"/>
      <c r="BC1136" s="65"/>
      <c r="BD1136" s="65"/>
      <c r="BE1136" s="65"/>
      <c r="BF1136" s="65"/>
      <c r="BG1136" s="65"/>
      <c r="BH1136" s="65"/>
      <c r="BI1136" s="65"/>
      <c r="BJ1136" s="65"/>
      <c r="BK1136" s="65"/>
      <c r="BL1136" s="65"/>
      <c r="BM1136" s="65"/>
      <c r="BN1136" s="65"/>
      <c r="BO1136" s="65"/>
    </row>
    <row r="1137" spans="1:67" s="58" customFormat="1" x14ac:dyDescent="0.2">
      <c r="A1137" s="49"/>
      <c r="B1137" s="50"/>
      <c r="C1137" s="51"/>
      <c r="D1137" s="49"/>
      <c r="E1137" s="49"/>
      <c r="F1137" s="52"/>
      <c r="G1137" s="53"/>
      <c r="H1137" s="54"/>
      <c r="I1137" s="55"/>
      <c r="J1137" s="53"/>
      <c r="K1137" s="53"/>
      <c r="L1137" s="53"/>
      <c r="M1137" s="56"/>
      <c r="N1137" s="53"/>
      <c r="O1137" s="57"/>
      <c r="Q1137" s="53"/>
      <c r="R1137" s="53"/>
      <c r="S1137" s="53"/>
      <c r="T1137" s="59"/>
      <c r="U1137" s="59"/>
      <c r="V1137" s="53"/>
      <c r="W1137" s="53"/>
      <c r="X1137" s="53"/>
      <c r="Y1137" s="9" t="e">
        <f t="shared" si="17"/>
        <v>#DIV/0!</v>
      </c>
      <c r="Z1137" s="60"/>
      <c r="AC1137" s="61"/>
      <c r="AD1137" s="53"/>
      <c r="AE1137" s="56"/>
      <c r="AF1137" s="62"/>
      <c r="AG1137" s="63"/>
      <c r="AH1137" s="61"/>
      <c r="AO1137" s="64" t="s">
        <v>80</v>
      </c>
      <c r="AP1137" s="65">
        <v>2.8</v>
      </c>
      <c r="AQ1137" s="65">
        <v>2.8</v>
      </c>
      <c r="AR1137" s="65"/>
      <c r="AS1137" s="65"/>
      <c r="AT1137" s="65"/>
      <c r="AU1137" s="65"/>
      <c r="AV1137" s="65"/>
      <c r="AW1137" s="65"/>
      <c r="AX1137" s="65"/>
      <c r="AY1137" s="65"/>
      <c r="AZ1137" s="65"/>
      <c r="BA1137" s="65"/>
      <c r="BB1137" s="65"/>
      <c r="BC1137" s="65"/>
      <c r="BD1137" s="65"/>
      <c r="BE1137" s="65"/>
      <c r="BF1137" s="65"/>
      <c r="BG1137" s="65"/>
      <c r="BH1137" s="65"/>
      <c r="BI1137" s="65"/>
      <c r="BJ1137" s="65"/>
      <c r="BK1137" s="65"/>
      <c r="BL1137" s="65"/>
      <c r="BM1137" s="65"/>
      <c r="BN1137" s="65"/>
      <c r="BO1137" s="65"/>
    </row>
    <row r="1138" spans="1:67" s="58" customFormat="1" x14ac:dyDescent="0.2">
      <c r="A1138" s="49" t="s">
        <v>67</v>
      </c>
      <c r="B1138" s="50">
        <v>43171</v>
      </c>
      <c r="C1138" s="51">
        <v>0.65277777777777801</v>
      </c>
      <c r="D1138" s="49" t="s">
        <v>202</v>
      </c>
      <c r="E1138" s="49"/>
      <c r="F1138" s="52">
        <v>62.5</v>
      </c>
      <c r="G1138" s="53">
        <v>3</v>
      </c>
      <c r="H1138" s="54">
        <v>4.8000000000000001E-2</v>
      </c>
      <c r="I1138" s="55">
        <v>6.9746499000000003E-2</v>
      </c>
      <c r="J1138" s="53">
        <v>314.15899999999999</v>
      </c>
      <c r="K1138" s="53">
        <v>0.41847899399999999</v>
      </c>
      <c r="L1138" s="53">
        <v>6</v>
      </c>
      <c r="M1138" s="56">
        <v>250.23876507088588</v>
      </c>
      <c r="N1138" s="53">
        <v>1037</v>
      </c>
      <c r="O1138" s="57" t="s">
        <v>86</v>
      </c>
      <c r="P1138" s="57" t="s">
        <v>82</v>
      </c>
      <c r="Q1138" s="53" t="s">
        <v>87</v>
      </c>
      <c r="R1138" s="53" t="s">
        <v>84</v>
      </c>
      <c r="S1138" s="53"/>
      <c r="T1138" s="59">
        <v>26</v>
      </c>
      <c r="U1138" s="59">
        <v>26</v>
      </c>
      <c r="V1138" s="53">
        <v>4.3</v>
      </c>
      <c r="W1138" s="53"/>
      <c r="X1138" s="53"/>
      <c r="Y1138" s="9">
        <f t="shared" si="17"/>
        <v>6506.2078918430334</v>
      </c>
      <c r="Z1138" s="60" t="s">
        <v>73</v>
      </c>
      <c r="AA1138" s="58" t="s">
        <v>389</v>
      </c>
      <c r="AB1138" s="58" t="s">
        <v>386</v>
      </c>
      <c r="AC1138" s="61" t="s">
        <v>390</v>
      </c>
      <c r="AD1138" s="53" t="s">
        <v>85</v>
      </c>
      <c r="AE1138" s="56">
        <v>11.494030613333329</v>
      </c>
      <c r="AF1138" s="62"/>
      <c r="AG1138" s="63"/>
      <c r="AH1138" s="61"/>
      <c r="AO1138" s="64" t="s">
        <v>78</v>
      </c>
      <c r="AP1138" s="65">
        <v>2.8</v>
      </c>
      <c r="AQ1138" s="65">
        <v>1.9</v>
      </c>
      <c r="AR1138" s="65">
        <v>3.1</v>
      </c>
      <c r="AS1138" s="65">
        <v>2.8</v>
      </c>
      <c r="AT1138" s="65">
        <v>1.9</v>
      </c>
      <c r="AU1138" s="65">
        <v>4.3</v>
      </c>
      <c r="AV1138" s="65"/>
      <c r="AW1138" s="65"/>
      <c r="AX1138" s="65"/>
      <c r="AY1138" s="65"/>
      <c r="AZ1138" s="65"/>
      <c r="BA1138" s="65"/>
      <c r="BB1138" s="65"/>
      <c r="BC1138" s="65"/>
      <c r="BD1138" s="65"/>
      <c r="BE1138" s="65"/>
      <c r="BF1138" s="65"/>
      <c r="BG1138" s="65"/>
      <c r="BH1138" s="65"/>
      <c r="BI1138" s="65"/>
      <c r="BJ1138" s="65"/>
      <c r="BK1138" s="65"/>
      <c r="BL1138" s="65"/>
      <c r="BM1138" s="65"/>
      <c r="BN1138" s="65"/>
      <c r="BO1138" s="65"/>
    </row>
    <row r="1139" spans="1:67" s="58" customFormat="1" x14ac:dyDescent="0.2">
      <c r="A1139" s="49" t="s">
        <v>67</v>
      </c>
      <c r="B1139" s="50">
        <v>43171</v>
      </c>
      <c r="C1139" s="51">
        <v>0.65277777777777801</v>
      </c>
      <c r="D1139" s="49" t="s">
        <v>202</v>
      </c>
      <c r="E1139" s="49"/>
      <c r="F1139" s="52">
        <v>62.5</v>
      </c>
      <c r="G1139" s="53">
        <v>3</v>
      </c>
      <c r="H1139" s="54">
        <v>4.8000000000000001E-2</v>
      </c>
      <c r="I1139" s="55">
        <v>6.9746499000000003E-2</v>
      </c>
      <c r="J1139" s="53">
        <v>314.15899999999999</v>
      </c>
      <c r="K1139" s="53">
        <v>0.41847899399999999</v>
      </c>
      <c r="L1139" s="53">
        <v>6</v>
      </c>
      <c r="M1139" s="56">
        <v>250.23876507088588</v>
      </c>
      <c r="N1139" s="53">
        <v>1733</v>
      </c>
      <c r="O1139" s="57" t="s">
        <v>391</v>
      </c>
      <c r="P1139" s="57" t="s">
        <v>82</v>
      </c>
      <c r="Q1139" s="53" t="s">
        <v>89</v>
      </c>
      <c r="R1139" s="53" t="s">
        <v>93</v>
      </c>
      <c r="S1139" s="53"/>
      <c r="T1139" s="59">
        <v>6</v>
      </c>
      <c r="U1139" s="59">
        <v>6</v>
      </c>
      <c r="V1139" s="53">
        <v>7.4</v>
      </c>
      <c r="W1139" s="53"/>
      <c r="X1139" s="53"/>
      <c r="Y1139" s="9">
        <f t="shared" si="17"/>
        <v>1501.4325904253153</v>
      </c>
      <c r="Z1139" s="60" t="s">
        <v>73</v>
      </c>
      <c r="AA1139" s="58" t="s">
        <v>389</v>
      </c>
      <c r="AB1139" s="58" t="s">
        <v>386</v>
      </c>
      <c r="AC1139" s="61" t="s">
        <v>390</v>
      </c>
      <c r="AD1139" s="53" t="s">
        <v>91</v>
      </c>
      <c r="AE1139" s="56">
        <v>94.49300581916664</v>
      </c>
      <c r="AF1139" s="62"/>
      <c r="AG1139" s="63"/>
      <c r="AH1139" s="61"/>
      <c r="AO1139" s="64" t="s">
        <v>78</v>
      </c>
      <c r="AP1139" s="65">
        <v>6.1400000000000006</v>
      </c>
      <c r="AQ1139" s="65">
        <v>6.5</v>
      </c>
      <c r="AR1139" s="65">
        <v>5.6</v>
      </c>
      <c r="AS1139" s="65">
        <v>5.6</v>
      </c>
      <c r="AT1139" s="65">
        <v>7.4</v>
      </c>
      <c r="AU1139" s="65">
        <v>5.6</v>
      </c>
      <c r="AV1139" s="65"/>
      <c r="AW1139" s="65"/>
      <c r="AX1139" s="65"/>
      <c r="AY1139" s="65"/>
      <c r="AZ1139" s="65"/>
      <c r="BA1139" s="65"/>
      <c r="BB1139" s="65"/>
      <c r="BC1139" s="65"/>
      <c r="BD1139" s="65"/>
      <c r="BE1139" s="65"/>
      <c r="BF1139" s="65"/>
      <c r="BG1139" s="65"/>
      <c r="BH1139" s="65"/>
      <c r="BI1139" s="65"/>
      <c r="BJ1139" s="65"/>
      <c r="BK1139" s="65"/>
      <c r="BL1139" s="65"/>
      <c r="BM1139" s="65"/>
      <c r="BN1139" s="65"/>
      <c r="BO1139" s="65"/>
    </row>
    <row r="1140" spans="1:67" s="58" customFormat="1" x14ac:dyDescent="0.2">
      <c r="A1140" s="49"/>
      <c r="B1140" s="50"/>
      <c r="C1140" s="51"/>
      <c r="D1140" s="49"/>
      <c r="E1140" s="49"/>
      <c r="F1140" s="52"/>
      <c r="G1140" s="53"/>
      <c r="H1140" s="54"/>
      <c r="I1140" s="55"/>
      <c r="J1140" s="53"/>
      <c r="K1140" s="53"/>
      <c r="L1140" s="53"/>
      <c r="M1140" s="56"/>
      <c r="N1140" s="53"/>
      <c r="O1140" s="57"/>
      <c r="P1140" s="57"/>
      <c r="Q1140" s="53"/>
      <c r="R1140" s="53"/>
      <c r="S1140" s="53"/>
      <c r="T1140" s="59"/>
      <c r="U1140" s="59"/>
      <c r="V1140" s="53"/>
      <c r="W1140" s="53"/>
      <c r="X1140" s="53"/>
      <c r="Y1140" s="9" t="e">
        <f t="shared" si="17"/>
        <v>#DIV/0!</v>
      </c>
      <c r="Z1140" s="60"/>
      <c r="AC1140" s="61"/>
      <c r="AD1140" s="53"/>
      <c r="AE1140" s="56"/>
      <c r="AF1140" s="62"/>
      <c r="AG1140" s="63"/>
      <c r="AH1140" s="61"/>
      <c r="AO1140" s="64" t="s">
        <v>79</v>
      </c>
      <c r="AP1140" s="65">
        <v>3.5799999999999996</v>
      </c>
      <c r="AQ1140" s="65">
        <v>3.7</v>
      </c>
      <c r="AR1140" s="65">
        <v>3.1</v>
      </c>
      <c r="AS1140" s="65">
        <v>3.7</v>
      </c>
      <c r="AT1140" s="65">
        <v>3.7</v>
      </c>
      <c r="AU1140" s="65">
        <v>3.7</v>
      </c>
      <c r="AV1140" s="65"/>
      <c r="AW1140" s="65"/>
      <c r="AX1140" s="65"/>
      <c r="AY1140" s="65"/>
      <c r="AZ1140" s="65"/>
      <c r="BA1140" s="65"/>
      <c r="BB1140" s="65"/>
      <c r="BC1140" s="65"/>
      <c r="BD1140" s="65"/>
      <c r="BE1140" s="65"/>
      <c r="BF1140" s="65"/>
      <c r="BG1140" s="65"/>
      <c r="BH1140" s="65"/>
      <c r="BI1140" s="65"/>
      <c r="BJ1140" s="65"/>
      <c r="BK1140" s="65"/>
      <c r="BL1140" s="65"/>
      <c r="BM1140" s="65"/>
      <c r="BN1140" s="65"/>
      <c r="BO1140" s="65"/>
    </row>
    <row r="1141" spans="1:67" s="58" customFormat="1" x14ac:dyDescent="0.2">
      <c r="A1141" s="49" t="s">
        <v>67</v>
      </c>
      <c r="B1141" s="50">
        <v>43171</v>
      </c>
      <c r="C1141" s="51">
        <v>0.65277777777777801</v>
      </c>
      <c r="D1141" s="49" t="s">
        <v>202</v>
      </c>
      <c r="E1141" s="49"/>
      <c r="F1141" s="52">
        <v>62.5</v>
      </c>
      <c r="G1141" s="53">
        <v>3</v>
      </c>
      <c r="H1141" s="54">
        <v>4.8000000000000001E-2</v>
      </c>
      <c r="I1141" s="55">
        <v>6.9746499000000003E-2</v>
      </c>
      <c r="J1141" s="53">
        <v>314.15899999999999</v>
      </c>
      <c r="K1141" s="53">
        <v>0.41847899399999999</v>
      </c>
      <c r="L1141" s="53">
        <v>6</v>
      </c>
      <c r="M1141" s="56">
        <v>250.23876507088588</v>
      </c>
      <c r="N1141" s="53">
        <v>1419</v>
      </c>
      <c r="O1141" s="57" t="s">
        <v>94</v>
      </c>
      <c r="P1141" s="57" t="s">
        <v>82</v>
      </c>
      <c r="Q1141" s="53" t="s">
        <v>95</v>
      </c>
      <c r="R1141" s="53" t="s">
        <v>96</v>
      </c>
      <c r="S1141" s="53"/>
      <c r="T1141" s="59">
        <v>398</v>
      </c>
      <c r="U1141" s="59">
        <v>816</v>
      </c>
      <c r="V1141" s="53">
        <v>0.9</v>
      </c>
      <c r="W1141" s="53">
        <v>0.9</v>
      </c>
      <c r="X1141" s="53">
        <v>0.9</v>
      </c>
      <c r="Y1141" s="9">
        <f t="shared" si="17"/>
        <v>99595.028498212574</v>
      </c>
      <c r="Z1141" s="60" t="s">
        <v>97</v>
      </c>
      <c r="AA1141" s="58" t="s">
        <v>389</v>
      </c>
      <c r="AB1141" s="58" t="s">
        <v>386</v>
      </c>
      <c r="AC1141" s="61" t="s">
        <v>390</v>
      </c>
      <c r="AD1141" s="53" t="s">
        <v>85</v>
      </c>
      <c r="AE1141" s="56">
        <v>0.11309723999999999</v>
      </c>
      <c r="AF1141" s="56">
        <v>0.17959422833333327</v>
      </c>
      <c r="AG1141" s="56">
        <v>0.11309723999999999</v>
      </c>
      <c r="AH1141" s="56">
        <v>0.26808234666666664</v>
      </c>
      <c r="AI1141" s="56">
        <v>0.381703185</v>
      </c>
      <c r="AJ1141" s="56">
        <v>0.17959422833333327</v>
      </c>
      <c r="AK1141" s="56">
        <v>0.26808234666666664</v>
      </c>
      <c r="AL1141" s="56">
        <v>0.11309723999999999</v>
      </c>
      <c r="AM1141" s="56">
        <v>0.11309723999999999</v>
      </c>
      <c r="AN1141" s="56">
        <v>0.17959422833333327</v>
      </c>
      <c r="AO1141" s="66" t="s">
        <v>78</v>
      </c>
      <c r="AP1141" s="65">
        <v>0.72399999999999987</v>
      </c>
      <c r="AQ1141" s="65">
        <v>0.6</v>
      </c>
      <c r="AR1141" s="65">
        <v>0.7</v>
      </c>
      <c r="AS1141" s="65">
        <v>0.6</v>
      </c>
      <c r="AT1141" s="65">
        <v>0.8</v>
      </c>
      <c r="AU1141" s="65">
        <v>0.9</v>
      </c>
      <c r="AV1141" s="65">
        <v>0.7</v>
      </c>
      <c r="AW1141" s="65">
        <v>0.8</v>
      </c>
      <c r="AX1141" s="65">
        <v>0.6</v>
      </c>
      <c r="AY1141" s="65">
        <v>0.6</v>
      </c>
      <c r="AZ1141" s="65">
        <v>0.7</v>
      </c>
      <c r="BA1141" s="65">
        <v>0.9</v>
      </c>
      <c r="BB1141" s="65">
        <v>0.7</v>
      </c>
      <c r="BC1141" s="65">
        <v>0.6</v>
      </c>
      <c r="BD1141" s="65">
        <v>0.7</v>
      </c>
      <c r="BE1141" s="65">
        <v>0.8</v>
      </c>
      <c r="BF1141" s="65">
        <v>0.9</v>
      </c>
      <c r="BG1141" s="65">
        <v>0.6</v>
      </c>
      <c r="BH1141" s="65">
        <v>0.7</v>
      </c>
      <c r="BI1141" s="65">
        <v>0.7</v>
      </c>
      <c r="BJ1141" s="65">
        <v>0.8</v>
      </c>
      <c r="BK1141" s="65">
        <v>0.8</v>
      </c>
      <c r="BL1141" s="65">
        <v>0.7</v>
      </c>
      <c r="BM1141" s="65">
        <v>0.6</v>
      </c>
      <c r="BN1141" s="65">
        <v>0.9</v>
      </c>
      <c r="BO1141" s="65">
        <v>0.7</v>
      </c>
    </row>
    <row r="1142" spans="1:67" s="81" customFormat="1" x14ac:dyDescent="0.2">
      <c r="A1142" s="69" t="s">
        <v>67</v>
      </c>
      <c r="B1142" s="74">
        <v>43200</v>
      </c>
      <c r="C1142" s="75">
        <v>0.63402777777777797</v>
      </c>
      <c r="D1142" s="69" t="s">
        <v>108</v>
      </c>
      <c r="E1142" s="69">
        <v>3</v>
      </c>
      <c r="F1142" s="76">
        <v>60</v>
      </c>
      <c r="G1142" s="69">
        <v>2</v>
      </c>
      <c r="H1142" s="77">
        <v>3.3333333333333333E-2</v>
      </c>
      <c r="I1142" s="78">
        <v>6.83E-2</v>
      </c>
      <c r="J1142" s="69">
        <v>314.15899999999999</v>
      </c>
      <c r="K1142" s="69">
        <v>0.4098</v>
      </c>
      <c r="L1142" s="69">
        <v>6</v>
      </c>
      <c r="M1142" s="79">
        <v>383.30771107857493</v>
      </c>
      <c r="N1142" s="69">
        <v>145</v>
      </c>
      <c r="O1142" s="80" t="s">
        <v>69</v>
      </c>
      <c r="P1142" s="81" t="s">
        <v>70</v>
      </c>
      <c r="Q1142" s="69" t="s">
        <v>71</v>
      </c>
      <c r="R1142" s="69" t="s">
        <v>72</v>
      </c>
      <c r="S1142" s="69"/>
      <c r="T1142" s="60">
        <v>1</v>
      </c>
      <c r="U1142" s="60">
        <v>1</v>
      </c>
      <c r="V1142" s="69">
        <v>25.9</v>
      </c>
      <c r="W1142" s="69"/>
      <c r="X1142" s="69"/>
      <c r="Y1142" s="9">
        <f t="shared" si="17"/>
        <v>383.30771107857493</v>
      </c>
      <c r="Z1142" s="60" t="s">
        <v>73</v>
      </c>
      <c r="AA1142" s="58" t="s">
        <v>392</v>
      </c>
      <c r="AB1142" s="81" t="s">
        <v>75</v>
      </c>
      <c r="AC1142" s="82" t="s">
        <v>76</v>
      </c>
      <c r="AD1142" s="69" t="s">
        <v>77</v>
      </c>
      <c r="AE1142" s="79">
        <v>1113.91670789</v>
      </c>
      <c r="AF1142" s="83"/>
      <c r="AG1142" s="84"/>
      <c r="AH1142" s="82"/>
      <c r="AO1142" s="85" t="s">
        <v>78</v>
      </c>
      <c r="AP1142" s="86">
        <v>25.9</v>
      </c>
      <c r="AQ1142" s="86">
        <v>25.9</v>
      </c>
      <c r="AR1142" s="86"/>
      <c r="AS1142" s="86"/>
      <c r="AT1142" s="86"/>
      <c r="AU1142" s="86"/>
      <c r="AV1142" s="86"/>
      <c r="AW1142" s="86"/>
      <c r="AX1142" s="86"/>
      <c r="AY1142" s="86"/>
      <c r="AZ1142" s="86"/>
      <c r="BA1142" s="86"/>
      <c r="BB1142" s="86"/>
      <c r="BC1142" s="86"/>
      <c r="BD1142" s="86"/>
      <c r="BE1142" s="86"/>
      <c r="BF1142" s="86"/>
      <c r="BG1142" s="86"/>
      <c r="BH1142" s="86"/>
      <c r="BI1142" s="86"/>
      <c r="BJ1142" s="86"/>
      <c r="BK1142" s="86"/>
      <c r="BL1142" s="86"/>
      <c r="BM1142" s="86"/>
      <c r="BN1142" s="86"/>
      <c r="BO1142" s="86"/>
    </row>
    <row r="1143" spans="1:67" s="81" customFormat="1" x14ac:dyDescent="0.2">
      <c r="A1143" s="69"/>
      <c r="B1143" s="74"/>
      <c r="C1143" s="75"/>
      <c r="D1143" s="69"/>
      <c r="E1143" s="69"/>
      <c r="F1143" s="76"/>
      <c r="G1143" s="69"/>
      <c r="H1143" s="77"/>
      <c r="I1143" s="78"/>
      <c r="J1143" s="69"/>
      <c r="K1143" s="69"/>
      <c r="L1143" s="69"/>
      <c r="M1143" s="79"/>
      <c r="N1143" s="69"/>
      <c r="O1143" s="80"/>
      <c r="Q1143" s="69"/>
      <c r="R1143" s="69"/>
      <c r="S1143" s="69"/>
      <c r="T1143" s="60"/>
      <c r="U1143" s="60"/>
      <c r="V1143" s="69"/>
      <c r="W1143" s="69"/>
      <c r="X1143" s="69"/>
      <c r="Y1143" s="9" t="e">
        <f t="shared" si="17"/>
        <v>#DIV/0!</v>
      </c>
      <c r="Z1143" s="60"/>
      <c r="AC1143" s="82"/>
      <c r="AD1143" s="69"/>
      <c r="AE1143" s="79"/>
      <c r="AF1143" s="83"/>
      <c r="AG1143" s="84"/>
      <c r="AH1143" s="82"/>
      <c r="AO1143" s="64" t="s">
        <v>79</v>
      </c>
      <c r="AP1143" s="86">
        <v>14.8</v>
      </c>
      <c r="AQ1143" s="86">
        <v>14.8</v>
      </c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 s="86"/>
      <c r="BH1143" s="86"/>
      <c r="BI1143" s="86"/>
      <c r="BJ1143" s="86"/>
      <c r="BK1143" s="86"/>
      <c r="BL1143" s="86"/>
      <c r="BM1143" s="86"/>
      <c r="BN1143" s="86"/>
      <c r="BO1143" s="86"/>
    </row>
    <row r="1144" spans="1:67" s="81" customFormat="1" x14ac:dyDescent="0.2">
      <c r="A1144" s="69"/>
      <c r="B1144" s="74"/>
      <c r="C1144" s="75"/>
      <c r="D1144" s="69"/>
      <c r="E1144" s="69"/>
      <c r="F1144" s="76"/>
      <c r="G1144" s="69"/>
      <c r="H1144" s="77"/>
      <c r="I1144" s="78"/>
      <c r="J1144" s="69"/>
      <c r="K1144" s="69"/>
      <c r="L1144" s="69"/>
      <c r="M1144" s="79"/>
      <c r="N1144" s="69"/>
      <c r="O1144" s="80"/>
      <c r="Q1144" s="69"/>
      <c r="R1144" s="69"/>
      <c r="S1144" s="69"/>
      <c r="T1144" s="60"/>
      <c r="U1144" s="60"/>
      <c r="V1144" s="69"/>
      <c r="W1144" s="69"/>
      <c r="X1144" s="69"/>
      <c r="Y1144" s="9" t="e">
        <f t="shared" si="17"/>
        <v>#DIV/0!</v>
      </c>
      <c r="Z1144" s="60"/>
      <c r="AC1144" s="82"/>
      <c r="AD1144" s="69"/>
      <c r="AE1144" s="79"/>
      <c r="AF1144" s="83"/>
      <c r="AG1144" s="84"/>
      <c r="AH1144" s="82"/>
      <c r="AO1144" s="64" t="s">
        <v>80</v>
      </c>
      <c r="AP1144" s="86">
        <v>3.7</v>
      </c>
      <c r="AQ1144" s="86">
        <v>3.7</v>
      </c>
      <c r="AR1144" s="86"/>
      <c r="AS1144" s="86"/>
      <c r="AT1144" s="86"/>
      <c r="AU1144" s="86"/>
      <c r="AV1144" s="86"/>
      <c r="AW1144" s="86"/>
      <c r="AX1144" s="86"/>
      <c r="AY1144" s="86"/>
      <c r="AZ1144" s="86"/>
      <c r="BA1144" s="86"/>
      <c r="BB1144" s="86"/>
      <c r="BC1144" s="86"/>
      <c r="BD1144" s="86"/>
      <c r="BE1144" s="86"/>
      <c r="BF1144" s="86"/>
      <c r="BG1144" s="86"/>
      <c r="BH1144" s="86"/>
      <c r="BI1144" s="86"/>
      <c r="BJ1144" s="86"/>
      <c r="BK1144" s="86"/>
      <c r="BL1144" s="86"/>
      <c r="BM1144" s="86"/>
      <c r="BN1144" s="86"/>
      <c r="BO1144" s="86"/>
    </row>
    <row r="1145" spans="1:67" s="81" customFormat="1" ht="12.6" customHeight="1" x14ac:dyDescent="0.2">
      <c r="A1145" s="69" t="s">
        <v>67</v>
      </c>
      <c r="B1145" s="74">
        <v>43200</v>
      </c>
      <c r="C1145" s="75">
        <v>0.63402777777777797</v>
      </c>
      <c r="D1145" s="69" t="s">
        <v>108</v>
      </c>
      <c r="E1145" s="69">
        <v>3</v>
      </c>
      <c r="F1145" s="76">
        <v>60</v>
      </c>
      <c r="G1145" s="69">
        <v>2</v>
      </c>
      <c r="H1145" s="77">
        <v>3.3333333333333333E-2</v>
      </c>
      <c r="I1145" s="78">
        <v>6.83E-2</v>
      </c>
      <c r="J1145" s="69">
        <v>314.15899999999999</v>
      </c>
      <c r="K1145" s="69">
        <v>0.4098</v>
      </c>
      <c r="L1145" s="69">
        <v>6</v>
      </c>
      <c r="M1145" s="79">
        <v>383.30771107857493</v>
      </c>
      <c r="N1145" s="69">
        <v>631</v>
      </c>
      <c r="O1145" s="80" t="s">
        <v>146</v>
      </c>
      <c r="P1145" s="81" t="s">
        <v>70</v>
      </c>
      <c r="Q1145" s="69" t="s">
        <v>147</v>
      </c>
      <c r="R1145" s="69" t="s">
        <v>84</v>
      </c>
      <c r="S1145" s="69"/>
      <c r="T1145" s="60">
        <v>1</v>
      </c>
      <c r="U1145" s="60">
        <v>1</v>
      </c>
      <c r="V1145" s="69">
        <v>35.200000000000003</v>
      </c>
      <c r="W1145" s="69"/>
      <c r="X1145" s="69"/>
      <c r="Y1145" s="9">
        <f t="shared" si="17"/>
        <v>383.30771107857493</v>
      </c>
      <c r="Z1145" s="60" t="s">
        <v>73</v>
      </c>
      <c r="AA1145" s="58" t="s">
        <v>392</v>
      </c>
      <c r="AB1145" s="81" t="s">
        <v>75</v>
      </c>
      <c r="AC1145" s="82" t="s">
        <v>169</v>
      </c>
      <c r="AD1145" s="69" t="s">
        <v>77</v>
      </c>
      <c r="AE1145" s="79">
        <v>1145.64990848</v>
      </c>
      <c r="AF1145" s="83"/>
      <c r="AG1145" s="84"/>
      <c r="AH1145" s="82"/>
      <c r="AO1145" s="85" t="s">
        <v>78</v>
      </c>
      <c r="AP1145" s="86">
        <v>35.200000000000003</v>
      </c>
      <c r="AQ1145" s="86">
        <v>35.200000000000003</v>
      </c>
      <c r="AR1145" s="86"/>
      <c r="AS1145" s="86"/>
      <c r="AT1145" s="86"/>
      <c r="AU1145" s="86"/>
      <c r="AV1145" s="86"/>
      <c r="AW1145" s="86"/>
      <c r="AX1145" s="86"/>
      <c r="AY1145" s="86"/>
      <c r="AZ1145" s="86"/>
      <c r="BA1145" s="86"/>
      <c r="BB1145" s="86"/>
      <c r="BC1145" s="86"/>
      <c r="BD1145" s="86"/>
      <c r="BE1145" s="86"/>
      <c r="BF1145" s="86"/>
      <c r="BG1145" s="86"/>
      <c r="BH1145" s="86"/>
      <c r="BI1145" s="86"/>
      <c r="BJ1145" s="86"/>
      <c r="BK1145" s="86"/>
      <c r="BL1145" s="86"/>
      <c r="BM1145" s="86"/>
      <c r="BN1145" s="86"/>
      <c r="BO1145" s="86"/>
    </row>
    <row r="1146" spans="1:67" s="81" customFormat="1" ht="12.6" customHeight="1" x14ac:dyDescent="0.2">
      <c r="A1146" s="69"/>
      <c r="B1146" s="74"/>
      <c r="C1146" s="75"/>
      <c r="D1146" s="69"/>
      <c r="E1146" s="69"/>
      <c r="F1146" s="76"/>
      <c r="G1146" s="69"/>
      <c r="H1146" s="77"/>
      <c r="I1146" s="78"/>
      <c r="J1146" s="69"/>
      <c r="K1146" s="69"/>
      <c r="L1146" s="69"/>
      <c r="M1146" s="79"/>
      <c r="N1146" s="69"/>
      <c r="O1146" s="80"/>
      <c r="Q1146" s="69"/>
      <c r="R1146" s="69"/>
      <c r="S1146" s="69"/>
      <c r="T1146" s="60"/>
      <c r="U1146" s="60"/>
      <c r="V1146" s="69"/>
      <c r="W1146" s="69"/>
      <c r="X1146" s="69"/>
      <c r="Y1146" s="9" t="e">
        <f t="shared" si="17"/>
        <v>#DIV/0!</v>
      </c>
      <c r="Z1146" s="60"/>
      <c r="AC1146" s="82"/>
      <c r="AD1146" s="69"/>
      <c r="AE1146" s="79"/>
      <c r="AF1146" s="83"/>
      <c r="AG1146" s="84"/>
      <c r="AH1146" s="82"/>
      <c r="AO1146" s="64" t="s">
        <v>79</v>
      </c>
      <c r="AP1146" s="86">
        <v>7.4</v>
      </c>
      <c r="AQ1146" s="86">
        <v>7.4</v>
      </c>
      <c r="AR1146" s="86"/>
      <c r="AS1146" s="86"/>
      <c r="AT1146" s="86"/>
      <c r="AU1146" s="86"/>
      <c r="AV1146" s="86"/>
      <c r="AW1146" s="86"/>
      <c r="AX1146" s="86"/>
      <c r="AY1146" s="86"/>
      <c r="AZ1146" s="86"/>
      <c r="BA1146" s="86"/>
      <c r="BB1146" s="86"/>
      <c r="BC1146" s="86"/>
      <c r="BD1146" s="86"/>
      <c r="BE1146" s="86"/>
      <c r="BF1146" s="86"/>
      <c r="BG1146" s="86"/>
      <c r="BH1146" s="86"/>
      <c r="BI1146" s="86"/>
      <c r="BJ1146" s="86"/>
      <c r="BK1146" s="86"/>
      <c r="BL1146" s="86"/>
      <c r="BM1146" s="86"/>
      <c r="BN1146" s="86"/>
      <c r="BO1146" s="86"/>
    </row>
    <row r="1147" spans="1:67" s="81" customFormat="1" ht="12.6" customHeight="1" x14ac:dyDescent="0.2">
      <c r="A1147" s="69"/>
      <c r="B1147" s="74"/>
      <c r="C1147" s="75"/>
      <c r="D1147" s="69"/>
      <c r="E1147" s="69"/>
      <c r="F1147" s="76"/>
      <c r="G1147" s="69"/>
      <c r="H1147" s="77"/>
      <c r="I1147" s="78"/>
      <c r="J1147" s="69"/>
      <c r="K1147" s="69"/>
      <c r="L1147" s="69"/>
      <c r="M1147" s="79"/>
      <c r="N1147" s="69"/>
      <c r="O1147" s="80"/>
      <c r="Q1147" s="69"/>
      <c r="R1147" s="69"/>
      <c r="S1147" s="69"/>
      <c r="T1147" s="60"/>
      <c r="U1147" s="60"/>
      <c r="V1147" s="69"/>
      <c r="W1147" s="69"/>
      <c r="X1147" s="69"/>
      <c r="Y1147" s="9" t="e">
        <f t="shared" si="17"/>
        <v>#DIV/0!</v>
      </c>
      <c r="Z1147" s="60"/>
      <c r="AC1147" s="82"/>
      <c r="AD1147" s="69"/>
      <c r="AE1147" s="79"/>
      <c r="AF1147" s="83"/>
      <c r="AG1147" s="84"/>
      <c r="AH1147" s="82"/>
      <c r="AO1147" s="64" t="s">
        <v>80</v>
      </c>
      <c r="AP1147" s="86">
        <v>5.6</v>
      </c>
      <c r="AQ1147" s="86">
        <v>5.6</v>
      </c>
      <c r="AR1147" s="86"/>
      <c r="AS1147" s="86"/>
      <c r="AT1147" s="86"/>
      <c r="AU1147" s="86"/>
      <c r="AV1147" s="86"/>
      <c r="AW1147" s="86"/>
      <c r="AX1147" s="86"/>
      <c r="AY1147" s="86"/>
      <c r="AZ1147" s="86"/>
      <c r="BA1147" s="86"/>
      <c r="BB1147" s="86"/>
      <c r="BC1147" s="86"/>
      <c r="BD1147" s="86"/>
      <c r="BE1147" s="86"/>
      <c r="BF1147" s="86"/>
      <c r="BG1147" s="86"/>
      <c r="BH1147" s="86"/>
      <c r="BI1147" s="86"/>
      <c r="BJ1147" s="86"/>
      <c r="BK1147" s="86"/>
      <c r="BL1147" s="86"/>
      <c r="BM1147" s="86"/>
      <c r="BN1147" s="86"/>
      <c r="BO1147" s="86"/>
    </row>
    <row r="1148" spans="1:67" s="81" customFormat="1" x14ac:dyDescent="0.2">
      <c r="A1148" s="69" t="s">
        <v>67</v>
      </c>
      <c r="B1148" s="74">
        <v>43200</v>
      </c>
      <c r="C1148" s="75">
        <v>0.63402777777777797</v>
      </c>
      <c r="D1148" s="69" t="s">
        <v>108</v>
      </c>
      <c r="E1148" s="69">
        <v>3</v>
      </c>
      <c r="F1148" s="76">
        <v>60</v>
      </c>
      <c r="G1148" s="69">
        <v>2</v>
      </c>
      <c r="H1148" s="77">
        <v>3.3333333333333333E-2</v>
      </c>
      <c r="I1148" s="78">
        <v>6.83E-2</v>
      </c>
      <c r="J1148" s="69">
        <v>314.15899999999999</v>
      </c>
      <c r="K1148" s="69">
        <v>0.4098</v>
      </c>
      <c r="L1148" s="69">
        <v>6</v>
      </c>
      <c r="M1148" s="79">
        <v>383.30771107857493</v>
      </c>
      <c r="N1148" s="69">
        <v>1037</v>
      </c>
      <c r="O1148" s="80" t="s">
        <v>86</v>
      </c>
      <c r="P1148" s="80" t="s">
        <v>82</v>
      </c>
      <c r="Q1148" s="69" t="s">
        <v>87</v>
      </c>
      <c r="R1148" s="69" t="s">
        <v>84</v>
      </c>
      <c r="S1148" s="69"/>
      <c r="T1148" s="60">
        <v>4</v>
      </c>
      <c r="U1148" s="60">
        <v>4</v>
      </c>
      <c r="V1148" s="69">
        <v>2.8</v>
      </c>
      <c r="W1148" s="69"/>
      <c r="X1148" s="69"/>
      <c r="Y1148" s="9">
        <f t="shared" si="17"/>
        <v>1533.2308443142997</v>
      </c>
      <c r="Z1148" s="60" t="s">
        <v>73</v>
      </c>
      <c r="AA1148" s="58" t="s">
        <v>392</v>
      </c>
      <c r="AB1148" s="81" t="s">
        <v>75</v>
      </c>
      <c r="AC1148" s="82" t="s">
        <v>76</v>
      </c>
      <c r="AD1148" s="69" t="s">
        <v>85</v>
      </c>
      <c r="AE1148" s="79">
        <v>11.494030613333329</v>
      </c>
      <c r="AF1148" s="83"/>
      <c r="AG1148" s="84"/>
      <c r="AH1148" s="82"/>
      <c r="AO1148" s="85" t="s">
        <v>78</v>
      </c>
      <c r="AP1148" s="86">
        <v>2.8</v>
      </c>
      <c r="AQ1148" s="86">
        <v>2.8</v>
      </c>
      <c r="AR1148" s="86">
        <v>2.8</v>
      </c>
      <c r="AS1148" s="86">
        <v>2.8</v>
      </c>
      <c r="AT1148" s="86">
        <v>2.8</v>
      </c>
      <c r="AU1148" s="86"/>
      <c r="AV1148" s="86"/>
      <c r="AW1148" s="86"/>
      <c r="AX1148" s="86"/>
      <c r="AY1148" s="86"/>
      <c r="AZ1148" s="86"/>
      <c r="BA1148" s="86"/>
      <c r="BB1148" s="86"/>
      <c r="BC1148" s="86"/>
      <c r="BD1148" s="86"/>
      <c r="BE1148" s="86"/>
      <c r="BF1148" s="86"/>
      <c r="BG1148" s="86"/>
      <c r="BH1148" s="86"/>
      <c r="BI1148" s="86"/>
      <c r="BJ1148" s="86"/>
      <c r="BK1148" s="86"/>
      <c r="BL1148" s="86"/>
      <c r="BM1148" s="86"/>
      <c r="BN1148" s="86"/>
      <c r="BO1148" s="86"/>
    </row>
    <row r="1149" spans="1:67" s="58" customFormat="1" x14ac:dyDescent="0.2">
      <c r="A1149" s="53" t="s">
        <v>67</v>
      </c>
      <c r="B1149" s="50">
        <v>43200</v>
      </c>
      <c r="C1149" s="51">
        <v>0.63402777777777797</v>
      </c>
      <c r="D1149" s="53" t="s">
        <v>108</v>
      </c>
      <c r="E1149" s="53">
        <v>3</v>
      </c>
      <c r="F1149" s="52">
        <v>60</v>
      </c>
      <c r="G1149" s="53">
        <v>2</v>
      </c>
      <c r="H1149" s="54">
        <v>3.3333333333333333E-2</v>
      </c>
      <c r="I1149" s="55">
        <v>6.83E-2</v>
      </c>
      <c r="J1149" s="53">
        <v>314.15899999999999</v>
      </c>
      <c r="K1149" s="53">
        <v>0.4098</v>
      </c>
      <c r="L1149" s="53">
        <v>6</v>
      </c>
      <c r="M1149" s="56">
        <v>383.30771107857493</v>
      </c>
      <c r="N1149" s="53">
        <v>1364</v>
      </c>
      <c r="O1149" s="57" t="s">
        <v>88</v>
      </c>
      <c r="P1149" s="57" t="s">
        <v>82</v>
      </c>
      <c r="Q1149" s="53" t="s">
        <v>89</v>
      </c>
      <c r="R1149" s="53" t="s">
        <v>90</v>
      </c>
      <c r="S1149" s="53"/>
      <c r="T1149" s="60">
        <v>1</v>
      </c>
      <c r="U1149" s="60">
        <v>1</v>
      </c>
      <c r="V1149" s="53">
        <v>11.1</v>
      </c>
      <c r="W1149" s="53"/>
      <c r="X1149" s="53"/>
      <c r="Y1149" s="9">
        <f t="shared" si="17"/>
        <v>383.30771107857493</v>
      </c>
      <c r="Z1149" s="60" t="s">
        <v>73</v>
      </c>
      <c r="AA1149" s="58" t="s">
        <v>392</v>
      </c>
      <c r="AB1149" s="58" t="s">
        <v>75</v>
      </c>
      <c r="AC1149" s="61" t="s">
        <v>76</v>
      </c>
      <c r="AD1149" s="53" t="s">
        <v>91</v>
      </c>
      <c r="AE1149" s="56">
        <v>538.67979792749986</v>
      </c>
      <c r="AF1149" s="62"/>
      <c r="AG1149" s="63"/>
      <c r="AH1149" s="61"/>
      <c r="AO1149" s="66" t="s">
        <v>78</v>
      </c>
      <c r="AP1149" s="65">
        <v>11.1</v>
      </c>
      <c r="AQ1149" s="65">
        <v>11.1</v>
      </c>
      <c r="AR1149" s="65"/>
      <c r="AS1149" s="65"/>
      <c r="AT1149" s="65"/>
      <c r="AU1149" s="65"/>
      <c r="AV1149" s="65"/>
      <c r="AW1149" s="65"/>
      <c r="AX1149" s="65"/>
      <c r="AY1149" s="65"/>
      <c r="AZ1149" s="65"/>
      <c r="BA1149" s="65"/>
      <c r="BB1149" s="65"/>
      <c r="BC1149" s="65"/>
      <c r="BD1149" s="65"/>
      <c r="BE1149" s="65"/>
      <c r="BF1149" s="65"/>
      <c r="BG1149" s="65"/>
      <c r="BH1149" s="65"/>
      <c r="BI1149" s="65"/>
      <c r="BJ1149" s="65"/>
      <c r="BK1149" s="65"/>
      <c r="BL1149" s="65"/>
      <c r="BM1149" s="65"/>
      <c r="BN1149" s="65"/>
      <c r="BO1149" s="65"/>
    </row>
    <row r="1150" spans="1:67" s="81" customFormat="1" x14ac:dyDescent="0.2">
      <c r="A1150" s="69"/>
      <c r="B1150" s="74"/>
      <c r="C1150" s="75"/>
      <c r="D1150" s="69"/>
      <c r="E1150" s="69"/>
      <c r="F1150" s="76"/>
      <c r="G1150" s="69"/>
      <c r="H1150" s="77"/>
      <c r="I1150" s="78"/>
      <c r="J1150" s="69"/>
      <c r="K1150" s="69"/>
      <c r="L1150" s="69"/>
      <c r="M1150" s="79"/>
      <c r="N1150" s="69"/>
      <c r="O1150" s="80"/>
      <c r="P1150" s="80"/>
      <c r="Q1150" s="69"/>
      <c r="R1150" s="69"/>
      <c r="S1150" s="69"/>
      <c r="T1150" s="60"/>
      <c r="U1150" s="60"/>
      <c r="V1150" s="69"/>
      <c r="W1150" s="69"/>
      <c r="X1150" s="69"/>
      <c r="Y1150" s="9" t="e">
        <f t="shared" si="17"/>
        <v>#DIV/0!</v>
      </c>
      <c r="Z1150" s="60"/>
      <c r="AC1150" s="82"/>
      <c r="AD1150" s="69"/>
      <c r="AE1150" s="79"/>
      <c r="AF1150" s="83"/>
      <c r="AG1150" s="84"/>
      <c r="AH1150" s="82"/>
      <c r="AO1150" s="64" t="s">
        <v>79</v>
      </c>
      <c r="AP1150" s="86">
        <v>5.6</v>
      </c>
      <c r="AQ1150" s="86">
        <v>5.6</v>
      </c>
      <c r="AR1150" s="86"/>
      <c r="AS1150" s="86"/>
      <c r="AT1150" s="86"/>
      <c r="AU1150" s="86"/>
      <c r="AV1150" s="86"/>
      <c r="AW1150" s="86"/>
      <c r="AX1150" s="86"/>
      <c r="AY1150" s="86"/>
      <c r="AZ1150" s="86"/>
      <c r="BA1150" s="86"/>
      <c r="BB1150" s="86"/>
      <c r="BC1150" s="86"/>
      <c r="BD1150" s="86"/>
      <c r="BE1150" s="86"/>
      <c r="BF1150" s="86"/>
      <c r="BG1150" s="86"/>
      <c r="BH1150" s="86"/>
      <c r="BI1150" s="86"/>
      <c r="BJ1150" s="86"/>
      <c r="BK1150" s="86"/>
      <c r="BL1150" s="86"/>
      <c r="BM1150" s="86"/>
      <c r="BN1150" s="86"/>
      <c r="BO1150" s="86"/>
    </row>
    <row r="1151" spans="1:67" s="58" customFormat="1" x14ac:dyDescent="0.2">
      <c r="A1151" s="53" t="s">
        <v>67</v>
      </c>
      <c r="B1151" s="50">
        <v>43200</v>
      </c>
      <c r="C1151" s="51">
        <v>0.63402777777777797</v>
      </c>
      <c r="D1151" s="53" t="s">
        <v>108</v>
      </c>
      <c r="E1151" s="53">
        <v>3</v>
      </c>
      <c r="F1151" s="52">
        <v>60</v>
      </c>
      <c r="G1151" s="53">
        <v>2</v>
      </c>
      <c r="H1151" s="54">
        <v>3.3333333333333333E-2</v>
      </c>
      <c r="I1151" s="55">
        <v>6.83E-2</v>
      </c>
      <c r="J1151" s="53">
        <v>314.15899999999999</v>
      </c>
      <c r="K1151" s="53">
        <v>0.4098</v>
      </c>
      <c r="L1151" s="53">
        <v>6</v>
      </c>
      <c r="M1151" s="56">
        <v>383.30771107857493</v>
      </c>
      <c r="N1151" s="53">
        <v>1365</v>
      </c>
      <c r="O1151" s="57" t="s">
        <v>121</v>
      </c>
      <c r="P1151" s="57" t="s">
        <v>82</v>
      </c>
      <c r="Q1151" s="53" t="s">
        <v>122</v>
      </c>
      <c r="R1151" s="53" t="s">
        <v>123</v>
      </c>
      <c r="S1151" s="53"/>
      <c r="T1151" s="60">
        <v>1</v>
      </c>
      <c r="U1151" s="60">
        <v>1</v>
      </c>
      <c r="V1151" s="53">
        <v>11.1</v>
      </c>
      <c r="W1151" s="53"/>
      <c r="X1151" s="53"/>
      <c r="Y1151" s="9">
        <f t="shared" si="17"/>
        <v>383.30771107857493</v>
      </c>
      <c r="Z1151" s="60" t="s">
        <v>73</v>
      </c>
      <c r="AA1151" s="58" t="s">
        <v>392</v>
      </c>
      <c r="AB1151" s="58" t="s">
        <v>75</v>
      </c>
      <c r="AC1151" s="61" t="s">
        <v>76</v>
      </c>
      <c r="AD1151" s="53" t="s">
        <v>91</v>
      </c>
      <c r="AE1151" s="56">
        <v>596.74109351249979</v>
      </c>
      <c r="AF1151" s="62"/>
      <c r="AG1151" s="63"/>
      <c r="AH1151" s="61"/>
      <c r="AO1151" s="66" t="s">
        <v>78</v>
      </c>
      <c r="AP1151" s="65">
        <v>11.1</v>
      </c>
      <c r="AQ1151" s="65">
        <v>11.1</v>
      </c>
      <c r="AR1151" s="65"/>
      <c r="AS1151" s="65"/>
      <c r="AT1151" s="65"/>
      <c r="AU1151" s="65"/>
      <c r="AV1151" s="65"/>
      <c r="AW1151" s="65"/>
      <c r="AX1151" s="65"/>
      <c r="AY1151" s="65"/>
      <c r="AZ1151" s="65"/>
      <c r="BA1151" s="65"/>
      <c r="BB1151" s="65"/>
      <c r="BC1151" s="65"/>
      <c r="BD1151" s="65"/>
      <c r="BE1151" s="65"/>
      <c r="BF1151" s="65"/>
      <c r="BG1151" s="65"/>
      <c r="BH1151" s="65"/>
      <c r="BI1151" s="65"/>
      <c r="BJ1151" s="65"/>
      <c r="BK1151" s="65"/>
      <c r="BL1151" s="65"/>
      <c r="BM1151" s="65"/>
      <c r="BN1151" s="65"/>
      <c r="BO1151" s="65"/>
    </row>
    <row r="1152" spans="1:67" s="81" customFormat="1" x14ac:dyDescent="0.2">
      <c r="A1152" s="69"/>
      <c r="B1152" s="74"/>
      <c r="C1152" s="75"/>
      <c r="D1152" s="69"/>
      <c r="E1152" s="69"/>
      <c r="F1152" s="76"/>
      <c r="G1152" s="69"/>
      <c r="H1152" s="77"/>
      <c r="I1152" s="78"/>
      <c r="J1152" s="69"/>
      <c r="K1152" s="69"/>
      <c r="L1152" s="69"/>
      <c r="M1152" s="79"/>
      <c r="N1152" s="69"/>
      <c r="O1152" s="80"/>
      <c r="P1152" s="80"/>
      <c r="Q1152" s="69"/>
      <c r="R1152" s="69"/>
      <c r="S1152" s="69"/>
      <c r="T1152" s="60"/>
      <c r="U1152" s="60"/>
      <c r="V1152" s="69"/>
      <c r="W1152" s="69"/>
      <c r="X1152" s="69"/>
      <c r="Y1152" s="9" t="e">
        <f t="shared" si="17"/>
        <v>#DIV/0!</v>
      </c>
      <c r="Z1152" s="60"/>
      <c r="AC1152" s="82"/>
      <c r="AD1152" s="69"/>
      <c r="AE1152" s="79"/>
      <c r="AF1152" s="83"/>
      <c r="AG1152" s="84"/>
      <c r="AH1152" s="82"/>
      <c r="AO1152" s="64" t="s">
        <v>79</v>
      </c>
      <c r="AP1152" s="86">
        <v>7.4</v>
      </c>
      <c r="AQ1152" s="86">
        <v>7.4</v>
      </c>
      <c r="AR1152" s="86"/>
      <c r="AS1152" s="86"/>
      <c r="AT1152" s="86"/>
      <c r="AU1152" s="86"/>
      <c r="AV1152" s="86"/>
      <c r="AW1152" s="86"/>
      <c r="AX1152" s="86"/>
      <c r="AY1152" s="86"/>
      <c r="AZ1152" s="86"/>
      <c r="BA1152" s="86"/>
      <c r="BB1152" s="86"/>
      <c r="BC1152" s="86"/>
      <c r="BD1152" s="86"/>
      <c r="BE1152" s="86"/>
      <c r="BF1152" s="86"/>
      <c r="BG1152" s="86"/>
      <c r="BH1152" s="86"/>
      <c r="BI1152" s="86"/>
      <c r="BJ1152" s="86"/>
      <c r="BK1152" s="86"/>
      <c r="BL1152" s="86"/>
      <c r="BM1152" s="86"/>
      <c r="BN1152" s="86"/>
      <c r="BO1152" s="86"/>
    </row>
    <row r="1153" spans="1:67" s="81" customFormat="1" x14ac:dyDescent="0.2">
      <c r="A1153" s="69" t="s">
        <v>67</v>
      </c>
      <c r="B1153" s="74">
        <v>43200</v>
      </c>
      <c r="C1153" s="75">
        <v>0.63402777777777797</v>
      </c>
      <c r="D1153" s="69" t="s">
        <v>108</v>
      </c>
      <c r="E1153" s="69">
        <v>3</v>
      </c>
      <c r="F1153" s="76">
        <v>60</v>
      </c>
      <c r="G1153" s="69">
        <v>2</v>
      </c>
      <c r="H1153" s="77">
        <v>3.3333333333333333E-2</v>
      </c>
      <c r="I1153" s="78">
        <v>6.83E-2</v>
      </c>
      <c r="J1153" s="69">
        <v>314.15899999999999</v>
      </c>
      <c r="K1153" s="69">
        <v>0.4098</v>
      </c>
      <c r="L1153" s="69">
        <v>6</v>
      </c>
      <c r="M1153" s="79">
        <v>383.30771107857493</v>
      </c>
      <c r="N1153" s="69">
        <v>1419</v>
      </c>
      <c r="O1153" s="80" t="s">
        <v>94</v>
      </c>
      <c r="P1153" s="80" t="s">
        <v>82</v>
      </c>
      <c r="Q1153" s="69" t="s">
        <v>95</v>
      </c>
      <c r="R1153" s="69" t="s">
        <v>96</v>
      </c>
      <c r="S1153" s="69"/>
      <c r="T1153" s="60">
        <v>401</v>
      </c>
      <c r="U1153" s="60">
        <v>806</v>
      </c>
      <c r="V1153" s="69">
        <v>0.8</v>
      </c>
      <c r="W1153" s="69">
        <v>0.8</v>
      </c>
      <c r="X1153" s="69">
        <v>0.8</v>
      </c>
      <c r="Y1153" s="9">
        <f t="shared" si="17"/>
        <v>153706.39214250853</v>
      </c>
      <c r="Z1153" s="60" t="s">
        <v>97</v>
      </c>
      <c r="AA1153" s="58" t="s">
        <v>392</v>
      </c>
      <c r="AB1153" s="81" t="s">
        <v>75</v>
      </c>
      <c r="AC1153" s="82" t="s">
        <v>76</v>
      </c>
      <c r="AD1153" s="69" t="s">
        <v>85</v>
      </c>
      <c r="AE1153" s="79">
        <v>0.18</v>
      </c>
      <c r="AF1153" s="79">
        <v>0.18</v>
      </c>
      <c r="AG1153" s="79">
        <v>0.18</v>
      </c>
      <c r="AH1153" s="79">
        <v>0.18</v>
      </c>
      <c r="AI1153" s="79">
        <v>0.18</v>
      </c>
      <c r="AJ1153" s="79">
        <v>0.18</v>
      </c>
      <c r="AK1153" s="79">
        <v>0.18</v>
      </c>
      <c r="AL1153" s="79">
        <v>0.18</v>
      </c>
      <c r="AM1153" s="79">
        <v>0.18</v>
      </c>
      <c r="AN1153" s="79">
        <v>0.18</v>
      </c>
      <c r="AO1153" s="85" t="s">
        <v>78</v>
      </c>
      <c r="AP1153" s="86">
        <v>0.75200000000000033</v>
      </c>
      <c r="AQ1153" s="86">
        <v>0.7</v>
      </c>
      <c r="AR1153" s="86">
        <v>0.7</v>
      </c>
      <c r="AS1153" s="86">
        <v>0.7</v>
      </c>
      <c r="AT1153" s="86">
        <v>0.7</v>
      </c>
      <c r="AU1153" s="86">
        <v>0.7</v>
      </c>
      <c r="AV1153" s="86">
        <v>0.7</v>
      </c>
      <c r="AW1153" s="86">
        <v>0.7</v>
      </c>
      <c r="AX1153" s="86">
        <v>0.7</v>
      </c>
      <c r="AY1153" s="86">
        <v>0.7</v>
      </c>
      <c r="AZ1153" s="86">
        <v>0.7</v>
      </c>
      <c r="BA1153" s="86">
        <v>0.7</v>
      </c>
      <c r="BB1153" s="86">
        <v>0.7</v>
      </c>
      <c r="BC1153" s="86">
        <v>0.8</v>
      </c>
      <c r="BD1153" s="86">
        <v>0.8</v>
      </c>
      <c r="BE1153" s="86">
        <v>0.8</v>
      </c>
      <c r="BF1153" s="86">
        <v>0.8</v>
      </c>
      <c r="BG1153" s="86">
        <v>0.8</v>
      </c>
      <c r="BH1153" s="86">
        <v>0.8</v>
      </c>
      <c r="BI1153" s="86">
        <v>0.8</v>
      </c>
      <c r="BJ1153" s="86">
        <v>0.8</v>
      </c>
      <c r="BK1153" s="86">
        <v>0.8</v>
      </c>
      <c r="BL1153" s="86">
        <v>0.8</v>
      </c>
      <c r="BM1153" s="86">
        <v>0.8</v>
      </c>
      <c r="BN1153" s="86">
        <v>0.8</v>
      </c>
      <c r="BO1153" s="86">
        <v>0.8</v>
      </c>
    </row>
    <row r="1154" spans="1:67" s="81" customFormat="1" ht="12.6" customHeight="1" x14ac:dyDescent="0.2">
      <c r="A1154" s="69" t="s">
        <v>67</v>
      </c>
      <c r="B1154" s="74">
        <v>43171</v>
      </c>
      <c r="C1154" s="75">
        <v>0.59375</v>
      </c>
      <c r="D1154" s="69" t="s">
        <v>108</v>
      </c>
      <c r="E1154" s="69"/>
      <c r="F1154" s="76">
        <v>59.5</v>
      </c>
      <c r="G1154" s="69">
        <v>2</v>
      </c>
      <c r="H1154" s="77">
        <v>3.3613445378151259E-2</v>
      </c>
      <c r="I1154" s="78">
        <v>6.9746499000000003E-2</v>
      </c>
      <c r="J1154" s="69">
        <v>314.15899999999999</v>
      </c>
      <c r="K1154" s="69">
        <v>0.34873249500000003</v>
      </c>
      <c r="L1154" s="69">
        <v>5</v>
      </c>
      <c r="M1154" s="79">
        <v>450.42977712759455</v>
      </c>
      <c r="N1154" s="69">
        <v>631</v>
      </c>
      <c r="O1154" s="80" t="s">
        <v>393</v>
      </c>
      <c r="P1154" s="81" t="s">
        <v>70</v>
      </c>
      <c r="Q1154" s="69" t="s">
        <v>147</v>
      </c>
      <c r="R1154" s="69" t="s">
        <v>84</v>
      </c>
      <c r="S1154" s="69"/>
      <c r="T1154" s="60">
        <v>1</v>
      </c>
      <c r="U1154" s="60">
        <v>1</v>
      </c>
      <c r="V1154" s="69">
        <v>11.1</v>
      </c>
      <c r="W1154" s="69"/>
      <c r="X1154" s="69"/>
      <c r="Y1154" s="9">
        <f t="shared" si="17"/>
        <v>450.42977712759455</v>
      </c>
      <c r="Z1154" s="60" t="s">
        <v>73</v>
      </c>
      <c r="AA1154" s="58" t="s">
        <v>394</v>
      </c>
      <c r="AB1154" s="81" t="s">
        <v>386</v>
      </c>
      <c r="AC1154" s="82" t="s">
        <v>395</v>
      </c>
      <c r="AD1154" s="69" t="s">
        <v>77</v>
      </c>
      <c r="AE1154" s="79">
        <v>187.43511337499999</v>
      </c>
      <c r="AF1154" s="83"/>
      <c r="AG1154" s="84"/>
      <c r="AH1154" s="82"/>
      <c r="AO1154" s="85" t="s">
        <v>78</v>
      </c>
      <c r="AP1154" s="86">
        <v>11.1</v>
      </c>
      <c r="AQ1154" s="86">
        <v>11.1</v>
      </c>
      <c r="AR1154" s="86"/>
      <c r="AS1154" s="86"/>
      <c r="AT1154" s="86"/>
      <c r="AU1154" s="86"/>
      <c r="AV1154" s="86"/>
      <c r="AW1154" s="86"/>
      <c r="AX1154" s="86"/>
      <c r="AY1154" s="86"/>
      <c r="AZ1154" s="86"/>
      <c r="BA1154" s="86"/>
      <c r="BB1154" s="86"/>
      <c r="BC1154" s="86"/>
      <c r="BD1154" s="86"/>
      <c r="BE1154" s="86"/>
      <c r="BF1154" s="86"/>
      <c r="BG1154" s="86"/>
      <c r="BH1154" s="86"/>
      <c r="BI1154" s="86"/>
      <c r="BJ1154" s="86"/>
      <c r="BK1154" s="86"/>
      <c r="BL1154" s="86"/>
      <c r="BM1154" s="86"/>
      <c r="BN1154" s="86"/>
      <c r="BO1154" s="86"/>
    </row>
    <row r="1155" spans="1:67" s="81" customFormat="1" ht="12.6" customHeight="1" x14ac:dyDescent="0.2">
      <c r="A1155" s="69"/>
      <c r="B1155" s="74"/>
      <c r="C1155" s="75"/>
      <c r="D1155" s="69"/>
      <c r="E1155" s="69"/>
      <c r="F1155" s="76"/>
      <c r="G1155" s="69"/>
      <c r="H1155" s="77"/>
      <c r="I1155" s="78"/>
      <c r="J1155" s="69"/>
      <c r="K1155" s="69"/>
      <c r="L1155" s="69"/>
      <c r="M1155" s="79"/>
      <c r="N1155" s="69"/>
      <c r="O1155" s="80"/>
      <c r="Q1155" s="69"/>
      <c r="R1155" s="69"/>
      <c r="S1155" s="69"/>
      <c r="T1155" s="60"/>
      <c r="U1155" s="60"/>
      <c r="V1155" s="69"/>
      <c r="W1155" s="69"/>
      <c r="X1155" s="69"/>
      <c r="Y1155" s="9" t="e">
        <f t="shared" ref="Y1155:Y1218" si="18">(T1155*J1155)/(G1155*I1155*L1155)</f>
        <v>#DIV/0!</v>
      </c>
      <c r="Z1155" s="60"/>
      <c r="AC1155" s="82"/>
      <c r="AD1155" s="69"/>
      <c r="AE1155" s="79"/>
      <c r="AF1155" s="83"/>
      <c r="AG1155" s="84"/>
      <c r="AH1155" s="82"/>
      <c r="AO1155" s="64" t="s">
        <v>79</v>
      </c>
      <c r="AP1155" s="86">
        <v>5</v>
      </c>
      <c r="AQ1155" s="86">
        <v>5</v>
      </c>
      <c r="AR1155" s="86"/>
      <c r="AS1155" s="86"/>
      <c r="AT1155" s="86"/>
      <c r="AU1155" s="86"/>
      <c r="AV1155" s="86"/>
      <c r="AW1155" s="86"/>
      <c r="AX1155" s="86"/>
      <c r="AY1155" s="86"/>
      <c r="AZ1155" s="86"/>
      <c r="BA1155" s="86"/>
      <c r="BB1155" s="86"/>
      <c r="BC1155" s="86"/>
      <c r="BD1155" s="86"/>
      <c r="BE1155" s="86"/>
      <c r="BF1155" s="86"/>
      <c r="BG1155" s="86"/>
      <c r="BH1155" s="86"/>
      <c r="BI1155" s="86"/>
      <c r="BJ1155" s="86"/>
      <c r="BK1155" s="86"/>
      <c r="BL1155" s="86"/>
      <c r="BM1155" s="86"/>
      <c r="BN1155" s="86"/>
      <c r="BO1155" s="86"/>
    </row>
    <row r="1156" spans="1:67" s="81" customFormat="1" ht="12.6" customHeight="1" x14ac:dyDescent="0.2">
      <c r="A1156" s="69"/>
      <c r="B1156" s="74"/>
      <c r="C1156" s="75"/>
      <c r="D1156" s="69"/>
      <c r="E1156" s="69"/>
      <c r="F1156" s="76"/>
      <c r="G1156" s="69"/>
      <c r="H1156" s="77"/>
      <c r="I1156" s="78"/>
      <c r="J1156" s="69"/>
      <c r="K1156" s="69"/>
      <c r="L1156" s="69"/>
      <c r="M1156" s="79"/>
      <c r="N1156" s="69"/>
      <c r="O1156" s="80"/>
      <c r="Q1156" s="69"/>
      <c r="R1156" s="69"/>
      <c r="S1156" s="69"/>
      <c r="T1156" s="60"/>
      <c r="U1156" s="60"/>
      <c r="V1156" s="69"/>
      <c r="W1156" s="69"/>
      <c r="X1156" s="69"/>
      <c r="Y1156" s="9" t="e">
        <f t="shared" si="18"/>
        <v>#DIV/0!</v>
      </c>
      <c r="Z1156" s="60"/>
      <c r="AC1156" s="82"/>
      <c r="AD1156" s="69"/>
      <c r="AE1156" s="79"/>
      <c r="AF1156" s="83"/>
      <c r="AG1156" s="84"/>
      <c r="AH1156" s="82"/>
      <c r="AO1156" s="64" t="s">
        <v>80</v>
      </c>
      <c r="AP1156" s="86">
        <v>4.3</v>
      </c>
      <c r="AQ1156" s="86">
        <v>4.3</v>
      </c>
      <c r="AR1156" s="86"/>
      <c r="AS1156" s="86"/>
      <c r="AT1156" s="86"/>
      <c r="AU1156" s="86"/>
      <c r="AV1156" s="86"/>
      <c r="AW1156" s="86"/>
      <c r="AX1156" s="86"/>
      <c r="AY1156" s="86"/>
      <c r="AZ1156" s="86"/>
      <c r="BA1156" s="86"/>
      <c r="BB1156" s="86"/>
      <c r="BC1156" s="86"/>
      <c r="BD1156" s="86"/>
      <c r="BE1156" s="86"/>
      <c r="BF1156" s="86"/>
      <c r="BG1156" s="86"/>
      <c r="BH1156" s="86"/>
      <c r="BI1156" s="86"/>
      <c r="BJ1156" s="86"/>
      <c r="BK1156" s="86"/>
      <c r="BL1156" s="86"/>
      <c r="BM1156" s="86"/>
      <c r="BN1156" s="86"/>
      <c r="BO1156" s="86"/>
    </row>
    <row r="1157" spans="1:67" s="81" customFormat="1" x14ac:dyDescent="0.2">
      <c r="A1157" s="69" t="s">
        <v>67</v>
      </c>
      <c r="B1157" s="74">
        <v>43171</v>
      </c>
      <c r="C1157" s="75">
        <v>0.59375</v>
      </c>
      <c r="D1157" s="69" t="s">
        <v>108</v>
      </c>
      <c r="E1157" s="69"/>
      <c r="F1157" s="76">
        <v>59.5</v>
      </c>
      <c r="G1157" s="69">
        <v>2</v>
      </c>
      <c r="H1157" s="77">
        <v>3.3613445378151259E-2</v>
      </c>
      <c r="I1157" s="78">
        <v>6.9746499000000003E-2</v>
      </c>
      <c r="J1157" s="69">
        <v>314.15899999999999</v>
      </c>
      <c r="K1157" s="69">
        <v>0.34873249500000003</v>
      </c>
      <c r="L1157" s="69">
        <v>5</v>
      </c>
      <c r="M1157" s="79">
        <v>450.42977712759455</v>
      </c>
      <c r="N1157" s="69">
        <v>1037</v>
      </c>
      <c r="O1157" s="80" t="s">
        <v>86</v>
      </c>
      <c r="P1157" s="80" t="s">
        <v>82</v>
      </c>
      <c r="Q1157" s="69" t="s">
        <v>87</v>
      </c>
      <c r="R1157" s="69" t="s">
        <v>84</v>
      </c>
      <c r="S1157" s="69"/>
      <c r="T1157" s="60">
        <v>28</v>
      </c>
      <c r="U1157" s="60">
        <v>28</v>
      </c>
      <c r="V1157" s="69">
        <v>3.7</v>
      </c>
      <c r="W1157" s="69"/>
      <c r="X1157" s="69"/>
      <c r="Y1157" s="9">
        <f t="shared" si="18"/>
        <v>12612.033759572647</v>
      </c>
      <c r="Z1157" s="60" t="s">
        <v>73</v>
      </c>
      <c r="AA1157" s="58" t="s">
        <v>394</v>
      </c>
      <c r="AB1157" s="81" t="s">
        <v>386</v>
      </c>
      <c r="AC1157" s="82" t="s">
        <v>390</v>
      </c>
      <c r="AD1157" s="69" t="s">
        <v>85</v>
      </c>
      <c r="AE1157" s="79">
        <v>17.157270186666665</v>
      </c>
      <c r="AF1157" s="83"/>
      <c r="AG1157" s="84"/>
      <c r="AH1157" s="82"/>
      <c r="AO1157" s="85" t="s">
        <v>78</v>
      </c>
      <c r="AP1157" s="86">
        <v>3.22</v>
      </c>
      <c r="AQ1157" s="86">
        <v>3.7</v>
      </c>
      <c r="AR1157" s="86">
        <v>3.1</v>
      </c>
      <c r="AS1157" s="86">
        <v>1.9</v>
      </c>
      <c r="AT1157" s="86">
        <v>3.7</v>
      </c>
      <c r="AU1157" s="86">
        <v>3.7</v>
      </c>
      <c r="AV1157" s="86"/>
      <c r="AW1157" s="86"/>
      <c r="AX1157" s="86"/>
      <c r="AY1157" s="86"/>
      <c r="AZ1157" s="86"/>
      <c r="BA1157" s="86"/>
      <c r="BB1157" s="86"/>
      <c r="BC1157" s="86"/>
      <c r="BD1157" s="86"/>
      <c r="BE1157" s="86"/>
      <c r="BF1157" s="86"/>
      <c r="BG1157" s="86"/>
      <c r="BH1157" s="86"/>
      <c r="BI1157" s="86"/>
      <c r="BJ1157" s="86"/>
      <c r="BK1157" s="86"/>
      <c r="BL1157" s="86"/>
      <c r="BM1157" s="86"/>
      <c r="BN1157" s="86"/>
      <c r="BO1157" s="86"/>
    </row>
    <row r="1158" spans="1:67" s="81" customFormat="1" x14ac:dyDescent="0.2">
      <c r="A1158" s="69" t="s">
        <v>67</v>
      </c>
      <c r="B1158" s="74">
        <v>43171</v>
      </c>
      <c r="C1158" s="75">
        <v>0.59375</v>
      </c>
      <c r="D1158" s="69" t="s">
        <v>108</v>
      </c>
      <c r="E1158" s="69"/>
      <c r="F1158" s="76">
        <v>59.5</v>
      </c>
      <c r="G1158" s="69">
        <v>2</v>
      </c>
      <c r="H1158" s="77">
        <v>3.3613445378151259E-2</v>
      </c>
      <c r="I1158" s="78">
        <v>6.9746499000000003E-2</v>
      </c>
      <c r="J1158" s="69">
        <v>314.15899999999999</v>
      </c>
      <c r="K1158" s="69">
        <v>0.34873249500000003</v>
      </c>
      <c r="L1158" s="69">
        <v>5</v>
      </c>
      <c r="M1158" s="79">
        <v>450.42977712759455</v>
      </c>
      <c r="N1158" s="69">
        <v>1419</v>
      </c>
      <c r="O1158" s="80" t="s">
        <v>94</v>
      </c>
      <c r="P1158" s="80" t="s">
        <v>82</v>
      </c>
      <c r="Q1158" s="69" t="s">
        <v>95</v>
      </c>
      <c r="R1158" s="69" t="s">
        <v>96</v>
      </c>
      <c r="S1158" s="69"/>
      <c r="T1158" s="60">
        <v>392</v>
      </c>
      <c r="U1158" s="60">
        <v>791</v>
      </c>
      <c r="V1158" s="69">
        <v>0.9</v>
      </c>
      <c r="W1158" s="69">
        <v>0.9</v>
      </c>
      <c r="X1158" s="69">
        <v>0.9</v>
      </c>
      <c r="Y1158" s="9">
        <f t="shared" si="18"/>
        <v>176568.47263401706</v>
      </c>
      <c r="Z1158" s="60" t="s">
        <v>97</v>
      </c>
      <c r="AA1158" s="58" t="s">
        <v>394</v>
      </c>
      <c r="AB1158" s="81" t="s">
        <v>386</v>
      </c>
      <c r="AC1158" s="82" t="s">
        <v>390</v>
      </c>
      <c r="AD1158" s="69" t="s">
        <v>85</v>
      </c>
      <c r="AE1158" s="79">
        <v>0.11309723999999999</v>
      </c>
      <c r="AF1158" s="79">
        <v>0.17959422833333327</v>
      </c>
      <c r="AG1158" s="79">
        <v>0.11309723999999999</v>
      </c>
      <c r="AH1158" s="79">
        <v>0.26808234666666664</v>
      </c>
      <c r="AI1158" s="79">
        <v>0.381703185</v>
      </c>
      <c r="AJ1158" s="79">
        <v>0.17959422833333327</v>
      </c>
      <c r="AK1158" s="79">
        <v>0.26808234666666664</v>
      </c>
      <c r="AL1158" s="79">
        <v>0.11309723999999999</v>
      </c>
      <c r="AM1158" s="79">
        <v>0.11309723999999999</v>
      </c>
      <c r="AN1158" s="79">
        <v>0.17959422833333327</v>
      </c>
      <c r="AO1158" s="85" t="s">
        <v>78</v>
      </c>
      <c r="AP1158" s="86">
        <v>0.72399999999999987</v>
      </c>
      <c r="AQ1158" s="86">
        <v>0.6</v>
      </c>
      <c r="AR1158" s="86">
        <v>0.7</v>
      </c>
      <c r="AS1158" s="86">
        <v>0.6</v>
      </c>
      <c r="AT1158" s="86">
        <v>0.8</v>
      </c>
      <c r="AU1158" s="86">
        <v>0.9</v>
      </c>
      <c r="AV1158" s="86">
        <v>0.7</v>
      </c>
      <c r="AW1158" s="86">
        <v>0.8</v>
      </c>
      <c r="AX1158" s="86">
        <v>0.6</v>
      </c>
      <c r="AY1158" s="86">
        <v>0.6</v>
      </c>
      <c r="AZ1158" s="86">
        <v>0.7</v>
      </c>
      <c r="BA1158" s="86">
        <v>0.9</v>
      </c>
      <c r="BB1158" s="86">
        <v>0.7</v>
      </c>
      <c r="BC1158" s="86">
        <v>0.6</v>
      </c>
      <c r="BD1158" s="86">
        <v>0.7</v>
      </c>
      <c r="BE1158" s="86">
        <v>0.8</v>
      </c>
      <c r="BF1158" s="86">
        <v>0.9</v>
      </c>
      <c r="BG1158" s="86">
        <v>0.6</v>
      </c>
      <c r="BH1158" s="86">
        <v>0.7</v>
      </c>
      <c r="BI1158" s="86">
        <v>0.7</v>
      </c>
      <c r="BJ1158" s="86">
        <v>0.8</v>
      </c>
      <c r="BK1158" s="86">
        <v>0.8</v>
      </c>
      <c r="BL1158" s="86">
        <v>0.7</v>
      </c>
      <c r="BM1158" s="86">
        <v>0.6</v>
      </c>
      <c r="BN1158" s="86">
        <v>0.9</v>
      </c>
      <c r="BO1158" s="86">
        <v>0.7</v>
      </c>
    </row>
    <row r="1159" spans="1:67" s="58" customFormat="1" x14ac:dyDescent="0.2">
      <c r="A1159" s="49" t="s">
        <v>67</v>
      </c>
      <c r="B1159" s="50">
        <v>43171</v>
      </c>
      <c r="C1159" s="51">
        <v>0.66319444444444398</v>
      </c>
      <c r="D1159" s="49" t="s">
        <v>173</v>
      </c>
      <c r="E1159" s="49"/>
      <c r="F1159" s="52">
        <v>61.5</v>
      </c>
      <c r="G1159" s="53">
        <v>4</v>
      </c>
      <c r="H1159" s="54">
        <v>6.5040650406504072E-2</v>
      </c>
      <c r="I1159" s="55">
        <v>6.9746499000000003E-2</v>
      </c>
      <c r="J1159" s="53">
        <v>314.15899999999999</v>
      </c>
      <c r="K1159" s="53">
        <v>0.34873249500000003</v>
      </c>
      <c r="L1159" s="53">
        <v>5</v>
      </c>
      <c r="M1159" s="56">
        <v>225.21488856379727</v>
      </c>
      <c r="N1159" s="53">
        <v>190</v>
      </c>
      <c r="O1159" s="57" t="s">
        <v>296</v>
      </c>
      <c r="P1159" s="58" t="s">
        <v>70</v>
      </c>
      <c r="Q1159" s="53" t="s">
        <v>103</v>
      </c>
      <c r="R1159" s="53" t="s">
        <v>84</v>
      </c>
      <c r="S1159" s="53"/>
      <c r="T1159" s="59">
        <v>1</v>
      </c>
      <c r="U1159" s="59">
        <v>1</v>
      </c>
      <c r="V1159" s="53">
        <v>9.8000000000000007</v>
      </c>
      <c r="W1159" s="53"/>
      <c r="X1159" s="53"/>
      <c r="Y1159" s="9">
        <f t="shared" si="18"/>
        <v>225.21488856379727</v>
      </c>
      <c r="Z1159" s="60" t="s">
        <v>73</v>
      </c>
      <c r="AA1159" s="58" t="s">
        <v>396</v>
      </c>
      <c r="AB1159" s="58" t="s">
        <v>386</v>
      </c>
      <c r="AC1159" s="61"/>
      <c r="AD1159" s="53" t="s">
        <v>104</v>
      </c>
      <c r="AE1159" s="56">
        <v>460.12041298999998</v>
      </c>
      <c r="AF1159" s="62"/>
      <c r="AG1159" s="63"/>
      <c r="AH1159" s="61"/>
      <c r="AO1159" s="64" t="s">
        <v>78</v>
      </c>
      <c r="AP1159" s="65">
        <v>6.1</v>
      </c>
      <c r="AQ1159" s="65">
        <v>6.1</v>
      </c>
      <c r="AR1159" s="65"/>
      <c r="AS1159" s="65"/>
      <c r="AT1159" s="65"/>
      <c r="AU1159" s="65"/>
      <c r="AV1159" s="65"/>
      <c r="AW1159" s="65"/>
      <c r="AX1159" s="65"/>
      <c r="AY1159" s="65"/>
      <c r="AZ1159" s="65"/>
      <c r="BA1159" s="65"/>
      <c r="BB1159" s="65"/>
      <c r="BC1159" s="65"/>
      <c r="BD1159" s="65"/>
      <c r="BE1159" s="65"/>
      <c r="BF1159" s="65"/>
      <c r="BG1159" s="65"/>
      <c r="BH1159" s="65"/>
      <c r="BI1159" s="65"/>
      <c r="BJ1159" s="65"/>
      <c r="BK1159" s="65"/>
      <c r="BL1159" s="65"/>
      <c r="BM1159" s="65"/>
      <c r="BN1159" s="65"/>
      <c r="BO1159" s="65"/>
    </row>
    <row r="1160" spans="1:67" s="58" customFormat="1" x14ac:dyDescent="0.2">
      <c r="A1160" s="49"/>
      <c r="B1160" s="50"/>
      <c r="C1160" s="51"/>
      <c r="D1160" s="49"/>
      <c r="E1160" s="49"/>
      <c r="F1160" s="52"/>
      <c r="G1160" s="53"/>
      <c r="H1160" s="54"/>
      <c r="I1160" s="55"/>
      <c r="J1160" s="53"/>
      <c r="K1160" s="53"/>
      <c r="L1160" s="53"/>
      <c r="M1160" s="56"/>
      <c r="N1160" s="53"/>
      <c r="O1160" s="57"/>
      <c r="Q1160" s="53"/>
      <c r="R1160" s="53"/>
      <c r="S1160" s="53"/>
      <c r="T1160" s="59"/>
      <c r="U1160" s="59"/>
      <c r="V1160" s="53"/>
      <c r="W1160" s="53"/>
      <c r="X1160" s="53"/>
      <c r="Y1160" s="9" t="e">
        <f t="shared" si="18"/>
        <v>#DIV/0!</v>
      </c>
      <c r="Z1160" s="60"/>
      <c r="AC1160" s="61"/>
      <c r="AD1160" s="53"/>
      <c r="AE1160" s="56"/>
      <c r="AF1160" s="62"/>
      <c r="AG1160" s="63"/>
      <c r="AH1160" s="61"/>
      <c r="AO1160" s="64" t="s">
        <v>79</v>
      </c>
      <c r="AP1160" s="65">
        <v>9.8000000000000007</v>
      </c>
      <c r="AQ1160" s="65">
        <v>9.8000000000000007</v>
      </c>
      <c r="AR1160" s="65"/>
      <c r="AS1160" s="65"/>
      <c r="AT1160" s="65"/>
      <c r="AU1160" s="65"/>
      <c r="AV1160" s="65"/>
      <c r="AW1160" s="65"/>
      <c r="AX1160" s="65"/>
      <c r="AY1160" s="65"/>
      <c r="AZ1160" s="65"/>
      <c r="BA1160" s="65"/>
      <c r="BB1160" s="65"/>
      <c r="BC1160" s="65"/>
      <c r="BD1160" s="65"/>
      <c r="BE1160" s="65"/>
      <c r="BF1160" s="65"/>
      <c r="BG1160" s="65"/>
      <c r="BH1160" s="65"/>
      <c r="BI1160" s="65"/>
      <c r="BJ1160" s="65"/>
      <c r="BK1160" s="65"/>
      <c r="BL1160" s="65"/>
      <c r="BM1160" s="65"/>
      <c r="BN1160" s="65"/>
      <c r="BO1160" s="65"/>
    </row>
    <row r="1161" spans="1:67" s="58" customFormat="1" x14ac:dyDescent="0.2">
      <c r="A1161" s="49" t="s">
        <v>67</v>
      </c>
      <c r="B1161" s="50">
        <v>43171</v>
      </c>
      <c r="C1161" s="51">
        <v>0.66319444444444398</v>
      </c>
      <c r="D1161" s="49" t="s">
        <v>173</v>
      </c>
      <c r="E1161" s="49"/>
      <c r="F1161" s="52">
        <v>61.5</v>
      </c>
      <c r="G1161" s="53">
        <v>4</v>
      </c>
      <c r="H1161" s="54">
        <v>6.5040650406504072E-2</v>
      </c>
      <c r="I1161" s="55">
        <v>6.9746499000000003E-2</v>
      </c>
      <c r="J1161" s="53">
        <v>314.15899999999999</v>
      </c>
      <c r="K1161" s="53">
        <v>0.34873249500000003</v>
      </c>
      <c r="L1161" s="53">
        <v>5</v>
      </c>
      <c r="M1161" s="56">
        <v>225.21488856379727</v>
      </c>
      <c r="N1161" s="53">
        <v>1037</v>
      </c>
      <c r="O1161" s="57" t="s">
        <v>86</v>
      </c>
      <c r="P1161" s="57" t="s">
        <v>82</v>
      </c>
      <c r="Q1161" s="53" t="s">
        <v>87</v>
      </c>
      <c r="R1161" s="53" t="s">
        <v>84</v>
      </c>
      <c r="S1161" s="53"/>
      <c r="T1161" s="59">
        <v>23</v>
      </c>
      <c r="U1161" s="59">
        <v>23</v>
      </c>
      <c r="V1161" s="53">
        <v>4.3</v>
      </c>
      <c r="W1161" s="53"/>
      <c r="X1161" s="53"/>
      <c r="Y1161" s="9">
        <f t="shared" si="18"/>
        <v>5179.9424369673379</v>
      </c>
      <c r="Z1161" s="60" t="s">
        <v>73</v>
      </c>
      <c r="AA1161" s="58" t="s">
        <v>396</v>
      </c>
      <c r="AB1161" s="58" t="s">
        <v>386</v>
      </c>
      <c r="AC1161" s="61"/>
      <c r="AD1161" s="53" t="s">
        <v>85</v>
      </c>
      <c r="AE1161" s="56">
        <v>14.137154999999998</v>
      </c>
      <c r="AF1161" s="62"/>
      <c r="AG1161" s="63"/>
      <c r="AH1161" s="61"/>
      <c r="AO1161" s="64" t="s">
        <v>78</v>
      </c>
      <c r="AP1161" s="65">
        <v>3.0200000000000005</v>
      </c>
      <c r="AQ1161" s="65">
        <v>2.4</v>
      </c>
      <c r="AR1161" s="65">
        <v>4.3</v>
      </c>
      <c r="AS1161" s="65">
        <v>1.9</v>
      </c>
      <c r="AT1161" s="65">
        <v>3.7</v>
      </c>
      <c r="AU1161" s="65">
        <v>2.8</v>
      </c>
      <c r="AV1161" s="65"/>
      <c r="AW1161" s="65"/>
      <c r="AX1161" s="65"/>
      <c r="AY1161" s="65"/>
      <c r="AZ1161" s="65"/>
      <c r="BA1161" s="65"/>
      <c r="BB1161" s="65"/>
      <c r="BC1161" s="65"/>
      <c r="BD1161" s="65"/>
      <c r="BE1161" s="65"/>
      <c r="BF1161" s="65"/>
      <c r="BG1161" s="65"/>
      <c r="BH1161" s="65"/>
      <c r="BI1161" s="65"/>
      <c r="BJ1161" s="65"/>
      <c r="BK1161" s="65"/>
      <c r="BL1161" s="65"/>
      <c r="BM1161" s="65"/>
      <c r="BN1161" s="65"/>
      <c r="BO1161" s="65"/>
    </row>
    <row r="1162" spans="1:67" s="58" customFormat="1" x14ac:dyDescent="0.2">
      <c r="A1162" s="49" t="s">
        <v>67</v>
      </c>
      <c r="B1162" s="50">
        <v>43171</v>
      </c>
      <c r="C1162" s="51">
        <v>0.66319444444444398</v>
      </c>
      <c r="D1162" s="49" t="s">
        <v>173</v>
      </c>
      <c r="E1162" s="49"/>
      <c r="F1162" s="52">
        <v>61.5</v>
      </c>
      <c r="G1162" s="53">
        <v>4</v>
      </c>
      <c r="H1162" s="54">
        <v>6.5040650406504072E-2</v>
      </c>
      <c r="I1162" s="55">
        <v>6.9746499000000003E-2</v>
      </c>
      <c r="J1162" s="53">
        <v>314.15899999999999</v>
      </c>
      <c r="K1162" s="53">
        <v>0.34873249500000003</v>
      </c>
      <c r="L1162" s="53">
        <v>5</v>
      </c>
      <c r="M1162" s="56">
        <v>225.21488856379727</v>
      </c>
      <c r="N1162" s="53">
        <v>1761</v>
      </c>
      <c r="O1162" s="57" t="s">
        <v>287</v>
      </c>
      <c r="P1162" s="57" t="s">
        <v>82</v>
      </c>
      <c r="Q1162" s="53" t="s">
        <v>288</v>
      </c>
      <c r="R1162" s="53" t="s">
        <v>289</v>
      </c>
      <c r="S1162" s="53"/>
      <c r="T1162" s="59">
        <v>1</v>
      </c>
      <c r="U1162" s="59">
        <v>1</v>
      </c>
      <c r="V1162" s="53">
        <v>3.1</v>
      </c>
      <c r="W1162" s="53"/>
      <c r="X1162" s="53"/>
      <c r="Y1162" s="9">
        <f t="shared" si="18"/>
        <v>225.21488856379727</v>
      </c>
      <c r="Z1162" s="60" t="s">
        <v>73</v>
      </c>
      <c r="AA1162" s="58" t="s">
        <v>396</v>
      </c>
      <c r="AB1162" s="58" t="s">
        <v>386</v>
      </c>
      <c r="AC1162" s="61"/>
      <c r="AD1162" s="53" t="s">
        <v>215</v>
      </c>
      <c r="AE1162" s="56">
        <v>2.2584105112500001</v>
      </c>
      <c r="AF1162" s="62"/>
      <c r="AG1162" s="63"/>
      <c r="AH1162" s="61"/>
      <c r="AO1162" s="64" t="s">
        <v>78</v>
      </c>
      <c r="AP1162" s="65">
        <v>3.1</v>
      </c>
      <c r="AQ1162" s="65">
        <v>3.1</v>
      </c>
      <c r="AR1162" s="65"/>
      <c r="AS1162" s="65"/>
      <c r="AT1162" s="65"/>
      <c r="AU1162" s="65"/>
      <c r="AV1162" s="65"/>
      <c r="AW1162" s="65"/>
      <c r="AX1162" s="65"/>
      <c r="AY1162" s="65"/>
      <c r="AZ1162" s="65"/>
      <c r="BA1162" s="65"/>
      <c r="BB1162" s="65"/>
      <c r="BC1162" s="65"/>
      <c r="BD1162" s="65"/>
      <c r="BE1162" s="65"/>
      <c r="BF1162" s="65"/>
      <c r="BG1162" s="65"/>
      <c r="BH1162" s="65"/>
      <c r="BI1162" s="65"/>
      <c r="BJ1162" s="65"/>
      <c r="BK1162" s="65"/>
      <c r="BL1162" s="65"/>
      <c r="BM1162" s="65"/>
      <c r="BN1162" s="65"/>
      <c r="BO1162" s="65"/>
    </row>
    <row r="1163" spans="1:67" s="58" customFormat="1" x14ac:dyDescent="0.2">
      <c r="A1163" s="49"/>
      <c r="B1163" s="50"/>
      <c r="C1163" s="51"/>
      <c r="D1163" s="49"/>
      <c r="E1163" s="49"/>
      <c r="F1163" s="52"/>
      <c r="G1163" s="53"/>
      <c r="H1163" s="54"/>
      <c r="I1163" s="55"/>
      <c r="J1163" s="53"/>
      <c r="K1163" s="53"/>
      <c r="L1163" s="53"/>
      <c r="M1163" s="56"/>
      <c r="N1163" s="53"/>
      <c r="O1163" s="57"/>
      <c r="P1163" s="57"/>
      <c r="Q1163" s="53"/>
      <c r="R1163" s="53"/>
      <c r="S1163" s="53"/>
      <c r="T1163" s="59"/>
      <c r="U1163" s="59"/>
      <c r="V1163" s="53"/>
      <c r="W1163" s="53"/>
      <c r="X1163" s="53"/>
      <c r="Y1163" s="9" t="e">
        <f t="shared" si="18"/>
        <v>#DIV/0!</v>
      </c>
      <c r="Z1163" s="60"/>
      <c r="AC1163" s="61"/>
      <c r="AD1163" s="53"/>
      <c r="AE1163" s="56"/>
      <c r="AF1163" s="62"/>
      <c r="AG1163" s="63"/>
      <c r="AH1163" s="61"/>
      <c r="AO1163" s="64" t="s">
        <v>79</v>
      </c>
      <c r="AP1163" s="65">
        <v>0.9</v>
      </c>
      <c r="AQ1163" s="65">
        <v>0.9</v>
      </c>
      <c r="AR1163" s="65"/>
      <c r="AS1163" s="65"/>
      <c r="AT1163" s="65"/>
      <c r="AU1163" s="65"/>
      <c r="AV1163" s="65"/>
      <c r="AW1163" s="65"/>
      <c r="AX1163" s="65"/>
      <c r="AY1163" s="65"/>
      <c r="AZ1163" s="65"/>
      <c r="BA1163" s="65"/>
      <c r="BB1163" s="65"/>
      <c r="BC1163" s="65"/>
      <c r="BD1163" s="65"/>
      <c r="BE1163" s="65"/>
      <c r="BF1163" s="65"/>
      <c r="BG1163" s="65"/>
      <c r="BH1163" s="65"/>
      <c r="BI1163" s="65"/>
      <c r="BJ1163" s="65"/>
      <c r="BK1163" s="65"/>
      <c r="BL1163" s="65"/>
      <c r="BM1163" s="65"/>
      <c r="BN1163" s="65"/>
      <c r="BO1163" s="65"/>
    </row>
    <row r="1164" spans="1:67" s="58" customFormat="1" x14ac:dyDescent="0.2">
      <c r="A1164" s="49"/>
      <c r="B1164" s="50"/>
      <c r="C1164" s="51"/>
      <c r="D1164" s="49"/>
      <c r="E1164" s="49"/>
      <c r="F1164" s="52"/>
      <c r="G1164" s="53"/>
      <c r="H1164" s="54"/>
      <c r="I1164" s="55"/>
      <c r="J1164" s="53"/>
      <c r="K1164" s="53"/>
      <c r="L1164" s="53"/>
      <c r="M1164" s="56"/>
      <c r="N1164" s="53"/>
      <c r="O1164" s="57"/>
      <c r="P1164" s="57"/>
      <c r="Q1164" s="53"/>
      <c r="R1164" s="53"/>
      <c r="S1164" s="53"/>
      <c r="T1164" s="59"/>
      <c r="U1164" s="59"/>
      <c r="V1164" s="53"/>
      <c r="W1164" s="53"/>
      <c r="X1164" s="53"/>
      <c r="Y1164" s="9" t="e">
        <f t="shared" si="18"/>
        <v>#DIV/0!</v>
      </c>
      <c r="Z1164" s="60"/>
      <c r="AC1164" s="61"/>
      <c r="AD1164" s="53"/>
      <c r="AE1164" s="56"/>
      <c r="AF1164" s="62"/>
      <c r="AG1164" s="63"/>
      <c r="AH1164" s="61"/>
      <c r="AO1164" s="64" t="s">
        <v>80</v>
      </c>
      <c r="AP1164" s="65">
        <v>0.9</v>
      </c>
      <c r="AQ1164" s="65">
        <v>0.9</v>
      </c>
      <c r="AR1164" s="65"/>
      <c r="AS1164" s="65"/>
      <c r="AT1164" s="65"/>
      <c r="AU1164" s="65"/>
      <c r="AV1164" s="65"/>
      <c r="AW1164" s="65"/>
      <c r="AX1164" s="65"/>
      <c r="AY1164" s="65"/>
      <c r="AZ1164" s="65"/>
      <c r="BA1164" s="65"/>
      <c r="BB1164" s="65"/>
      <c r="BC1164" s="65"/>
      <c r="BD1164" s="65"/>
      <c r="BE1164" s="65"/>
      <c r="BF1164" s="65"/>
      <c r="BG1164" s="65"/>
      <c r="BH1164" s="65"/>
      <c r="BI1164" s="65"/>
      <c r="BJ1164" s="65"/>
      <c r="BK1164" s="65"/>
      <c r="BL1164" s="65"/>
      <c r="BM1164" s="65"/>
      <c r="BN1164" s="65"/>
      <c r="BO1164" s="65"/>
    </row>
    <row r="1165" spans="1:67" s="58" customFormat="1" x14ac:dyDescent="0.2">
      <c r="A1165" s="49" t="s">
        <v>67</v>
      </c>
      <c r="B1165" s="50">
        <v>43171</v>
      </c>
      <c r="C1165" s="51">
        <v>0.66319444444444398</v>
      </c>
      <c r="D1165" s="49" t="s">
        <v>173</v>
      </c>
      <c r="E1165" s="49"/>
      <c r="F1165" s="52">
        <v>61.5</v>
      </c>
      <c r="G1165" s="53">
        <v>4</v>
      </c>
      <c r="H1165" s="54">
        <v>6.5040650406504072E-2</v>
      </c>
      <c r="I1165" s="55">
        <v>6.9746499000000003E-2</v>
      </c>
      <c r="J1165" s="53">
        <v>314.15899999999999</v>
      </c>
      <c r="K1165" s="53">
        <v>0.34873249500000003</v>
      </c>
      <c r="L1165" s="53">
        <v>5</v>
      </c>
      <c r="M1165" s="56">
        <v>225.21488856379727</v>
      </c>
      <c r="N1165" s="53">
        <v>1305</v>
      </c>
      <c r="O1165" s="57" t="s">
        <v>397</v>
      </c>
      <c r="P1165" s="57" t="s">
        <v>82</v>
      </c>
      <c r="Q1165" s="57" t="s">
        <v>398</v>
      </c>
      <c r="R1165" s="53" t="s">
        <v>84</v>
      </c>
      <c r="S1165" s="53"/>
      <c r="T1165" s="59">
        <v>1</v>
      </c>
      <c r="U1165" s="59">
        <v>1</v>
      </c>
      <c r="V1165" s="53">
        <v>4.5999999999999996</v>
      </c>
      <c r="W1165" s="53"/>
      <c r="X1165" s="53"/>
      <c r="Y1165" s="9">
        <f t="shared" si="18"/>
        <v>225.21488856379727</v>
      </c>
      <c r="Z1165" s="60" t="s">
        <v>73</v>
      </c>
      <c r="AA1165" s="58" t="s">
        <v>396</v>
      </c>
      <c r="AB1165" s="58" t="s">
        <v>386</v>
      </c>
      <c r="AC1165" s="61"/>
      <c r="AD1165" s="53" t="s">
        <v>120</v>
      </c>
      <c r="AE1165" s="56">
        <v>50.964967373333316</v>
      </c>
      <c r="AF1165" s="62"/>
      <c r="AG1165" s="63"/>
      <c r="AH1165" s="61"/>
      <c r="AO1165" s="64" t="s">
        <v>78</v>
      </c>
      <c r="AP1165" s="65">
        <v>4.5999999999999996</v>
      </c>
      <c r="AQ1165" s="65">
        <v>4.5999999999999996</v>
      </c>
      <c r="AR1165" s="65"/>
      <c r="AS1165" s="65"/>
      <c r="AT1165" s="65"/>
      <c r="AU1165" s="65"/>
      <c r="AV1165" s="65"/>
      <c r="AW1165" s="65"/>
      <c r="AX1165" s="65"/>
      <c r="AY1165" s="65"/>
      <c r="AZ1165" s="65"/>
      <c r="BA1165" s="65"/>
      <c r="BB1165" s="65"/>
      <c r="BC1165" s="65"/>
      <c r="BD1165" s="65"/>
      <c r="BE1165" s="65"/>
      <c r="BF1165" s="65"/>
      <c r="BG1165" s="65"/>
      <c r="BH1165" s="65"/>
      <c r="BI1165" s="65"/>
      <c r="BJ1165" s="65"/>
      <c r="BK1165" s="65"/>
      <c r="BL1165" s="65"/>
      <c r="BM1165" s="65"/>
      <c r="BN1165" s="65"/>
      <c r="BO1165" s="65"/>
    </row>
    <row r="1166" spans="1:67" s="58" customFormat="1" x14ac:dyDescent="0.2">
      <c r="A1166" s="49"/>
      <c r="B1166" s="50"/>
      <c r="C1166" s="51"/>
      <c r="D1166" s="49"/>
      <c r="E1166" s="49"/>
      <c r="F1166" s="52"/>
      <c r="G1166" s="53"/>
      <c r="H1166" s="54"/>
      <c r="I1166" s="55"/>
      <c r="J1166" s="53"/>
      <c r="K1166" s="53"/>
      <c r="L1166" s="53"/>
      <c r="M1166" s="56"/>
      <c r="N1166" s="53"/>
      <c r="O1166" s="57"/>
      <c r="P1166" s="57"/>
      <c r="Q1166" s="57"/>
      <c r="R1166" s="53"/>
      <c r="S1166" s="53"/>
      <c r="T1166" s="59"/>
      <c r="U1166" s="59"/>
      <c r="V1166" s="53"/>
      <c r="W1166" s="53"/>
      <c r="X1166" s="53"/>
      <c r="Y1166" s="9" t="e">
        <f t="shared" si="18"/>
        <v>#DIV/0!</v>
      </c>
      <c r="Z1166" s="60"/>
      <c r="AC1166" s="61"/>
      <c r="AD1166" s="53"/>
      <c r="AE1166" s="56"/>
      <c r="AF1166" s="62"/>
      <c r="AG1166" s="63"/>
      <c r="AH1166" s="61"/>
      <c r="AO1166" s="64" t="s">
        <v>79</v>
      </c>
      <c r="AP1166" s="65">
        <v>4.5999999999999996</v>
      </c>
      <c r="AQ1166" s="65">
        <v>4.5999999999999996</v>
      </c>
      <c r="AR1166" s="65"/>
      <c r="AS1166" s="65"/>
      <c r="AT1166" s="65"/>
      <c r="AU1166" s="65"/>
      <c r="AV1166" s="65"/>
      <c r="AW1166" s="65"/>
      <c r="AX1166" s="65"/>
      <c r="AY1166" s="65"/>
      <c r="AZ1166" s="65"/>
      <c r="BA1166" s="65"/>
      <c r="BB1166" s="65"/>
      <c r="BC1166" s="65"/>
      <c r="BD1166" s="65"/>
      <c r="BE1166" s="65"/>
      <c r="BF1166" s="65"/>
      <c r="BG1166" s="65"/>
      <c r="BH1166" s="65"/>
      <c r="BI1166" s="65"/>
      <c r="BJ1166" s="65"/>
      <c r="BK1166" s="65"/>
      <c r="BL1166" s="65"/>
      <c r="BM1166" s="65"/>
      <c r="BN1166" s="65"/>
      <c r="BO1166" s="65"/>
    </row>
    <row r="1167" spans="1:67" s="58" customFormat="1" x14ac:dyDescent="0.2">
      <c r="A1167" s="49" t="s">
        <v>67</v>
      </c>
      <c r="B1167" s="50">
        <v>43171</v>
      </c>
      <c r="C1167" s="51">
        <v>0.66319444444444398</v>
      </c>
      <c r="D1167" s="49" t="s">
        <v>173</v>
      </c>
      <c r="E1167" s="49"/>
      <c r="F1167" s="52">
        <v>61.5</v>
      </c>
      <c r="G1167" s="53">
        <v>4</v>
      </c>
      <c r="H1167" s="54">
        <v>6.5040650406504072E-2</v>
      </c>
      <c r="I1167" s="55">
        <v>6.9746499000000003E-2</v>
      </c>
      <c r="J1167" s="53">
        <v>314.15899999999999</v>
      </c>
      <c r="K1167" s="53">
        <v>0.34873249500000003</v>
      </c>
      <c r="L1167" s="53">
        <v>5</v>
      </c>
      <c r="M1167" s="56">
        <v>225.21488856379727</v>
      </c>
      <c r="N1167" s="53">
        <v>1324</v>
      </c>
      <c r="O1167" s="57" t="s">
        <v>399</v>
      </c>
      <c r="P1167" s="57" t="s">
        <v>82</v>
      </c>
      <c r="Q1167" s="53" t="s">
        <v>233</v>
      </c>
      <c r="R1167" s="53" t="s">
        <v>84</v>
      </c>
      <c r="S1167" s="53"/>
      <c r="T1167" s="59">
        <v>1</v>
      </c>
      <c r="U1167" s="59">
        <v>1</v>
      </c>
      <c r="V1167" s="53">
        <v>7.4</v>
      </c>
      <c r="W1167" s="53"/>
      <c r="X1167" s="53"/>
      <c r="Y1167" s="9">
        <f t="shared" si="18"/>
        <v>225.21488856379727</v>
      </c>
      <c r="Z1167" s="60" t="s">
        <v>73</v>
      </c>
      <c r="AA1167" s="58" t="s">
        <v>396</v>
      </c>
      <c r="AB1167" s="58" t="s">
        <v>386</v>
      </c>
      <c r="AC1167" s="61"/>
      <c r="AD1167" s="53" t="s">
        <v>91</v>
      </c>
      <c r="AE1167" s="56">
        <v>212.17461102666667</v>
      </c>
      <c r="AF1167" s="62"/>
      <c r="AG1167" s="63"/>
      <c r="AH1167" s="61"/>
      <c r="AO1167" s="64" t="s">
        <v>78</v>
      </c>
      <c r="AP1167" s="65">
        <v>7.4</v>
      </c>
      <c r="AQ1167" s="65">
        <v>7.4</v>
      </c>
      <c r="AR1167" s="65"/>
      <c r="AS1167" s="65"/>
      <c r="AT1167" s="65"/>
      <c r="AU1167" s="65"/>
      <c r="AV1167" s="65"/>
      <c r="AW1167" s="65"/>
      <c r="AX1167" s="65"/>
      <c r="AY1167" s="65"/>
      <c r="AZ1167" s="65"/>
      <c r="BA1167" s="65"/>
      <c r="BB1167" s="65"/>
      <c r="BC1167" s="65"/>
      <c r="BD1167" s="65"/>
      <c r="BE1167" s="65"/>
      <c r="BF1167" s="65"/>
      <c r="BG1167" s="65"/>
      <c r="BH1167" s="65"/>
      <c r="BI1167" s="65"/>
      <c r="BJ1167" s="65"/>
      <c r="BK1167" s="65"/>
      <c r="BL1167" s="65"/>
      <c r="BM1167" s="65"/>
      <c r="BN1167" s="65"/>
      <c r="BO1167" s="65"/>
    </row>
    <row r="1168" spans="1:67" s="58" customFormat="1" x14ac:dyDescent="0.2">
      <c r="A1168" s="49"/>
      <c r="B1168" s="50"/>
      <c r="C1168" s="51"/>
      <c r="D1168" s="49"/>
      <c r="E1168" s="49"/>
      <c r="F1168" s="52"/>
      <c r="G1168" s="53"/>
      <c r="H1168" s="54"/>
      <c r="I1168" s="55"/>
      <c r="J1168" s="53"/>
      <c r="K1168" s="53"/>
      <c r="L1168" s="53"/>
      <c r="M1168" s="56"/>
      <c r="N1168" s="53"/>
      <c r="O1168" s="57"/>
      <c r="P1168" s="57"/>
      <c r="Q1168" s="53"/>
      <c r="R1168" s="53"/>
      <c r="S1168" s="53"/>
      <c r="T1168" s="59"/>
      <c r="U1168" s="59"/>
      <c r="V1168" s="53"/>
      <c r="W1168" s="53"/>
      <c r="X1168" s="53"/>
      <c r="Y1168" s="9" t="e">
        <f t="shared" si="18"/>
        <v>#DIV/0!</v>
      </c>
      <c r="Z1168" s="60"/>
      <c r="AC1168" s="61"/>
      <c r="AD1168" s="53"/>
      <c r="AE1168" s="56"/>
      <c r="AF1168" s="62"/>
      <c r="AG1168" s="63"/>
      <c r="AH1168" s="61"/>
      <c r="AO1168" s="64" t="s">
        <v>79</v>
      </c>
      <c r="AP1168" s="65">
        <v>7.4</v>
      </c>
      <c r="AQ1168" s="65">
        <v>7.4</v>
      </c>
      <c r="AR1168" s="65"/>
      <c r="AS1168" s="65"/>
      <c r="AT1168" s="65"/>
      <c r="AU1168" s="65"/>
      <c r="AV1168" s="65"/>
      <c r="AW1168" s="65"/>
      <c r="AX1168" s="65"/>
      <c r="AY1168" s="65"/>
      <c r="AZ1168" s="65"/>
      <c r="BA1168" s="65"/>
      <c r="BB1168" s="65"/>
      <c r="BC1168" s="65"/>
      <c r="BD1168" s="65"/>
      <c r="BE1168" s="65"/>
      <c r="BF1168" s="65"/>
      <c r="BG1168" s="65"/>
      <c r="BH1168" s="65"/>
      <c r="BI1168" s="65"/>
      <c r="BJ1168" s="65"/>
      <c r="BK1168" s="65"/>
      <c r="BL1168" s="65"/>
      <c r="BM1168" s="65"/>
      <c r="BN1168" s="65"/>
      <c r="BO1168" s="65"/>
    </row>
    <row r="1169" spans="1:67" s="58" customFormat="1" x14ac:dyDescent="0.2">
      <c r="A1169" s="49" t="s">
        <v>67</v>
      </c>
      <c r="B1169" s="50">
        <v>43171</v>
      </c>
      <c r="C1169" s="51">
        <v>0.66319444444444398</v>
      </c>
      <c r="D1169" s="49" t="s">
        <v>173</v>
      </c>
      <c r="E1169" s="49"/>
      <c r="F1169" s="52">
        <v>61.5</v>
      </c>
      <c r="G1169" s="53">
        <v>4</v>
      </c>
      <c r="H1169" s="54">
        <v>6.5040650406504072E-2</v>
      </c>
      <c r="I1169" s="55">
        <v>6.9746499000000003E-2</v>
      </c>
      <c r="J1169" s="53">
        <v>314.15899999999999</v>
      </c>
      <c r="K1169" s="53">
        <v>0.34873249500000003</v>
      </c>
      <c r="L1169" s="53">
        <v>5</v>
      </c>
      <c r="M1169" s="56">
        <v>225.21488856379727</v>
      </c>
      <c r="N1169" s="53">
        <v>1346</v>
      </c>
      <c r="O1169" s="57" t="s">
        <v>400</v>
      </c>
      <c r="P1169" s="57" t="s">
        <v>82</v>
      </c>
      <c r="Q1169" s="53" t="s">
        <v>119</v>
      </c>
      <c r="R1169" s="53" t="s">
        <v>401</v>
      </c>
      <c r="S1169" s="53"/>
      <c r="T1169" s="59">
        <v>2</v>
      </c>
      <c r="U1169" s="59">
        <v>2</v>
      </c>
      <c r="V1169" s="53">
        <v>13.5</v>
      </c>
      <c r="W1169" s="53"/>
      <c r="X1169" s="53"/>
      <c r="Y1169" s="9">
        <f t="shared" si="18"/>
        <v>450.42977712759455</v>
      </c>
      <c r="Z1169" s="60" t="s">
        <v>73</v>
      </c>
      <c r="AA1169" s="58" t="s">
        <v>396</v>
      </c>
      <c r="AB1169" s="58" t="s">
        <v>386</v>
      </c>
      <c r="AC1169" s="61"/>
      <c r="AD1169" s="53" t="s">
        <v>120</v>
      </c>
      <c r="AE1169" s="56">
        <v>468.24980071333323</v>
      </c>
      <c r="AF1169" s="62"/>
      <c r="AG1169" s="63"/>
      <c r="AH1169" s="61"/>
      <c r="AO1169" s="64" t="s">
        <v>78</v>
      </c>
      <c r="AP1169" s="65">
        <v>13.25</v>
      </c>
      <c r="AQ1169" s="65">
        <v>13</v>
      </c>
      <c r="AR1169" s="65">
        <v>13.5</v>
      </c>
      <c r="AS1169" s="65"/>
      <c r="AT1169" s="65"/>
      <c r="AU1169" s="65"/>
      <c r="AV1169" s="65"/>
      <c r="AW1169" s="65"/>
      <c r="AX1169" s="65"/>
      <c r="AY1169" s="65"/>
      <c r="AZ1169" s="65"/>
      <c r="BA1169" s="65"/>
      <c r="BB1169" s="65"/>
      <c r="BC1169" s="65"/>
      <c r="BD1169" s="65"/>
      <c r="BE1169" s="65"/>
      <c r="BF1169" s="65"/>
      <c r="BG1169" s="65"/>
      <c r="BH1169" s="65"/>
      <c r="BI1169" s="65"/>
      <c r="BJ1169" s="65"/>
      <c r="BK1169" s="65"/>
      <c r="BL1169" s="65"/>
      <c r="BM1169" s="65"/>
      <c r="BN1169" s="65"/>
      <c r="BO1169" s="65"/>
    </row>
    <row r="1170" spans="1:67" s="58" customFormat="1" x14ac:dyDescent="0.2">
      <c r="A1170" s="49"/>
      <c r="B1170" s="50"/>
      <c r="C1170" s="51"/>
      <c r="D1170" s="49"/>
      <c r="E1170" s="49"/>
      <c r="F1170" s="52"/>
      <c r="G1170" s="53"/>
      <c r="H1170" s="54"/>
      <c r="I1170" s="55"/>
      <c r="J1170" s="53"/>
      <c r="K1170" s="53"/>
      <c r="L1170" s="53"/>
      <c r="M1170" s="56"/>
      <c r="N1170" s="53"/>
      <c r="O1170" s="57"/>
      <c r="P1170" s="57"/>
      <c r="Q1170" s="53"/>
      <c r="R1170" s="53"/>
      <c r="S1170" s="53"/>
      <c r="T1170" s="59"/>
      <c r="U1170" s="59"/>
      <c r="V1170" s="53"/>
      <c r="W1170" s="53"/>
      <c r="X1170" s="53"/>
      <c r="Y1170" s="9" t="e">
        <f t="shared" si="18"/>
        <v>#DIV/0!</v>
      </c>
      <c r="Z1170" s="60"/>
      <c r="AC1170" s="61"/>
      <c r="AD1170" s="53"/>
      <c r="AE1170" s="56"/>
      <c r="AF1170" s="62"/>
      <c r="AG1170" s="63"/>
      <c r="AH1170" s="61"/>
      <c r="AO1170" s="64" t="s">
        <v>79</v>
      </c>
      <c r="AP1170" s="65">
        <v>8.15</v>
      </c>
      <c r="AQ1170" s="65">
        <v>8.3000000000000007</v>
      </c>
      <c r="AR1170" s="65">
        <v>8</v>
      </c>
      <c r="AS1170" s="65"/>
      <c r="AT1170" s="65"/>
      <c r="AU1170" s="65"/>
      <c r="AV1170" s="65"/>
      <c r="AW1170" s="65"/>
      <c r="AX1170" s="65"/>
      <c r="AY1170" s="65"/>
      <c r="AZ1170" s="65"/>
      <c r="BA1170" s="65"/>
      <c r="BB1170" s="65"/>
      <c r="BC1170" s="65"/>
      <c r="BD1170" s="65"/>
      <c r="BE1170" s="65"/>
      <c r="BF1170" s="65"/>
      <c r="BG1170" s="65"/>
      <c r="BH1170" s="65"/>
      <c r="BI1170" s="65"/>
      <c r="BJ1170" s="65"/>
      <c r="BK1170" s="65"/>
      <c r="BL1170" s="65"/>
      <c r="BM1170" s="65"/>
      <c r="BN1170" s="65"/>
      <c r="BO1170" s="65"/>
    </row>
    <row r="1171" spans="1:67" s="58" customFormat="1" x14ac:dyDescent="0.2">
      <c r="A1171" s="49" t="s">
        <v>67</v>
      </c>
      <c r="B1171" s="50">
        <v>43171</v>
      </c>
      <c r="C1171" s="51">
        <v>0.66319444444444398</v>
      </c>
      <c r="D1171" s="49" t="s">
        <v>173</v>
      </c>
      <c r="E1171" s="49"/>
      <c r="F1171" s="52">
        <v>61.5</v>
      </c>
      <c r="G1171" s="53">
        <v>4</v>
      </c>
      <c r="H1171" s="54">
        <v>6.5040650406504072E-2</v>
      </c>
      <c r="I1171" s="55">
        <v>6.9746499000000003E-2</v>
      </c>
      <c r="J1171" s="53">
        <v>314.15899999999999</v>
      </c>
      <c r="K1171" s="53">
        <v>0.34873249500000003</v>
      </c>
      <c r="L1171" s="53">
        <v>5</v>
      </c>
      <c r="M1171" s="56">
        <v>225.21488856379727</v>
      </c>
      <c r="N1171" s="53">
        <v>1733</v>
      </c>
      <c r="O1171" s="57" t="s">
        <v>391</v>
      </c>
      <c r="P1171" s="57" t="s">
        <v>82</v>
      </c>
      <c r="Q1171" s="53" t="s">
        <v>89</v>
      </c>
      <c r="R1171" s="53" t="s">
        <v>93</v>
      </c>
      <c r="S1171" s="53"/>
      <c r="T1171" s="59">
        <v>4</v>
      </c>
      <c r="U1171" s="59">
        <v>4</v>
      </c>
      <c r="V1171" s="53">
        <v>6.8</v>
      </c>
      <c r="W1171" s="53"/>
      <c r="X1171" s="53"/>
      <c r="Y1171" s="9">
        <f t="shared" si="18"/>
        <v>900.8595542551891</v>
      </c>
      <c r="Z1171" s="60" t="s">
        <v>73</v>
      </c>
      <c r="AA1171" s="58" t="s">
        <v>396</v>
      </c>
      <c r="AB1171" s="58" t="s">
        <v>386</v>
      </c>
      <c r="AC1171" s="61"/>
      <c r="AD1171" s="53" t="s">
        <v>91</v>
      </c>
      <c r="AE1171" s="56">
        <v>82.930383824166682</v>
      </c>
      <c r="AF1171" s="62"/>
      <c r="AG1171" s="63"/>
      <c r="AH1171" s="61"/>
      <c r="AO1171" s="64" t="s">
        <v>78</v>
      </c>
      <c r="AP1171" s="65">
        <v>5.9</v>
      </c>
      <c r="AQ1171" s="65">
        <v>6.8</v>
      </c>
      <c r="AR1171" s="65">
        <v>5.6</v>
      </c>
      <c r="AS1171" s="65">
        <v>5.6</v>
      </c>
      <c r="AT1171" s="65">
        <v>5.6</v>
      </c>
      <c r="AU1171" s="65"/>
      <c r="AV1171" s="65"/>
      <c r="AW1171" s="65"/>
      <c r="AX1171" s="65"/>
      <c r="AY1171" s="65"/>
      <c r="AZ1171" s="65"/>
      <c r="BA1171" s="65"/>
      <c r="BB1171" s="65"/>
      <c r="BC1171" s="65"/>
      <c r="BD1171" s="65"/>
      <c r="BE1171" s="65"/>
      <c r="BF1171" s="65"/>
      <c r="BG1171" s="65"/>
      <c r="BH1171" s="65"/>
      <c r="BI1171" s="65"/>
      <c r="BJ1171" s="65"/>
      <c r="BK1171" s="65"/>
      <c r="BL1171" s="65"/>
      <c r="BM1171" s="65"/>
      <c r="BN1171" s="65"/>
      <c r="BO1171" s="65"/>
    </row>
    <row r="1172" spans="1:67" s="58" customFormat="1" x14ac:dyDescent="0.2">
      <c r="A1172" s="49"/>
      <c r="B1172" s="50"/>
      <c r="C1172" s="51"/>
      <c r="D1172" s="49"/>
      <c r="E1172" s="49"/>
      <c r="F1172" s="52"/>
      <c r="G1172" s="53"/>
      <c r="H1172" s="54"/>
      <c r="I1172" s="55"/>
      <c r="J1172" s="53"/>
      <c r="K1172" s="53"/>
      <c r="L1172" s="53"/>
      <c r="M1172" s="56"/>
      <c r="N1172" s="53"/>
      <c r="O1172" s="57"/>
      <c r="P1172" s="57"/>
      <c r="Q1172" s="53"/>
      <c r="R1172" s="53"/>
      <c r="S1172" s="53"/>
      <c r="T1172" s="59"/>
      <c r="U1172" s="59"/>
      <c r="V1172" s="53"/>
      <c r="W1172" s="53"/>
      <c r="X1172" s="53"/>
      <c r="Y1172" s="9" t="e">
        <f t="shared" si="18"/>
        <v>#DIV/0!</v>
      </c>
      <c r="Z1172" s="60"/>
      <c r="AC1172" s="61"/>
      <c r="AD1172" s="53"/>
      <c r="AE1172" s="56"/>
      <c r="AF1172" s="62"/>
      <c r="AG1172" s="63"/>
      <c r="AH1172" s="61"/>
      <c r="AO1172" s="64" t="s">
        <v>79</v>
      </c>
      <c r="AP1172" s="65">
        <v>3.1499999999999995</v>
      </c>
      <c r="AQ1172" s="65">
        <v>3.7</v>
      </c>
      <c r="AR1172" s="65">
        <v>2.4</v>
      </c>
      <c r="AS1172" s="65">
        <v>2.8</v>
      </c>
      <c r="AT1172" s="65">
        <v>3.7</v>
      </c>
      <c r="AU1172" s="65"/>
      <c r="AV1172" s="65"/>
      <c r="AW1172" s="65"/>
      <c r="AX1172" s="65"/>
      <c r="AY1172" s="65"/>
      <c r="AZ1172" s="65"/>
      <c r="BA1172" s="65"/>
      <c r="BB1172" s="65"/>
      <c r="BC1172" s="65"/>
      <c r="BD1172" s="65"/>
      <c r="BE1172" s="65"/>
      <c r="BF1172" s="65"/>
      <c r="BG1172" s="65"/>
      <c r="BH1172" s="65"/>
      <c r="BI1172" s="65"/>
      <c r="BJ1172" s="65"/>
      <c r="BK1172" s="65"/>
      <c r="BL1172" s="65"/>
      <c r="BM1172" s="65"/>
      <c r="BN1172" s="65"/>
      <c r="BO1172" s="65"/>
    </row>
    <row r="1173" spans="1:67" s="58" customFormat="1" x14ac:dyDescent="0.2">
      <c r="A1173" s="49" t="s">
        <v>67</v>
      </c>
      <c r="B1173" s="50">
        <v>43171</v>
      </c>
      <c r="C1173" s="51">
        <v>0.66319444444444398</v>
      </c>
      <c r="D1173" s="49" t="s">
        <v>173</v>
      </c>
      <c r="E1173" s="49"/>
      <c r="F1173" s="52">
        <v>61.5</v>
      </c>
      <c r="G1173" s="53">
        <v>4</v>
      </c>
      <c r="H1173" s="54">
        <v>6.5040650406504072E-2</v>
      </c>
      <c r="I1173" s="55">
        <v>6.9746499000000003E-2</v>
      </c>
      <c r="J1173" s="53">
        <v>314.15899999999999</v>
      </c>
      <c r="K1173" s="53">
        <v>0.34873249500000003</v>
      </c>
      <c r="L1173" s="53">
        <v>5</v>
      </c>
      <c r="M1173" s="56">
        <v>225.21488856379727</v>
      </c>
      <c r="N1173" s="53">
        <v>1419</v>
      </c>
      <c r="O1173" s="57" t="s">
        <v>94</v>
      </c>
      <c r="P1173" s="57" t="s">
        <v>82</v>
      </c>
      <c r="Q1173" s="53" t="s">
        <v>95</v>
      </c>
      <c r="R1173" s="53" t="s">
        <v>96</v>
      </c>
      <c r="S1173" s="53"/>
      <c r="T1173" s="59">
        <v>387</v>
      </c>
      <c r="U1173" s="59">
        <v>785</v>
      </c>
      <c r="V1173" s="53">
        <v>0.9</v>
      </c>
      <c r="W1173" s="53">
        <v>0.9</v>
      </c>
      <c r="X1173" s="53">
        <v>0.9</v>
      </c>
      <c r="Y1173" s="9">
        <f t="shared" si="18"/>
        <v>87158.161874189551</v>
      </c>
      <c r="Z1173" s="60" t="s">
        <v>97</v>
      </c>
      <c r="AA1173" s="58" t="s">
        <v>396</v>
      </c>
      <c r="AB1173" s="58" t="s">
        <v>386</v>
      </c>
      <c r="AC1173" s="61"/>
      <c r="AD1173" s="53" t="s">
        <v>85</v>
      </c>
      <c r="AE1173" s="56">
        <v>0.11309723999999999</v>
      </c>
      <c r="AF1173" s="56">
        <v>0.17959422833333327</v>
      </c>
      <c r="AG1173" s="56">
        <v>0.11309723999999999</v>
      </c>
      <c r="AH1173" s="56">
        <v>0.26808234666666664</v>
      </c>
      <c r="AI1173" s="56">
        <v>0.381703185</v>
      </c>
      <c r="AJ1173" s="56">
        <v>0.17959422833333327</v>
      </c>
      <c r="AK1173" s="56">
        <v>0.26808234666666664</v>
      </c>
      <c r="AL1173" s="56">
        <v>0.11309723999999999</v>
      </c>
      <c r="AM1173" s="56">
        <v>0.11309723999999999</v>
      </c>
      <c r="AN1173" s="56">
        <v>0.17959422833333327</v>
      </c>
      <c r="AO1173" s="66" t="s">
        <v>78</v>
      </c>
      <c r="AP1173" s="65">
        <v>0.72399999999999987</v>
      </c>
      <c r="AQ1173" s="65">
        <v>0.6</v>
      </c>
      <c r="AR1173" s="65">
        <v>0.7</v>
      </c>
      <c r="AS1173" s="65">
        <v>0.6</v>
      </c>
      <c r="AT1173" s="65">
        <v>0.8</v>
      </c>
      <c r="AU1173" s="65">
        <v>0.9</v>
      </c>
      <c r="AV1173" s="65">
        <v>0.7</v>
      </c>
      <c r="AW1173" s="65">
        <v>0.8</v>
      </c>
      <c r="AX1173" s="65">
        <v>0.6</v>
      </c>
      <c r="AY1173" s="65">
        <v>0.6</v>
      </c>
      <c r="AZ1173" s="65">
        <v>0.7</v>
      </c>
      <c r="BA1173" s="65">
        <v>0.9</v>
      </c>
      <c r="BB1173" s="65">
        <v>0.7</v>
      </c>
      <c r="BC1173" s="65">
        <v>0.6</v>
      </c>
      <c r="BD1173" s="65">
        <v>0.7</v>
      </c>
      <c r="BE1173" s="65">
        <v>0.8</v>
      </c>
      <c r="BF1173" s="65">
        <v>0.9</v>
      </c>
      <c r="BG1173" s="65">
        <v>0.6</v>
      </c>
      <c r="BH1173" s="65">
        <v>0.7</v>
      </c>
      <c r="BI1173" s="65">
        <v>0.7</v>
      </c>
      <c r="BJ1173" s="65">
        <v>0.8</v>
      </c>
      <c r="BK1173" s="65">
        <v>0.8</v>
      </c>
      <c r="BL1173" s="65">
        <v>0.7</v>
      </c>
      <c r="BM1173" s="65">
        <v>0.6</v>
      </c>
      <c r="BN1173" s="65">
        <v>0.9</v>
      </c>
      <c r="BO1173" s="65">
        <v>0.7</v>
      </c>
    </row>
    <row r="1174" spans="1:67" s="81" customFormat="1" x14ac:dyDescent="0.2">
      <c r="A1174" s="69" t="s">
        <v>67</v>
      </c>
      <c r="B1174" s="74">
        <v>43171</v>
      </c>
      <c r="C1174" s="75">
        <v>0.62152777777777801</v>
      </c>
      <c r="D1174" s="69" t="s">
        <v>144</v>
      </c>
      <c r="E1174" s="69"/>
      <c r="F1174" s="76">
        <v>61</v>
      </c>
      <c r="G1174" s="69">
        <v>2</v>
      </c>
      <c r="H1174" s="77">
        <v>3.2786885245901641E-2</v>
      </c>
      <c r="I1174" s="78">
        <v>6.9746499000000003E-2</v>
      </c>
      <c r="J1174" s="69">
        <v>314.15899999999999</v>
      </c>
      <c r="K1174" s="69">
        <v>0.41847899399999999</v>
      </c>
      <c r="L1174" s="69">
        <v>6</v>
      </c>
      <c r="M1174" s="79">
        <v>375.35814760632883</v>
      </c>
      <c r="N1174" s="69">
        <v>190</v>
      </c>
      <c r="O1174" s="80" t="s">
        <v>296</v>
      </c>
      <c r="P1174" s="81" t="s">
        <v>70</v>
      </c>
      <c r="Q1174" s="69" t="s">
        <v>103</v>
      </c>
      <c r="R1174" s="69" t="s">
        <v>84</v>
      </c>
      <c r="S1174" s="69"/>
      <c r="T1174" s="60">
        <v>1</v>
      </c>
      <c r="U1174" s="60">
        <v>1</v>
      </c>
      <c r="V1174" s="69">
        <v>11.1</v>
      </c>
      <c r="W1174" s="69"/>
      <c r="X1174" s="69"/>
      <c r="Y1174" s="9">
        <f t="shared" si="18"/>
        <v>375.35814760632883</v>
      </c>
      <c r="Z1174" s="60" t="s">
        <v>73</v>
      </c>
      <c r="AA1174" s="58" t="s">
        <v>402</v>
      </c>
      <c r="AB1174" s="81" t="s">
        <v>386</v>
      </c>
      <c r="AC1174" s="82"/>
      <c r="AD1174" s="69" t="s">
        <v>104</v>
      </c>
      <c r="AE1174" s="79">
        <v>899.95008156749998</v>
      </c>
      <c r="AF1174" s="83"/>
      <c r="AG1174" s="84"/>
      <c r="AH1174" s="82"/>
      <c r="AO1174" s="85" t="s">
        <v>78</v>
      </c>
      <c r="AP1174" s="86">
        <v>9.3000000000000007</v>
      </c>
      <c r="AQ1174" s="86">
        <v>9.3000000000000007</v>
      </c>
      <c r="AR1174" s="86"/>
      <c r="AS1174" s="86"/>
      <c r="AT1174" s="86"/>
      <c r="AU1174" s="86"/>
      <c r="AV1174" s="86"/>
      <c r="AW1174" s="86"/>
      <c r="AX1174" s="86"/>
      <c r="AY1174" s="86"/>
      <c r="AZ1174" s="86"/>
      <c r="BA1174" s="86"/>
      <c r="BB1174" s="86"/>
      <c r="BC1174" s="86"/>
      <c r="BD1174" s="86"/>
      <c r="BE1174" s="86"/>
      <c r="BF1174" s="86"/>
      <c r="BG1174" s="86"/>
      <c r="BH1174" s="86"/>
      <c r="BI1174" s="86"/>
      <c r="BJ1174" s="86"/>
      <c r="BK1174" s="86"/>
      <c r="BL1174" s="86"/>
      <c r="BM1174" s="86"/>
      <c r="BN1174" s="86"/>
      <c r="BO1174" s="86"/>
    </row>
    <row r="1175" spans="1:67" s="81" customFormat="1" x14ac:dyDescent="0.2">
      <c r="A1175" s="69"/>
      <c r="B1175" s="74"/>
      <c r="C1175" s="75"/>
      <c r="D1175" s="69"/>
      <c r="E1175" s="69"/>
      <c r="F1175" s="76"/>
      <c r="G1175" s="69"/>
      <c r="H1175" s="77"/>
      <c r="I1175" s="78"/>
      <c r="J1175" s="69"/>
      <c r="K1175" s="69"/>
      <c r="L1175" s="69"/>
      <c r="M1175" s="79"/>
      <c r="N1175" s="69"/>
      <c r="O1175" s="80"/>
      <c r="Q1175" s="69"/>
      <c r="R1175" s="69"/>
      <c r="S1175" s="69"/>
      <c r="T1175" s="60"/>
      <c r="U1175" s="60"/>
      <c r="V1175" s="69"/>
      <c r="W1175" s="69"/>
      <c r="X1175" s="69"/>
      <c r="Y1175" s="9" t="e">
        <f t="shared" si="18"/>
        <v>#DIV/0!</v>
      </c>
      <c r="Z1175" s="60"/>
      <c r="AC1175" s="82"/>
      <c r="AD1175" s="69"/>
      <c r="AE1175" s="79"/>
      <c r="AF1175" s="83"/>
      <c r="AG1175" s="84"/>
      <c r="AH1175" s="82"/>
      <c r="AO1175" s="64" t="s">
        <v>79</v>
      </c>
      <c r="AP1175" s="86">
        <v>11.1</v>
      </c>
      <c r="AQ1175" s="86">
        <v>11.1</v>
      </c>
      <c r="AR1175" s="86"/>
      <c r="AS1175" s="86"/>
      <c r="AT1175" s="86"/>
      <c r="AU1175" s="86"/>
      <c r="AV1175" s="86"/>
      <c r="AW1175" s="86"/>
      <c r="AX1175" s="86"/>
      <c r="AY1175" s="86"/>
      <c r="AZ1175" s="86"/>
      <c r="BA1175" s="86"/>
      <c r="BB1175" s="86"/>
      <c r="BC1175" s="86"/>
      <c r="BD1175" s="86"/>
      <c r="BE1175" s="86"/>
      <c r="BF1175" s="86"/>
      <c r="BG1175" s="86"/>
      <c r="BH1175" s="86"/>
      <c r="BI1175" s="86"/>
      <c r="BJ1175" s="86"/>
      <c r="BK1175" s="86"/>
      <c r="BL1175" s="86"/>
      <c r="BM1175" s="86"/>
      <c r="BN1175" s="86"/>
      <c r="BO1175" s="86"/>
    </row>
    <row r="1176" spans="1:67" s="81" customFormat="1" x14ac:dyDescent="0.2">
      <c r="A1176" s="69" t="s">
        <v>67</v>
      </c>
      <c r="B1176" s="74">
        <v>43171</v>
      </c>
      <c r="C1176" s="75">
        <v>0.62152777777777801</v>
      </c>
      <c r="D1176" s="69" t="s">
        <v>144</v>
      </c>
      <c r="E1176" s="69"/>
      <c r="F1176" s="76">
        <v>61</v>
      </c>
      <c r="G1176" s="69">
        <v>2</v>
      </c>
      <c r="H1176" s="77">
        <v>3.2786885245901641E-2</v>
      </c>
      <c r="I1176" s="78">
        <v>6.9746499000000003E-2</v>
      </c>
      <c r="J1176" s="69">
        <v>314.15899999999999</v>
      </c>
      <c r="K1176" s="69">
        <v>0.41847899399999999</v>
      </c>
      <c r="L1176" s="69">
        <v>6</v>
      </c>
      <c r="M1176" s="79">
        <v>375.35814760632883</v>
      </c>
      <c r="N1176" s="69">
        <v>1037</v>
      </c>
      <c r="O1176" s="80" t="s">
        <v>86</v>
      </c>
      <c r="P1176" s="80" t="s">
        <v>82</v>
      </c>
      <c r="Q1176" s="69" t="s">
        <v>87</v>
      </c>
      <c r="R1176" s="69" t="s">
        <v>84</v>
      </c>
      <c r="S1176" s="69"/>
      <c r="T1176" s="60">
        <v>30</v>
      </c>
      <c r="U1176" s="60">
        <v>30</v>
      </c>
      <c r="V1176" s="69">
        <v>2.8</v>
      </c>
      <c r="W1176" s="69"/>
      <c r="X1176" s="69"/>
      <c r="Y1176" s="9">
        <f t="shared" si="18"/>
        <v>11260.744428189866</v>
      </c>
      <c r="Z1176" s="60" t="s">
        <v>73</v>
      </c>
      <c r="AA1176" s="58" t="s">
        <v>402</v>
      </c>
      <c r="AB1176" s="81" t="s">
        <v>386</v>
      </c>
      <c r="AC1176" s="82"/>
      <c r="AD1176" s="69" t="s">
        <v>85</v>
      </c>
      <c r="AE1176" s="79">
        <v>11.494030613333329</v>
      </c>
      <c r="AF1176" s="83"/>
      <c r="AG1176" s="84"/>
      <c r="AH1176" s="82"/>
      <c r="AO1176" s="85" t="s">
        <v>78</v>
      </c>
      <c r="AP1176" s="86">
        <v>2.76</v>
      </c>
      <c r="AQ1176" s="86">
        <v>2.4</v>
      </c>
      <c r="AR1176" s="86">
        <v>4.3</v>
      </c>
      <c r="AS1176" s="86">
        <v>1.9</v>
      </c>
      <c r="AT1176" s="86">
        <v>2.8</v>
      </c>
      <c r="AU1176" s="86">
        <v>2.4</v>
      </c>
      <c r="AV1176" s="86"/>
      <c r="AW1176" s="86"/>
      <c r="AX1176" s="86"/>
      <c r="AY1176" s="86"/>
      <c r="AZ1176" s="86"/>
      <c r="BA1176" s="86"/>
      <c r="BB1176" s="86"/>
      <c r="BC1176" s="86"/>
      <c r="BD1176" s="86"/>
      <c r="BE1176" s="86"/>
      <c r="BF1176" s="86"/>
      <c r="BG1176" s="86"/>
      <c r="BH1176" s="86"/>
      <c r="BI1176" s="86"/>
      <c r="BJ1176" s="86"/>
      <c r="BK1176" s="86"/>
      <c r="BL1176" s="86"/>
      <c r="BM1176" s="86"/>
      <c r="BN1176" s="86"/>
      <c r="BO1176" s="86"/>
    </row>
    <row r="1177" spans="1:67" s="81" customFormat="1" x14ac:dyDescent="0.2">
      <c r="A1177" s="69" t="s">
        <v>67</v>
      </c>
      <c r="B1177" s="74">
        <v>43171</v>
      </c>
      <c r="C1177" s="75">
        <v>0.62152777777777801</v>
      </c>
      <c r="D1177" s="69" t="s">
        <v>144</v>
      </c>
      <c r="E1177" s="69"/>
      <c r="F1177" s="76">
        <v>61</v>
      </c>
      <c r="G1177" s="69">
        <v>2</v>
      </c>
      <c r="H1177" s="77">
        <v>3.2786885245901641E-2</v>
      </c>
      <c r="I1177" s="78">
        <v>6.9746499000000003E-2</v>
      </c>
      <c r="J1177" s="69">
        <v>314.15899999999999</v>
      </c>
      <c r="K1177" s="69">
        <v>0.41847899399999999</v>
      </c>
      <c r="L1177" s="69">
        <v>6</v>
      </c>
      <c r="M1177" s="79">
        <v>375.35814760632883</v>
      </c>
      <c r="N1177" s="69">
        <v>1352</v>
      </c>
      <c r="O1177" s="80" t="s">
        <v>403</v>
      </c>
      <c r="P1177" s="80" t="s">
        <v>82</v>
      </c>
      <c r="Q1177" s="69" t="s">
        <v>119</v>
      </c>
      <c r="R1177" s="69" t="s">
        <v>84</v>
      </c>
      <c r="S1177" s="69"/>
      <c r="T1177" s="60">
        <v>1</v>
      </c>
      <c r="U1177" s="60">
        <v>1</v>
      </c>
      <c r="V1177" s="69">
        <v>12</v>
      </c>
      <c r="W1177" s="69"/>
      <c r="X1177" s="69"/>
      <c r="Y1177" s="9">
        <f t="shared" si="18"/>
        <v>375.35814760632883</v>
      </c>
      <c r="Z1177" s="60" t="s">
        <v>73</v>
      </c>
      <c r="AA1177" s="58" t="s">
        <v>402</v>
      </c>
      <c r="AB1177" s="81" t="s">
        <v>386</v>
      </c>
      <c r="AC1177" s="82" t="s">
        <v>404</v>
      </c>
      <c r="AD1177" s="69" t="s">
        <v>120</v>
      </c>
      <c r="AE1177" s="79">
        <v>543.43223819999992</v>
      </c>
      <c r="AF1177" s="83"/>
      <c r="AG1177" s="84"/>
      <c r="AH1177" s="82"/>
      <c r="AO1177" s="85" t="s">
        <v>78</v>
      </c>
      <c r="AP1177" s="86">
        <v>12</v>
      </c>
      <c r="AQ1177" s="86">
        <v>12</v>
      </c>
      <c r="AR1177" s="86"/>
      <c r="AS1177" s="86"/>
      <c r="AT1177" s="86"/>
      <c r="AU1177" s="86"/>
      <c r="AV1177" s="86"/>
      <c r="AW1177" s="86"/>
      <c r="AX1177" s="86"/>
      <c r="AY1177" s="86"/>
      <c r="AZ1177" s="86"/>
      <c r="BA1177" s="86"/>
      <c r="BB1177" s="86"/>
      <c r="BC1177" s="86"/>
      <c r="BD1177" s="86"/>
      <c r="BE1177" s="86"/>
      <c r="BF1177" s="86"/>
      <c r="BG1177" s="86"/>
      <c r="BH1177" s="86"/>
      <c r="BI1177" s="86"/>
      <c r="BJ1177" s="86"/>
      <c r="BK1177" s="86"/>
      <c r="BL1177" s="86"/>
      <c r="BM1177" s="86"/>
      <c r="BN1177" s="86"/>
      <c r="BO1177" s="86"/>
    </row>
    <row r="1178" spans="1:67" s="81" customFormat="1" x14ac:dyDescent="0.2">
      <c r="A1178" s="69"/>
      <c r="B1178" s="74"/>
      <c r="C1178" s="75"/>
      <c r="D1178" s="69"/>
      <c r="E1178" s="69"/>
      <c r="F1178" s="76"/>
      <c r="G1178" s="69"/>
      <c r="H1178" s="77"/>
      <c r="I1178" s="78"/>
      <c r="J1178" s="69"/>
      <c r="K1178" s="69"/>
      <c r="L1178" s="69"/>
      <c r="M1178" s="79"/>
      <c r="N1178" s="69"/>
      <c r="O1178" s="80"/>
      <c r="P1178" s="80"/>
      <c r="Q1178" s="69"/>
      <c r="R1178" s="69"/>
      <c r="S1178" s="69"/>
      <c r="T1178" s="60"/>
      <c r="U1178" s="60"/>
      <c r="V1178" s="69"/>
      <c r="W1178" s="69"/>
      <c r="X1178" s="69"/>
      <c r="Y1178" s="9" t="e">
        <f t="shared" si="18"/>
        <v>#DIV/0!</v>
      </c>
      <c r="Z1178" s="60"/>
      <c r="AC1178" s="82"/>
      <c r="AD1178" s="69"/>
      <c r="AE1178" s="79"/>
      <c r="AF1178" s="83"/>
      <c r="AG1178" s="84"/>
      <c r="AH1178" s="82"/>
      <c r="AO1178" s="64" t="s">
        <v>79</v>
      </c>
      <c r="AP1178" s="86">
        <v>9.3000000000000007</v>
      </c>
      <c r="AQ1178" s="86">
        <v>9.3000000000000007</v>
      </c>
      <c r="AR1178" s="86"/>
      <c r="AS1178" s="86"/>
      <c r="AT1178" s="86"/>
      <c r="AU1178" s="86"/>
      <c r="AV1178" s="86"/>
      <c r="AW1178" s="86"/>
      <c r="AX1178" s="86"/>
      <c r="AY1178" s="86"/>
      <c r="AZ1178" s="86"/>
      <c r="BA1178" s="86"/>
      <c r="BB1178" s="86"/>
      <c r="BC1178" s="86"/>
      <c r="BD1178" s="86"/>
      <c r="BE1178" s="86"/>
      <c r="BF1178" s="86"/>
      <c r="BG1178" s="86"/>
      <c r="BH1178" s="86"/>
      <c r="BI1178" s="86"/>
      <c r="BJ1178" s="86"/>
      <c r="BK1178" s="86"/>
      <c r="BL1178" s="86"/>
      <c r="BM1178" s="86"/>
      <c r="BN1178" s="86"/>
      <c r="BO1178" s="86"/>
    </row>
    <row r="1179" spans="1:67" s="81" customFormat="1" x14ac:dyDescent="0.2">
      <c r="A1179" s="69" t="s">
        <v>67</v>
      </c>
      <c r="B1179" s="74">
        <v>43171</v>
      </c>
      <c r="C1179" s="75">
        <v>0.62152777777777801</v>
      </c>
      <c r="D1179" s="69" t="s">
        <v>144</v>
      </c>
      <c r="E1179" s="69"/>
      <c r="F1179" s="76">
        <v>61</v>
      </c>
      <c r="G1179" s="69">
        <v>2</v>
      </c>
      <c r="H1179" s="77">
        <v>3.2786885245901641E-2</v>
      </c>
      <c r="I1179" s="78">
        <v>6.9746499000000003E-2</v>
      </c>
      <c r="J1179" s="69">
        <v>314.15899999999999</v>
      </c>
      <c r="K1179" s="69">
        <v>0.41847899399999999</v>
      </c>
      <c r="L1179" s="69">
        <v>6</v>
      </c>
      <c r="M1179" s="79">
        <v>375.35814760632883</v>
      </c>
      <c r="N1179" s="69">
        <v>1733</v>
      </c>
      <c r="O1179" s="80" t="s">
        <v>391</v>
      </c>
      <c r="P1179" s="80" t="s">
        <v>82</v>
      </c>
      <c r="Q1179" s="69" t="s">
        <v>89</v>
      </c>
      <c r="R1179" s="69" t="s">
        <v>93</v>
      </c>
      <c r="S1179" s="69"/>
      <c r="T1179" s="60">
        <v>8</v>
      </c>
      <c r="U1179" s="60">
        <v>8</v>
      </c>
      <c r="V1179" s="69">
        <v>6.3</v>
      </c>
      <c r="W1179" s="69"/>
      <c r="X1179" s="69"/>
      <c r="Y1179" s="9">
        <f t="shared" si="18"/>
        <v>3002.8651808506306</v>
      </c>
      <c r="Z1179" s="60" t="s">
        <v>73</v>
      </c>
      <c r="AA1179" s="58" t="s">
        <v>402</v>
      </c>
      <c r="AB1179" s="81" t="s">
        <v>386</v>
      </c>
      <c r="AC1179" s="82"/>
      <c r="AD1179" s="69" t="s">
        <v>91</v>
      </c>
      <c r="AE1179" s="79">
        <v>100.79084657249997</v>
      </c>
      <c r="AF1179" s="83"/>
      <c r="AG1179" s="84"/>
      <c r="AH1179" s="82"/>
      <c r="AO1179" s="85" t="s">
        <v>78</v>
      </c>
      <c r="AP1179" s="86">
        <v>6.28</v>
      </c>
      <c r="AQ1179" s="86">
        <v>6.1</v>
      </c>
      <c r="AR1179" s="86">
        <v>6.5</v>
      </c>
      <c r="AS1179" s="86">
        <v>7.4</v>
      </c>
      <c r="AT1179" s="86">
        <v>4.5999999999999996</v>
      </c>
      <c r="AU1179" s="86">
        <v>6.8</v>
      </c>
      <c r="AV1179" s="86"/>
      <c r="AW1179" s="86"/>
      <c r="AX1179" s="86"/>
      <c r="AY1179" s="86"/>
      <c r="AZ1179" s="86"/>
      <c r="BA1179" s="86"/>
      <c r="BB1179" s="86"/>
      <c r="BC1179" s="86"/>
      <c r="BD1179" s="86"/>
      <c r="BE1179" s="86"/>
      <c r="BF1179" s="86"/>
      <c r="BG1179" s="86"/>
      <c r="BH1179" s="86"/>
      <c r="BI1179" s="86"/>
      <c r="BJ1179" s="86"/>
      <c r="BK1179" s="86"/>
      <c r="BL1179" s="86"/>
      <c r="BM1179" s="86"/>
      <c r="BN1179" s="86"/>
      <c r="BO1179" s="86"/>
    </row>
    <row r="1180" spans="1:67" s="81" customFormat="1" x14ac:dyDescent="0.2">
      <c r="A1180" s="69"/>
      <c r="B1180" s="74"/>
      <c r="C1180" s="75"/>
      <c r="D1180" s="69"/>
      <c r="E1180" s="69"/>
      <c r="F1180" s="76"/>
      <c r="G1180" s="69"/>
      <c r="H1180" s="77"/>
      <c r="I1180" s="78"/>
      <c r="J1180" s="69"/>
      <c r="K1180" s="69"/>
      <c r="L1180" s="69"/>
      <c r="M1180" s="79"/>
      <c r="N1180" s="69"/>
      <c r="O1180" s="80"/>
      <c r="P1180" s="80"/>
      <c r="Q1180" s="69"/>
      <c r="R1180" s="69"/>
      <c r="S1180" s="69"/>
      <c r="T1180" s="60"/>
      <c r="U1180" s="60"/>
      <c r="V1180" s="69"/>
      <c r="W1180" s="69"/>
      <c r="X1180" s="69"/>
      <c r="Y1180" s="9" t="e">
        <f t="shared" si="18"/>
        <v>#DIV/0!</v>
      </c>
      <c r="Z1180" s="60"/>
      <c r="AC1180" s="82"/>
      <c r="AD1180" s="69"/>
      <c r="AE1180" s="79"/>
      <c r="AF1180" s="83"/>
      <c r="AG1180" s="84"/>
      <c r="AH1180" s="82"/>
      <c r="AO1180" s="64" t="s">
        <v>79</v>
      </c>
      <c r="AP1180" s="86">
        <v>3.4</v>
      </c>
      <c r="AQ1180" s="86">
        <v>3.7</v>
      </c>
      <c r="AR1180" s="86">
        <v>3.1</v>
      </c>
      <c r="AS1180" s="86">
        <v>3.7</v>
      </c>
      <c r="AT1180" s="86">
        <v>2.8</v>
      </c>
      <c r="AU1180" s="86">
        <v>3.7</v>
      </c>
      <c r="AV1180" s="86"/>
      <c r="AW1180" s="86"/>
      <c r="AX1180" s="86"/>
      <c r="AY1180" s="86"/>
      <c r="AZ1180" s="86"/>
      <c r="BA1180" s="86"/>
      <c r="BB1180" s="86"/>
      <c r="BC1180" s="86"/>
      <c r="BD1180" s="86"/>
      <c r="BE1180" s="86"/>
      <c r="BF1180" s="86"/>
      <c r="BG1180" s="86"/>
      <c r="BH1180" s="86"/>
      <c r="BI1180" s="86"/>
      <c r="BJ1180" s="86"/>
      <c r="BK1180" s="86"/>
      <c r="BL1180" s="86"/>
      <c r="BM1180" s="86"/>
      <c r="BN1180" s="86"/>
      <c r="BO1180" s="86"/>
    </row>
    <row r="1181" spans="1:67" s="81" customFormat="1" x14ac:dyDescent="0.2">
      <c r="A1181" s="69" t="s">
        <v>67</v>
      </c>
      <c r="B1181" s="74">
        <v>43171</v>
      </c>
      <c r="C1181" s="75">
        <v>0.62152777777777801</v>
      </c>
      <c r="D1181" s="69" t="s">
        <v>144</v>
      </c>
      <c r="E1181" s="69"/>
      <c r="F1181" s="76">
        <v>61</v>
      </c>
      <c r="G1181" s="69">
        <v>2</v>
      </c>
      <c r="H1181" s="77">
        <v>3.2786885245901641E-2</v>
      </c>
      <c r="I1181" s="78">
        <v>6.9746499000000003E-2</v>
      </c>
      <c r="J1181" s="69">
        <v>314.15899999999999</v>
      </c>
      <c r="K1181" s="69">
        <v>0.41847899399999999</v>
      </c>
      <c r="L1181" s="69">
        <v>6</v>
      </c>
      <c r="M1181" s="79">
        <v>375.35814760632883</v>
      </c>
      <c r="N1181" s="69">
        <v>1419</v>
      </c>
      <c r="O1181" s="80" t="s">
        <v>94</v>
      </c>
      <c r="P1181" s="80" t="s">
        <v>82</v>
      </c>
      <c r="Q1181" s="69" t="s">
        <v>95</v>
      </c>
      <c r="R1181" s="69" t="s">
        <v>96</v>
      </c>
      <c r="S1181" s="69"/>
      <c r="T1181" s="60">
        <v>400</v>
      </c>
      <c r="U1181" s="60">
        <v>813</v>
      </c>
      <c r="V1181" s="69">
        <v>0.9</v>
      </c>
      <c r="W1181" s="69">
        <v>0.9</v>
      </c>
      <c r="X1181" s="69">
        <v>0.9</v>
      </c>
      <c r="Y1181" s="9">
        <f t="shared" si="18"/>
        <v>150143.25904253151</v>
      </c>
      <c r="Z1181" s="60" t="s">
        <v>97</v>
      </c>
      <c r="AA1181" s="58" t="s">
        <v>402</v>
      </c>
      <c r="AB1181" s="81" t="s">
        <v>386</v>
      </c>
      <c r="AC1181" s="82"/>
      <c r="AD1181" s="69" t="s">
        <v>85</v>
      </c>
      <c r="AE1181" s="79">
        <v>0.11309723999999999</v>
      </c>
      <c r="AF1181" s="79">
        <v>0.17959422833333327</v>
      </c>
      <c r="AG1181" s="79">
        <v>0.11309723999999999</v>
      </c>
      <c r="AH1181" s="79">
        <v>0.26808234666666664</v>
      </c>
      <c r="AI1181" s="79">
        <v>0.381703185</v>
      </c>
      <c r="AJ1181" s="79">
        <v>0.17959422833333327</v>
      </c>
      <c r="AK1181" s="79">
        <v>0.26808234666666664</v>
      </c>
      <c r="AL1181" s="79">
        <v>0.11309723999999999</v>
      </c>
      <c r="AM1181" s="79">
        <v>0.11309723999999999</v>
      </c>
      <c r="AN1181" s="79">
        <v>0.17959422833333327</v>
      </c>
      <c r="AO1181" s="85" t="s">
        <v>78</v>
      </c>
      <c r="AP1181" s="86">
        <v>0.72399999999999987</v>
      </c>
      <c r="AQ1181" s="86">
        <v>0.6</v>
      </c>
      <c r="AR1181" s="86">
        <v>0.7</v>
      </c>
      <c r="AS1181" s="86">
        <v>0.6</v>
      </c>
      <c r="AT1181" s="86">
        <v>0.8</v>
      </c>
      <c r="AU1181" s="86">
        <v>0.9</v>
      </c>
      <c r="AV1181" s="86">
        <v>0.7</v>
      </c>
      <c r="AW1181" s="86">
        <v>0.8</v>
      </c>
      <c r="AX1181" s="86">
        <v>0.6</v>
      </c>
      <c r="AY1181" s="86">
        <v>0.6</v>
      </c>
      <c r="AZ1181" s="86">
        <v>0.7</v>
      </c>
      <c r="BA1181" s="86">
        <v>0.9</v>
      </c>
      <c r="BB1181" s="86">
        <v>0.7</v>
      </c>
      <c r="BC1181" s="86">
        <v>0.6</v>
      </c>
      <c r="BD1181" s="86">
        <v>0.7</v>
      </c>
      <c r="BE1181" s="86">
        <v>0.8</v>
      </c>
      <c r="BF1181" s="86">
        <v>0.9</v>
      </c>
      <c r="BG1181" s="86">
        <v>0.6</v>
      </c>
      <c r="BH1181" s="86">
        <v>0.7</v>
      </c>
      <c r="BI1181" s="86">
        <v>0.7</v>
      </c>
      <c r="BJ1181" s="86">
        <v>0.8</v>
      </c>
      <c r="BK1181" s="86">
        <v>0.8</v>
      </c>
      <c r="BL1181" s="86">
        <v>0.7</v>
      </c>
      <c r="BM1181" s="86">
        <v>0.6</v>
      </c>
      <c r="BN1181" s="86">
        <v>0.9</v>
      </c>
      <c r="BO1181" s="86">
        <v>0.7</v>
      </c>
    </row>
    <row r="1182" spans="1:67" s="58" customFormat="1" x14ac:dyDescent="0.2">
      <c r="A1182" s="49" t="s">
        <v>67</v>
      </c>
      <c r="B1182" s="50">
        <v>43389</v>
      </c>
      <c r="C1182" s="51">
        <v>0.53680555555555598</v>
      </c>
      <c r="D1182" s="49" t="s">
        <v>173</v>
      </c>
      <c r="E1182" s="49"/>
      <c r="F1182" s="52">
        <v>65</v>
      </c>
      <c r="G1182" s="53">
        <v>2</v>
      </c>
      <c r="H1182" s="54">
        <v>3.0769230769230771E-2</v>
      </c>
      <c r="I1182" s="55">
        <v>6.9746499000000003E-2</v>
      </c>
      <c r="J1182" s="53">
        <v>314.15899999999999</v>
      </c>
      <c r="K1182" s="53">
        <v>0.83695798799999999</v>
      </c>
      <c r="L1182" s="53">
        <v>12</v>
      </c>
      <c r="M1182" s="56">
        <v>187.67907380316441</v>
      </c>
      <c r="N1182" s="53">
        <v>145</v>
      </c>
      <c r="O1182" s="57" t="s">
        <v>69</v>
      </c>
      <c r="P1182" s="58" t="s">
        <v>70</v>
      </c>
      <c r="Q1182" s="53" t="s">
        <v>71</v>
      </c>
      <c r="R1182" s="53" t="s">
        <v>72</v>
      </c>
      <c r="S1182" s="53"/>
      <c r="T1182" s="59">
        <v>1</v>
      </c>
      <c r="U1182" s="59">
        <v>1</v>
      </c>
      <c r="V1182" s="53">
        <v>25.9</v>
      </c>
      <c r="W1182" s="53"/>
      <c r="X1182" s="53"/>
      <c r="Y1182" s="9">
        <f t="shared" si="18"/>
        <v>187.67907380316441</v>
      </c>
      <c r="Z1182" s="60" t="s">
        <v>73</v>
      </c>
      <c r="AA1182" s="58" t="s">
        <v>405</v>
      </c>
      <c r="AB1182" s="58" t="s">
        <v>386</v>
      </c>
      <c r="AC1182" s="61" t="s">
        <v>406</v>
      </c>
      <c r="AD1182" s="53" t="s">
        <v>77</v>
      </c>
      <c r="AE1182" s="56">
        <v>645.44516328249983</v>
      </c>
      <c r="AF1182" s="62"/>
      <c r="AG1182" s="63"/>
      <c r="AH1182" s="61"/>
      <c r="AO1182" s="64" t="s">
        <v>78</v>
      </c>
      <c r="AP1182" s="65">
        <v>25.9</v>
      </c>
      <c r="AQ1182" s="65">
        <v>25.9</v>
      </c>
      <c r="AR1182" s="65"/>
      <c r="AS1182" s="65"/>
      <c r="AT1182" s="65"/>
      <c r="AU1182" s="65"/>
      <c r="AV1182" s="65"/>
      <c r="AW1182" s="65"/>
      <c r="AX1182" s="65"/>
      <c r="AY1182" s="65"/>
      <c r="AZ1182" s="65"/>
      <c r="BA1182" s="65"/>
      <c r="BB1182" s="65"/>
      <c r="BC1182" s="65"/>
      <c r="BD1182" s="65"/>
      <c r="BE1182" s="65"/>
      <c r="BF1182" s="65"/>
      <c r="BG1182" s="65"/>
      <c r="BH1182" s="65"/>
      <c r="BI1182" s="65"/>
      <c r="BJ1182" s="65"/>
      <c r="BK1182" s="65"/>
      <c r="BL1182" s="65"/>
      <c r="BM1182" s="65"/>
      <c r="BN1182" s="65"/>
      <c r="BO1182" s="65"/>
    </row>
    <row r="1183" spans="1:67" s="58" customFormat="1" x14ac:dyDescent="0.2">
      <c r="A1183" s="49"/>
      <c r="B1183" s="50"/>
      <c r="C1183" s="51"/>
      <c r="D1183" s="49"/>
      <c r="E1183" s="49"/>
      <c r="F1183" s="52"/>
      <c r="G1183" s="53"/>
      <c r="H1183" s="54"/>
      <c r="I1183" s="55"/>
      <c r="J1183" s="53"/>
      <c r="K1183" s="53"/>
      <c r="L1183" s="53"/>
      <c r="M1183" s="56"/>
      <c r="N1183" s="53"/>
      <c r="O1183" s="57"/>
      <c r="Q1183" s="53"/>
      <c r="R1183" s="53"/>
      <c r="S1183" s="53"/>
      <c r="T1183" s="59"/>
      <c r="U1183" s="59"/>
      <c r="V1183" s="53"/>
      <c r="W1183" s="53"/>
      <c r="X1183" s="53"/>
      <c r="Y1183" s="9" t="e">
        <f t="shared" si="18"/>
        <v>#DIV/0!</v>
      </c>
      <c r="Z1183" s="60"/>
      <c r="AC1183" s="61"/>
      <c r="AD1183" s="53"/>
      <c r="AE1183" s="56"/>
      <c r="AF1183" s="62"/>
      <c r="AG1183" s="63"/>
      <c r="AH1183" s="61"/>
      <c r="AO1183" s="64" t="s">
        <v>79</v>
      </c>
      <c r="AP1183" s="65">
        <v>16.7</v>
      </c>
      <c r="AQ1183" s="65">
        <v>16.7</v>
      </c>
      <c r="AR1183" s="65"/>
      <c r="AS1183" s="65"/>
      <c r="AT1183" s="65"/>
      <c r="AU1183" s="65"/>
      <c r="AV1183" s="65"/>
      <c r="AW1183" s="65"/>
      <c r="AX1183" s="65"/>
      <c r="AY1183" s="65"/>
      <c r="AZ1183" s="65"/>
      <c r="BA1183" s="65"/>
      <c r="BB1183" s="65"/>
      <c r="BC1183" s="65"/>
      <c r="BD1183" s="65"/>
      <c r="BE1183" s="65"/>
      <c r="BF1183" s="65"/>
      <c r="BG1183" s="65"/>
      <c r="BH1183" s="65"/>
      <c r="BI1183" s="65"/>
      <c r="BJ1183" s="65"/>
      <c r="BK1183" s="65"/>
      <c r="BL1183" s="65"/>
      <c r="BM1183" s="65"/>
      <c r="BN1183" s="65"/>
      <c r="BO1183" s="65"/>
    </row>
    <row r="1184" spans="1:67" s="58" customFormat="1" x14ac:dyDescent="0.2">
      <c r="A1184" s="49"/>
      <c r="B1184" s="50"/>
      <c r="C1184" s="51"/>
      <c r="D1184" s="49"/>
      <c r="E1184" s="49"/>
      <c r="F1184" s="52"/>
      <c r="G1184" s="53"/>
      <c r="H1184" s="54"/>
      <c r="I1184" s="55"/>
      <c r="J1184" s="53"/>
      <c r="K1184" s="53"/>
      <c r="L1184" s="53"/>
      <c r="M1184" s="56"/>
      <c r="N1184" s="53"/>
      <c r="O1184" s="57"/>
      <c r="Q1184" s="53"/>
      <c r="R1184" s="53"/>
      <c r="S1184" s="53"/>
      <c r="T1184" s="59"/>
      <c r="U1184" s="59"/>
      <c r="V1184" s="53"/>
      <c r="W1184" s="53"/>
      <c r="X1184" s="53"/>
      <c r="Y1184" s="9" t="e">
        <f t="shared" si="18"/>
        <v>#DIV/0!</v>
      </c>
      <c r="Z1184" s="60"/>
      <c r="AC1184" s="61"/>
      <c r="AD1184" s="53"/>
      <c r="AE1184" s="56"/>
      <c r="AF1184" s="62"/>
      <c r="AG1184" s="63"/>
      <c r="AH1184" s="61"/>
      <c r="AO1184" s="64" t="s">
        <v>80</v>
      </c>
      <c r="AP1184" s="65">
        <v>1.9</v>
      </c>
      <c r="AQ1184" s="65">
        <v>1.9</v>
      </c>
      <c r="AR1184" s="65"/>
      <c r="AS1184" s="65"/>
      <c r="AT1184" s="65"/>
      <c r="AU1184" s="65"/>
      <c r="AV1184" s="65"/>
      <c r="AW1184" s="65"/>
      <c r="AX1184" s="65"/>
      <c r="AY1184" s="65"/>
      <c r="AZ1184" s="65"/>
      <c r="BA1184" s="65"/>
      <c r="BB1184" s="65"/>
      <c r="BC1184" s="65"/>
      <c r="BD1184" s="65"/>
      <c r="BE1184" s="65"/>
      <c r="BF1184" s="65"/>
      <c r="BG1184" s="65"/>
      <c r="BH1184" s="65"/>
      <c r="BI1184" s="65"/>
      <c r="BJ1184" s="65"/>
      <c r="BK1184" s="65"/>
      <c r="BL1184" s="65"/>
      <c r="BM1184" s="65"/>
      <c r="BN1184" s="65"/>
      <c r="BO1184" s="65"/>
    </row>
    <row r="1185" spans="1:67" s="58" customFormat="1" x14ac:dyDescent="0.2">
      <c r="A1185" s="49" t="s">
        <v>67</v>
      </c>
      <c r="B1185" s="50">
        <v>43389</v>
      </c>
      <c r="C1185" s="51">
        <v>0.53680555555555598</v>
      </c>
      <c r="D1185" s="49" t="s">
        <v>173</v>
      </c>
      <c r="E1185" s="49"/>
      <c r="F1185" s="52">
        <v>65</v>
      </c>
      <c r="G1185" s="53">
        <v>2</v>
      </c>
      <c r="H1185" s="54">
        <v>3.0769230769230771E-2</v>
      </c>
      <c r="I1185" s="55">
        <v>6.9746499000000003E-2</v>
      </c>
      <c r="J1185" s="53">
        <v>314.15899999999999</v>
      </c>
      <c r="K1185" s="53">
        <v>0.83695798799999999</v>
      </c>
      <c r="L1185" s="53">
        <v>12</v>
      </c>
      <c r="M1185" s="56">
        <v>187.67907380316441</v>
      </c>
      <c r="N1185" s="53">
        <v>1037</v>
      </c>
      <c r="O1185" s="57" t="s">
        <v>86</v>
      </c>
      <c r="P1185" s="57" t="s">
        <v>82</v>
      </c>
      <c r="Q1185" s="53" t="s">
        <v>87</v>
      </c>
      <c r="R1185" s="53" t="s">
        <v>84</v>
      </c>
      <c r="S1185" s="53"/>
      <c r="T1185" s="59">
        <v>29</v>
      </c>
      <c r="U1185" s="59">
        <v>29</v>
      </c>
      <c r="V1185" s="53">
        <v>3.7</v>
      </c>
      <c r="W1185" s="53"/>
      <c r="X1185" s="53"/>
      <c r="Y1185" s="9">
        <f t="shared" si="18"/>
        <v>5442.693140291768</v>
      </c>
      <c r="Z1185" s="60" t="s">
        <v>73</v>
      </c>
      <c r="AA1185" s="58" t="s">
        <v>405</v>
      </c>
      <c r="AB1185" s="58" t="s">
        <v>386</v>
      </c>
      <c r="AC1185" s="61" t="s">
        <v>406</v>
      </c>
      <c r="AD1185" s="53" t="s">
        <v>85</v>
      </c>
      <c r="AE1185" s="56">
        <v>14.137154999999998</v>
      </c>
      <c r="AF1185" s="62"/>
      <c r="AG1185" s="63"/>
      <c r="AH1185" s="61"/>
      <c r="AO1185" s="64" t="s">
        <v>78</v>
      </c>
      <c r="AP1185" s="65">
        <v>3.04</v>
      </c>
      <c r="AQ1185" s="65">
        <v>2.8</v>
      </c>
      <c r="AR1185" s="65">
        <v>2.8</v>
      </c>
      <c r="AS1185" s="65">
        <v>3.7</v>
      </c>
      <c r="AT1185" s="65">
        <v>3.1</v>
      </c>
      <c r="AU1185" s="65">
        <v>2.8</v>
      </c>
      <c r="AV1185" s="65"/>
      <c r="AW1185" s="65"/>
      <c r="AX1185" s="65"/>
      <c r="AY1185" s="65"/>
      <c r="AZ1185" s="65"/>
      <c r="BA1185" s="65"/>
      <c r="BB1185" s="65"/>
      <c r="BC1185" s="65"/>
      <c r="BD1185" s="65"/>
      <c r="BE1185" s="65"/>
      <c r="BF1185" s="65"/>
      <c r="BG1185" s="65"/>
      <c r="BH1185" s="65"/>
      <c r="BI1185" s="65"/>
      <c r="BJ1185" s="65"/>
      <c r="BK1185" s="65"/>
      <c r="BL1185" s="65"/>
      <c r="BM1185" s="65"/>
      <c r="BN1185" s="65"/>
      <c r="BO1185" s="65"/>
    </row>
    <row r="1186" spans="1:67" s="58" customFormat="1" x14ac:dyDescent="0.2">
      <c r="A1186" s="49" t="s">
        <v>67</v>
      </c>
      <c r="B1186" s="50">
        <v>43389</v>
      </c>
      <c r="C1186" s="51">
        <v>0.53680555555555598</v>
      </c>
      <c r="D1186" s="49" t="s">
        <v>173</v>
      </c>
      <c r="E1186" s="49"/>
      <c r="F1186" s="52">
        <v>65</v>
      </c>
      <c r="G1186" s="53">
        <v>2</v>
      </c>
      <c r="H1186" s="54">
        <v>3.0769230769230771E-2</v>
      </c>
      <c r="I1186" s="55">
        <v>6.9746499000000003E-2</v>
      </c>
      <c r="J1186" s="53">
        <v>314.15899999999999</v>
      </c>
      <c r="K1186" s="53">
        <v>0.83695798799999999</v>
      </c>
      <c r="L1186" s="53">
        <v>12</v>
      </c>
      <c r="M1186" s="56">
        <v>187.67907380316441</v>
      </c>
      <c r="N1186" s="53">
        <v>1364</v>
      </c>
      <c r="O1186" s="57" t="s">
        <v>88</v>
      </c>
      <c r="P1186" s="57" t="s">
        <v>82</v>
      </c>
      <c r="Q1186" s="53" t="s">
        <v>89</v>
      </c>
      <c r="R1186" s="53" t="s">
        <v>90</v>
      </c>
      <c r="S1186" s="53"/>
      <c r="T1186" s="59">
        <v>5</v>
      </c>
      <c r="U1186" s="59">
        <v>5</v>
      </c>
      <c r="V1186" s="53">
        <v>9.8000000000000007</v>
      </c>
      <c r="W1186" s="53"/>
      <c r="X1186" s="53"/>
      <c r="Y1186" s="9">
        <f t="shared" si="18"/>
        <v>938.3953690158221</v>
      </c>
      <c r="Z1186" s="60" t="s">
        <v>73</v>
      </c>
      <c r="AA1186" s="58" t="s">
        <v>405</v>
      </c>
      <c r="AB1186" s="58" t="s">
        <v>386</v>
      </c>
      <c r="AC1186" s="61" t="s">
        <v>406</v>
      </c>
      <c r="AD1186" s="53" t="s">
        <v>91</v>
      </c>
      <c r="AE1186" s="56">
        <v>290.31956788333332</v>
      </c>
      <c r="AF1186" s="62"/>
      <c r="AG1186" s="63"/>
      <c r="AH1186" s="61"/>
      <c r="AO1186" s="64" t="s">
        <v>78</v>
      </c>
      <c r="AP1186" s="65">
        <v>8.8800000000000008</v>
      </c>
      <c r="AQ1186" s="65">
        <v>9.3000000000000007</v>
      </c>
      <c r="AR1186" s="65">
        <v>8</v>
      </c>
      <c r="AS1186" s="65">
        <v>8</v>
      </c>
      <c r="AT1186" s="65">
        <v>9.8000000000000007</v>
      </c>
      <c r="AU1186" s="65">
        <v>9.3000000000000007</v>
      </c>
      <c r="AV1186" s="65"/>
      <c r="AW1186" s="65"/>
      <c r="AX1186" s="65"/>
      <c r="AY1186" s="65"/>
      <c r="AZ1186" s="65"/>
      <c r="BA1186" s="65"/>
      <c r="BB1186" s="65"/>
      <c r="BC1186" s="65"/>
      <c r="BD1186" s="65"/>
      <c r="BE1186" s="65"/>
      <c r="BF1186" s="65"/>
      <c r="BG1186" s="65"/>
      <c r="BH1186" s="65"/>
      <c r="BI1186" s="65"/>
      <c r="BJ1186" s="65"/>
      <c r="BK1186" s="65"/>
      <c r="BL1186" s="65"/>
      <c r="BM1186" s="65"/>
      <c r="BN1186" s="65"/>
      <c r="BO1186" s="65"/>
    </row>
    <row r="1187" spans="1:67" s="58" customFormat="1" x14ac:dyDescent="0.2">
      <c r="A1187" s="49"/>
      <c r="B1187" s="50"/>
      <c r="C1187" s="51"/>
      <c r="D1187" s="49"/>
      <c r="E1187" s="49"/>
      <c r="F1187" s="52"/>
      <c r="G1187" s="53"/>
      <c r="H1187" s="54"/>
      <c r="I1187" s="55"/>
      <c r="J1187" s="53"/>
      <c r="K1187" s="53"/>
      <c r="L1187" s="53"/>
      <c r="M1187" s="56"/>
      <c r="N1187" s="53"/>
      <c r="O1187" s="57"/>
      <c r="P1187" s="57"/>
      <c r="Q1187" s="53"/>
      <c r="R1187" s="53"/>
      <c r="S1187" s="53"/>
      <c r="T1187" s="59"/>
      <c r="U1187" s="59"/>
      <c r="V1187" s="53"/>
      <c r="W1187" s="53"/>
      <c r="X1187" s="53"/>
      <c r="Y1187" s="9" t="e">
        <f t="shared" si="18"/>
        <v>#DIV/0!</v>
      </c>
      <c r="Z1187" s="60"/>
      <c r="AC1187" s="61"/>
      <c r="AD1187" s="53"/>
      <c r="AE1187" s="56"/>
      <c r="AF1187" s="62"/>
      <c r="AG1187" s="63"/>
      <c r="AH1187" s="61"/>
      <c r="AO1187" s="64" t="s">
        <v>79</v>
      </c>
      <c r="AP1187" s="65">
        <v>5.0999999999999996</v>
      </c>
      <c r="AQ1187" s="65">
        <v>5.6</v>
      </c>
      <c r="AR1187" s="65">
        <v>5.6</v>
      </c>
      <c r="AS1187" s="65">
        <v>3.7</v>
      </c>
      <c r="AT1187" s="65">
        <v>5</v>
      </c>
      <c r="AU1187" s="65">
        <v>5.6</v>
      </c>
      <c r="AV1187" s="65"/>
      <c r="AW1187" s="65"/>
      <c r="AX1187" s="65"/>
      <c r="AY1187" s="65"/>
      <c r="AZ1187" s="65"/>
      <c r="BA1187" s="65"/>
      <c r="BB1187" s="65"/>
      <c r="BC1187" s="65"/>
      <c r="BD1187" s="65"/>
      <c r="BE1187" s="65"/>
      <c r="BF1187" s="65"/>
      <c r="BG1187" s="65"/>
      <c r="BH1187" s="65"/>
      <c r="BI1187" s="65"/>
      <c r="BJ1187" s="65"/>
      <c r="BK1187" s="65"/>
      <c r="BL1187" s="65"/>
      <c r="BM1187" s="65"/>
      <c r="BN1187" s="65"/>
      <c r="BO1187" s="65"/>
    </row>
    <row r="1188" spans="1:67" s="58" customFormat="1" x14ac:dyDescent="0.2">
      <c r="A1188" s="49" t="s">
        <v>67</v>
      </c>
      <c r="B1188" s="50">
        <v>43389</v>
      </c>
      <c r="C1188" s="51">
        <v>0.53680555555555598</v>
      </c>
      <c r="D1188" s="49" t="s">
        <v>173</v>
      </c>
      <c r="E1188" s="49"/>
      <c r="F1188" s="52">
        <v>65</v>
      </c>
      <c r="G1188" s="53">
        <v>2</v>
      </c>
      <c r="H1188" s="54">
        <v>3.0769230769230771E-2</v>
      </c>
      <c r="I1188" s="55">
        <v>6.9746499000000003E-2</v>
      </c>
      <c r="J1188" s="53">
        <v>314.15899999999999</v>
      </c>
      <c r="K1188" s="53">
        <v>0.83695798799999999</v>
      </c>
      <c r="L1188" s="53">
        <v>12</v>
      </c>
      <c r="M1188" s="56">
        <v>187.67907380316441</v>
      </c>
      <c r="N1188" s="53">
        <v>1419</v>
      </c>
      <c r="O1188" s="57" t="s">
        <v>94</v>
      </c>
      <c r="P1188" s="57" t="s">
        <v>82</v>
      </c>
      <c r="Q1188" s="53" t="s">
        <v>95</v>
      </c>
      <c r="R1188" s="53" t="s">
        <v>96</v>
      </c>
      <c r="S1188" s="53"/>
      <c r="T1188" s="59">
        <v>395</v>
      </c>
      <c r="U1188" s="59">
        <v>794</v>
      </c>
      <c r="V1188" s="53">
        <v>0.9</v>
      </c>
      <c r="W1188" s="53">
        <v>0.9</v>
      </c>
      <c r="X1188" s="53">
        <v>0.9</v>
      </c>
      <c r="Y1188" s="9">
        <f t="shared" si="18"/>
        <v>74133.234152249948</v>
      </c>
      <c r="Z1188" s="60" t="s">
        <v>97</v>
      </c>
      <c r="AA1188" s="58" t="s">
        <v>405</v>
      </c>
      <c r="AB1188" s="58" t="s">
        <v>386</v>
      </c>
      <c r="AC1188" s="61" t="s">
        <v>406</v>
      </c>
      <c r="AD1188" s="53" t="s">
        <v>85</v>
      </c>
      <c r="AE1188" s="56">
        <v>0.11309723999999999</v>
      </c>
      <c r="AF1188" s="56">
        <v>0.17959422833333327</v>
      </c>
      <c r="AG1188" s="56">
        <v>0.11309723999999999</v>
      </c>
      <c r="AH1188" s="56">
        <v>0.26808234666666664</v>
      </c>
      <c r="AI1188" s="56">
        <v>0.381703185</v>
      </c>
      <c r="AJ1188" s="56">
        <v>0.17959422833333327</v>
      </c>
      <c r="AK1188" s="56">
        <v>0.26808234666666664</v>
      </c>
      <c r="AL1188" s="56">
        <v>0.11309723999999999</v>
      </c>
      <c r="AM1188" s="56">
        <v>0.11309723999999999</v>
      </c>
      <c r="AN1188" s="56">
        <v>0.17959422833333327</v>
      </c>
      <c r="AO1188" s="66" t="s">
        <v>78</v>
      </c>
      <c r="AP1188" s="65">
        <v>0.72399999999999987</v>
      </c>
      <c r="AQ1188" s="65">
        <v>0.6</v>
      </c>
      <c r="AR1188" s="65">
        <v>0.7</v>
      </c>
      <c r="AS1188" s="65">
        <v>0.6</v>
      </c>
      <c r="AT1188" s="65">
        <v>0.8</v>
      </c>
      <c r="AU1188" s="65">
        <v>0.9</v>
      </c>
      <c r="AV1188" s="65">
        <v>0.7</v>
      </c>
      <c r="AW1188" s="65">
        <v>0.8</v>
      </c>
      <c r="AX1188" s="65">
        <v>0.6</v>
      </c>
      <c r="AY1188" s="65">
        <v>0.6</v>
      </c>
      <c r="AZ1188" s="65">
        <v>0.7</v>
      </c>
      <c r="BA1188" s="65">
        <v>0.9</v>
      </c>
      <c r="BB1188" s="65">
        <v>0.7</v>
      </c>
      <c r="BC1188" s="65">
        <v>0.6</v>
      </c>
      <c r="BD1188" s="65">
        <v>0.7</v>
      </c>
      <c r="BE1188" s="65">
        <v>0.8</v>
      </c>
      <c r="BF1188" s="65">
        <v>0.9</v>
      </c>
      <c r="BG1188" s="65">
        <v>0.6</v>
      </c>
      <c r="BH1188" s="65">
        <v>0.7</v>
      </c>
      <c r="BI1188" s="65">
        <v>0.7</v>
      </c>
      <c r="BJ1188" s="65">
        <v>0.8</v>
      </c>
      <c r="BK1188" s="65">
        <v>0.8</v>
      </c>
      <c r="BL1188" s="65">
        <v>0.7</v>
      </c>
      <c r="BM1188" s="65">
        <v>0.6</v>
      </c>
      <c r="BN1188" s="65">
        <v>0.9</v>
      </c>
      <c r="BO1188" s="65">
        <v>0.7</v>
      </c>
    </row>
    <row r="1189" spans="1:67" s="58" customFormat="1" x14ac:dyDescent="0.2">
      <c r="A1189" s="49" t="s">
        <v>67</v>
      </c>
      <c r="B1189" s="50">
        <v>43171</v>
      </c>
      <c r="C1189" s="51">
        <v>0.67013888888888895</v>
      </c>
      <c r="D1189" s="49" t="s">
        <v>194</v>
      </c>
      <c r="E1189" s="49"/>
      <c r="F1189" s="52">
        <v>64</v>
      </c>
      <c r="G1189" s="53">
        <v>3</v>
      </c>
      <c r="H1189" s="54">
        <v>4.6875E-2</v>
      </c>
      <c r="I1189" s="55">
        <v>6.9746499000000003E-2</v>
      </c>
      <c r="J1189" s="53">
        <v>314.15899999999999</v>
      </c>
      <c r="K1189" s="53">
        <v>0.41847899399999999</v>
      </c>
      <c r="L1189" s="53">
        <v>6</v>
      </c>
      <c r="M1189" s="56">
        <v>250.23876507088588</v>
      </c>
      <c r="N1189" s="53">
        <v>190</v>
      </c>
      <c r="O1189" s="57" t="s">
        <v>296</v>
      </c>
      <c r="P1189" s="58" t="s">
        <v>70</v>
      </c>
      <c r="Q1189" s="53" t="s">
        <v>103</v>
      </c>
      <c r="R1189" s="53" t="s">
        <v>84</v>
      </c>
      <c r="S1189" s="53"/>
      <c r="T1189" s="59">
        <v>3</v>
      </c>
      <c r="U1189" s="59">
        <v>3</v>
      </c>
      <c r="V1189" s="53">
        <v>13</v>
      </c>
      <c r="W1189" s="53"/>
      <c r="X1189" s="53"/>
      <c r="Y1189" s="9">
        <f t="shared" si="18"/>
        <v>750.71629521265766</v>
      </c>
      <c r="Z1189" s="60" t="s">
        <v>73</v>
      </c>
      <c r="AA1189" s="58" t="s">
        <v>407</v>
      </c>
      <c r="AB1189" s="58" t="s">
        <v>386</v>
      </c>
      <c r="AC1189" s="61"/>
      <c r="AD1189" s="53" t="s">
        <v>104</v>
      </c>
      <c r="AE1189" s="56">
        <v>857.41530915999999</v>
      </c>
      <c r="AF1189" s="62"/>
      <c r="AG1189" s="63"/>
      <c r="AH1189" s="61"/>
      <c r="AO1189" s="64" t="s">
        <v>78</v>
      </c>
      <c r="AP1189" s="65">
        <v>7.1000000000000005</v>
      </c>
      <c r="AQ1189" s="65">
        <v>8.3000000000000007</v>
      </c>
      <c r="AR1189" s="65">
        <v>6.5</v>
      </c>
      <c r="AS1189" s="65">
        <v>6.5</v>
      </c>
      <c r="AT1189" s="65"/>
      <c r="AU1189" s="65"/>
      <c r="AV1189" s="65"/>
      <c r="AW1189" s="65"/>
      <c r="AX1189" s="65"/>
      <c r="AY1189" s="65"/>
      <c r="AZ1189" s="65"/>
      <c r="BA1189" s="65"/>
      <c r="BB1189" s="65"/>
      <c r="BC1189" s="65"/>
      <c r="BD1189" s="65"/>
      <c r="BE1189" s="65"/>
      <c r="BF1189" s="65"/>
      <c r="BG1189" s="65"/>
      <c r="BH1189" s="65"/>
      <c r="BI1189" s="65"/>
      <c r="BJ1189" s="65"/>
      <c r="BK1189" s="65"/>
      <c r="BL1189" s="65"/>
      <c r="BM1189" s="65"/>
      <c r="BN1189" s="65"/>
      <c r="BO1189" s="65"/>
    </row>
    <row r="1190" spans="1:67" s="58" customFormat="1" x14ac:dyDescent="0.2">
      <c r="A1190" s="49"/>
      <c r="B1190" s="50"/>
      <c r="C1190" s="51"/>
      <c r="D1190" s="49"/>
      <c r="E1190" s="49"/>
      <c r="F1190" s="52"/>
      <c r="G1190" s="53"/>
      <c r="H1190" s="54"/>
      <c r="I1190" s="55"/>
      <c r="J1190" s="53"/>
      <c r="K1190" s="53"/>
      <c r="L1190" s="53"/>
      <c r="M1190" s="56"/>
      <c r="N1190" s="53"/>
      <c r="O1190" s="57"/>
      <c r="Q1190" s="53"/>
      <c r="R1190" s="53"/>
      <c r="S1190" s="53"/>
      <c r="T1190" s="59"/>
      <c r="U1190" s="59"/>
      <c r="V1190" s="53"/>
      <c r="W1190" s="53"/>
      <c r="X1190" s="53"/>
      <c r="Y1190" s="9" t="e">
        <f t="shared" si="18"/>
        <v>#DIV/0!</v>
      </c>
      <c r="Z1190" s="60"/>
      <c r="AC1190" s="61"/>
      <c r="AD1190" s="53"/>
      <c r="AE1190" s="56"/>
      <c r="AF1190" s="62"/>
      <c r="AG1190" s="63"/>
      <c r="AH1190" s="61"/>
      <c r="AO1190" s="64" t="s">
        <v>79</v>
      </c>
      <c r="AP1190" s="65">
        <v>12.366666666666667</v>
      </c>
      <c r="AQ1190" s="65">
        <v>11.1</v>
      </c>
      <c r="AR1190" s="65">
        <v>13</v>
      </c>
      <c r="AS1190" s="65">
        <v>13</v>
      </c>
      <c r="AT1190" s="65"/>
      <c r="AU1190" s="65"/>
      <c r="AV1190" s="65"/>
      <c r="AW1190" s="65"/>
      <c r="AX1190" s="65"/>
      <c r="AY1190" s="65"/>
      <c r="AZ1190" s="65"/>
      <c r="BA1190" s="65"/>
      <c r="BB1190" s="65"/>
      <c r="BC1190" s="65"/>
      <c r="BD1190" s="65"/>
      <c r="BE1190" s="65"/>
      <c r="BF1190" s="65"/>
      <c r="BG1190" s="65"/>
      <c r="BH1190" s="65"/>
      <c r="BI1190" s="65"/>
      <c r="BJ1190" s="65"/>
      <c r="BK1190" s="65"/>
      <c r="BL1190" s="65"/>
      <c r="BM1190" s="65"/>
      <c r="BN1190" s="65"/>
      <c r="BO1190" s="65"/>
    </row>
    <row r="1191" spans="1:67" s="58" customFormat="1" x14ac:dyDescent="0.2">
      <c r="A1191" s="49" t="s">
        <v>67</v>
      </c>
      <c r="B1191" s="50">
        <v>43171</v>
      </c>
      <c r="C1191" s="51">
        <v>0.67013888888888895</v>
      </c>
      <c r="D1191" s="49" t="s">
        <v>194</v>
      </c>
      <c r="E1191" s="49"/>
      <c r="F1191" s="52">
        <v>64</v>
      </c>
      <c r="G1191" s="53">
        <v>3</v>
      </c>
      <c r="H1191" s="54">
        <v>4.6875E-2</v>
      </c>
      <c r="I1191" s="55">
        <v>6.9746499000000003E-2</v>
      </c>
      <c r="J1191" s="53">
        <v>314.15899999999999</v>
      </c>
      <c r="K1191" s="53">
        <v>0.41847899399999999</v>
      </c>
      <c r="L1191" s="53">
        <v>6</v>
      </c>
      <c r="M1191" s="56">
        <v>250.23876507088588</v>
      </c>
      <c r="N1191" s="53">
        <v>720</v>
      </c>
      <c r="O1191" s="57" t="s">
        <v>408</v>
      </c>
      <c r="P1191" s="58" t="s">
        <v>70</v>
      </c>
      <c r="Q1191" s="53" t="s">
        <v>191</v>
      </c>
      <c r="R1191" s="53" t="s">
        <v>409</v>
      </c>
      <c r="S1191" s="53"/>
      <c r="T1191" s="59">
        <v>1</v>
      </c>
      <c r="U1191" s="59">
        <v>1</v>
      </c>
      <c r="V1191" s="53">
        <v>87</v>
      </c>
      <c r="W1191" s="53"/>
      <c r="X1191" s="53"/>
      <c r="Y1191" s="9">
        <f t="shared" si="18"/>
        <v>250.23876507088588</v>
      </c>
      <c r="Z1191" s="60" t="s">
        <v>73</v>
      </c>
      <c r="AA1191" s="58" t="s">
        <v>407</v>
      </c>
      <c r="AB1191" s="58" t="s">
        <v>386</v>
      </c>
      <c r="AC1191" s="61"/>
      <c r="AD1191" s="53" t="s">
        <v>193</v>
      </c>
      <c r="AE1191" s="56">
        <v>1837.875</v>
      </c>
      <c r="AF1191" s="62"/>
      <c r="AG1191" s="63"/>
      <c r="AH1191" s="61"/>
      <c r="AO1191" s="64" t="s">
        <v>78</v>
      </c>
      <c r="AP1191" s="65">
        <v>87</v>
      </c>
      <c r="AQ1191" s="65">
        <v>87</v>
      </c>
      <c r="AR1191" s="65"/>
      <c r="AS1191" s="65"/>
      <c r="AT1191" s="65"/>
      <c r="AU1191" s="65"/>
      <c r="AV1191" s="65"/>
      <c r="AW1191" s="65"/>
      <c r="AX1191" s="65"/>
      <c r="AY1191" s="65"/>
      <c r="AZ1191" s="65"/>
      <c r="BA1191" s="65"/>
      <c r="BB1191" s="65"/>
      <c r="BC1191" s="65"/>
      <c r="BD1191" s="65"/>
      <c r="BE1191" s="65"/>
      <c r="BF1191" s="65"/>
      <c r="BG1191" s="65"/>
      <c r="BH1191" s="65"/>
      <c r="BI1191" s="65"/>
      <c r="BJ1191" s="65"/>
      <c r="BK1191" s="65"/>
      <c r="BL1191" s="65"/>
      <c r="BM1191" s="65"/>
      <c r="BN1191" s="65"/>
      <c r="BO1191" s="65"/>
    </row>
    <row r="1192" spans="1:67" s="58" customFormat="1" x14ac:dyDescent="0.2">
      <c r="A1192" s="49"/>
      <c r="B1192" s="50"/>
      <c r="C1192" s="51"/>
      <c r="D1192" s="49"/>
      <c r="E1192" s="49"/>
      <c r="F1192" s="52"/>
      <c r="G1192" s="53"/>
      <c r="H1192" s="54"/>
      <c r="I1192" s="55"/>
      <c r="J1192" s="53"/>
      <c r="K1192" s="53"/>
      <c r="L1192" s="53"/>
      <c r="M1192" s="56"/>
      <c r="N1192" s="53"/>
      <c r="O1192" s="57"/>
      <c r="Q1192" s="53"/>
      <c r="R1192" s="53"/>
      <c r="S1192" s="53"/>
      <c r="T1192" s="59"/>
      <c r="U1192" s="59"/>
      <c r="V1192" s="53"/>
      <c r="W1192" s="53"/>
      <c r="X1192" s="53"/>
      <c r="Y1192" s="9" t="e">
        <f t="shared" si="18"/>
        <v>#DIV/0!</v>
      </c>
      <c r="Z1192" s="60"/>
      <c r="AC1192" s="61"/>
      <c r="AD1192" s="53"/>
      <c r="AE1192" s="56"/>
      <c r="AF1192" s="62"/>
      <c r="AG1192" s="63"/>
      <c r="AH1192" s="61"/>
      <c r="AO1192" s="64" t="s">
        <v>79</v>
      </c>
      <c r="AP1192" s="65">
        <v>6.5</v>
      </c>
      <c r="AQ1192" s="65">
        <v>6.5</v>
      </c>
      <c r="AR1192" s="65"/>
      <c r="AS1192" s="65"/>
      <c r="AT1192" s="65"/>
      <c r="AU1192" s="65"/>
      <c r="AV1192" s="65"/>
      <c r="AW1192" s="65"/>
      <c r="AX1192" s="65"/>
      <c r="AY1192" s="65"/>
      <c r="AZ1192" s="65"/>
      <c r="BA1192" s="65"/>
      <c r="BB1192" s="65"/>
      <c r="BC1192" s="65"/>
      <c r="BD1192" s="65"/>
      <c r="BE1192" s="65"/>
      <c r="BF1192" s="65"/>
      <c r="BG1192" s="65"/>
      <c r="BH1192" s="65"/>
      <c r="BI1192" s="65"/>
      <c r="BJ1192" s="65"/>
      <c r="BK1192" s="65"/>
      <c r="BL1192" s="65"/>
      <c r="BM1192" s="65"/>
      <c r="BN1192" s="65"/>
      <c r="BO1192" s="65"/>
    </row>
    <row r="1193" spans="1:67" s="58" customFormat="1" x14ac:dyDescent="0.2">
      <c r="A1193" s="49"/>
      <c r="B1193" s="50"/>
      <c r="C1193" s="51"/>
      <c r="D1193" s="49"/>
      <c r="E1193" s="49"/>
      <c r="F1193" s="52"/>
      <c r="G1193" s="53"/>
      <c r="H1193" s="54"/>
      <c r="I1193" s="55"/>
      <c r="J1193" s="53"/>
      <c r="K1193" s="53"/>
      <c r="L1193" s="53"/>
      <c r="M1193" s="56"/>
      <c r="N1193" s="53"/>
      <c r="O1193" s="57"/>
      <c r="Q1193" s="53"/>
      <c r="R1193" s="53"/>
      <c r="S1193" s="53"/>
      <c r="T1193" s="59"/>
      <c r="U1193" s="59"/>
      <c r="V1193" s="53"/>
      <c r="W1193" s="53"/>
      <c r="X1193" s="53"/>
      <c r="Y1193" s="9" t="e">
        <f t="shared" si="18"/>
        <v>#DIV/0!</v>
      </c>
      <c r="Z1193" s="60"/>
      <c r="AC1193" s="61"/>
      <c r="AD1193" s="53"/>
      <c r="AE1193" s="56"/>
      <c r="AF1193" s="62"/>
      <c r="AG1193" s="63"/>
      <c r="AH1193" s="61"/>
      <c r="AO1193" s="64" t="s">
        <v>80</v>
      </c>
      <c r="AP1193" s="65">
        <v>6.5</v>
      </c>
      <c r="AQ1193" s="65">
        <v>6.5</v>
      </c>
      <c r="AR1193" s="65"/>
      <c r="AS1193" s="65"/>
      <c r="AT1193" s="65"/>
      <c r="AU1193" s="65"/>
      <c r="AV1193" s="65"/>
      <c r="AW1193" s="65"/>
      <c r="AX1193" s="65"/>
      <c r="AY1193" s="65"/>
      <c r="AZ1193" s="65"/>
      <c r="BA1193" s="65"/>
      <c r="BB1193" s="65"/>
      <c r="BC1193" s="65"/>
      <c r="BD1193" s="65"/>
      <c r="BE1193" s="65"/>
      <c r="BF1193" s="65"/>
      <c r="BG1193" s="65"/>
      <c r="BH1193" s="65"/>
      <c r="BI1193" s="65"/>
      <c r="BJ1193" s="65"/>
      <c r="BK1193" s="65"/>
      <c r="BL1193" s="65"/>
      <c r="BM1193" s="65"/>
      <c r="BN1193" s="65"/>
      <c r="BO1193" s="65"/>
    </row>
    <row r="1194" spans="1:67" s="58" customFormat="1" x14ac:dyDescent="0.2">
      <c r="A1194" s="49" t="s">
        <v>67</v>
      </c>
      <c r="B1194" s="50">
        <v>43171</v>
      </c>
      <c r="C1194" s="51">
        <v>0.67013888888888895</v>
      </c>
      <c r="D1194" s="49" t="s">
        <v>194</v>
      </c>
      <c r="E1194" s="49"/>
      <c r="F1194" s="52">
        <v>64</v>
      </c>
      <c r="G1194" s="53">
        <v>3</v>
      </c>
      <c r="H1194" s="54">
        <v>4.6875E-2</v>
      </c>
      <c r="I1194" s="55">
        <v>6.9746499000000003E-2</v>
      </c>
      <c r="J1194" s="53">
        <v>314.15899999999999</v>
      </c>
      <c r="K1194" s="53">
        <v>0.41847899399999999</v>
      </c>
      <c r="L1194" s="53">
        <v>6</v>
      </c>
      <c r="M1194" s="56">
        <v>250.23876507088588</v>
      </c>
      <c r="N1194" s="53">
        <v>1037</v>
      </c>
      <c r="O1194" s="57" t="s">
        <v>86</v>
      </c>
      <c r="P1194" s="57" t="s">
        <v>82</v>
      </c>
      <c r="Q1194" s="53" t="s">
        <v>87</v>
      </c>
      <c r="R1194" s="53" t="s">
        <v>84</v>
      </c>
      <c r="S1194" s="53"/>
      <c r="T1194" s="59">
        <v>19</v>
      </c>
      <c r="U1194" s="59">
        <v>19</v>
      </c>
      <c r="V1194" s="53">
        <v>4.3</v>
      </c>
      <c r="W1194" s="53"/>
      <c r="X1194" s="53"/>
      <c r="Y1194" s="9">
        <f t="shared" si="18"/>
        <v>4754.5365363468318</v>
      </c>
      <c r="Z1194" s="60" t="s">
        <v>73</v>
      </c>
      <c r="AA1194" s="58" t="s">
        <v>407</v>
      </c>
      <c r="AB1194" s="58" t="s">
        <v>386</v>
      </c>
      <c r="AC1194" s="61"/>
      <c r="AD1194" s="53" t="s">
        <v>85</v>
      </c>
      <c r="AE1194" s="56">
        <v>12.770039751666664</v>
      </c>
      <c r="AF1194" s="62"/>
      <c r="AG1194" s="63"/>
      <c r="AH1194" s="61"/>
      <c r="AO1194" s="64" t="s">
        <v>78</v>
      </c>
      <c r="AP1194" s="65">
        <v>2.9400000000000004</v>
      </c>
      <c r="AQ1194" s="65">
        <v>2.8</v>
      </c>
      <c r="AR1194" s="65">
        <v>2.4</v>
      </c>
      <c r="AS1194" s="65">
        <v>4.3</v>
      </c>
      <c r="AT1194" s="65">
        <v>2.8</v>
      </c>
      <c r="AU1194" s="65">
        <v>2.4</v>
      </c>
      <c r="AV1194" s="65"/>
      <c r="AW1194" s="65"/>
      <c r="AX1194" s="65"/>
      <c r="AY1194" s="65"/>
      <c r="AZ1194" s="65"/>
      <c r="BA1194" s="65"/>
      <c r="BB1194" s="65"/>
      <c r="BC1194" s="65"/>
      <c r="BD1194" s="65"/>
      <c r="BE1194" s="65"/>
      <c r="BF1194" s="65"/>
      <c r="BG1194" s="65"/>
      <c r="BH1194" s="65"/>
      <c r="BI1194" s="65"/>
      <c r="BJ1194" s="65"/>
      <c r="BK1194" s="65"/>
      <c r="BL1194" s="65"/>
      <c r="BM1194" s="65"/>
      <c r="BN1194" s="65"/>
      <c r="BO1194" s="65"/>
    </row>
    <row r="1195" spans="1:67" s="58" customFormat="1" x14ac:dyDescent="0.2">
      <c r="A1195" s="49" t="s">
        <v>67</v>
      </c>
      <c r="B1195" s="50">
        <v>43171</v>
      </c>
      <c r="C1195" s="51">
        <v>0.67013888888888895</v>
      </c>
      <c r="D1195" s="49" t="s">
        <v>194</v>
      </c>
      <c r="E1195" s="49"/>
      <c r="F1195" s="52">
        <v>64</v>
      </c>
      <c r="G1195" s="53">
        <v>3</v>
      </c>
      <c r="H1195" s="54">
        <v>4.6875E-2</v>
      </c>
      <c r="I1195" s="55">
        <v>6.9746499000000003E-2</v>
      </c>
      <c r="J1195" s="53">
        <v>314.15899999999999</v>
      </c>
      <c r="K1195" s="53">
        <v>0.41847899399999999</v>
      </c>
      <c r="L1195" s="53">
        <v>6</v>
      </c>
      <c r="M1195" s="56">
        <v>250.23876507088588</v>
      </c>
      <c r="N1195" s="53">
        <v>1761</v>
      </c>
      <c r="O1195" s="57" t="s">
        <v>287</v>
      </c>
      <c r="P1195" s="57" t="s">
        <v>82</v>
      </c>
      <c r="Q1195" s="53" t="s">
        <v>288</v>
      </c>
      <c r="R1195" s="53" t="s">
        <v>289</v>
      </c>
      <c r="S1195" s="53"/>
      <c r="T1195" s="59">
        <v>1</v>
      </c>
      <c r="U1195" s="59">
        <v>1</v>
      </c>
      <c r="V1195" s="53">
        <v>3.1</v>
      </c>
      <c r="W1195" s="53"/>
      <c r="X1195" s="53"/>
      <c r="Y1195" s="9">
        <f t="shared" si="18"/>
        <v>250.23876507088588</v>
      </c>
      <c r="Z1195" s="60" t="s">
        <v>73</v>
      </c>
      <c r="AA1195" s="58" t="s">
        <v>407</v>
      </c>
      <c r="AB1195" s="58" t="s">
        <v>386</v>
      </c>
      <c r="AC1195" s="61"/>
      <c r="AD1195" s="53" t="s">
        <v>215</v>
      </c>
      <c r="AE1195" s="56">
        <v>2.2584105112500001</v>
      </c>
      <c r="AF1195" s="62"/>
      <c r="AG1195" s="63"/>
      <c r="AH1195" s="61"/>
      <c r="AO1195" s="64" t="s">
        <v>78</v>
      </c>
      <c r="AP1195" s="65">
        <v>3.1</v>
      </c>
      <c r="AQ1195" s="65">
        <v>3.1</v>
      </c>
      <c r="AR1195" s="65"/>
      <c r="AS1195" s="65"/>
      <c r="AT1195" s="65"/>
      <c r="AU1195" s="65"/>
      <c r="AV1195" s="65"/>
      <c r="AW1195" s="65"/>
      <c r="AX1195" s="65"/>
      <c r="AY1195" s="65"/>
      <c r="AZ1195" s="65"/>
      <c r="BA1195" s="65"/>
      <c r="BB1195" s="65"/>
      <c r="BC1195" s="65"/>
      <c r="BD1195" s="65"/>
      <c r="BE1195" s="65"/>
      <c r="BF1195" s="65"/>
      <c r="BG1195" s="65"/>
      <c r="BH1195" s="65"/>
      <c r="BI1195" s="65"/>
      <c r="BJ1195" s="65"/>
      <c r="BK1195" s="65"/>
      <c r="BL1195" s="65"/>
      <c r="BM1195" s="65"/>
      <c r="BN1195" s="65"/>
      <c r="BO1195" s="65"/>
    </row>
    <row r="1196" spans="1:67" s="58" customFormat="1" x14ac:dyDescent="0.2">
      <c r="A1196" s="49"/>
      <c r="B1196" s="50"/>
      <c r="C1196" s="51"/>
      <c r="D1196" s="49"/>
      <c r="E1196" s="49"/>
      <c r="F1196" s="52"/>
      <c r="G1196" s="53"/>
      <c r="H1196" s="54"/>
      <c r="I1196" s="55"/>
      <c r="J1196" s="53"/>
      <c r="K1196" s="53"/>
      <c r="L1196" s="53"/>
      <c r="M1196" s="56"/>
      <c r="N1196" s="53"/>
      <c r="O1196" s="57"/>
      <c r="P1196" s="57"/>
      <c r="Q1196" s="53"/>
      <c r="R1196" s="53"/>
      <c r="S1196" s="53"/>
      <c r="T1196" s="59"/>
      <c r="U1196" s="59"/>
      <c r="V1196" s="53"/>
      <c r="W1196" s="53"/>
      <c r="X1196" s="53"/>
      <c r="Y1196" s="9" t="e">
        <f t="shared" si="18"/>
        <v>#DIV/0!</v>
      </c>
      <c r="Z1196" s="60"/>
      <c r="AC1196" s="61"/>
      <c r="AD1196" s="53"/>
      <c r="AE1196" s="56"/>
      <c r="AF1196" s="62"/>
      <c r="AG1196" s="63"/>
      <c r="AH1196" s="61"/>
      <c r="AO1196" s="64" t="s">
        <v>79</v>
      </c>
      <c r="AP1196" s="65">
        <v>0.9</v>
      </c>
      <c r="AQ1196" s="65">
        <v>0.9</v>
      </c>
      <c r="AR1196" s="65"/>
      <c r="AS1196" s="65"/>
      <c r="AT1196" s="65"/>
      <c r="AU1196" s="65"/>
      <c r="AV1196" s="65"/>
      <c r="AW1196" s="65"/>
      <c r="AX1196" s="65"/>
      <c r="AY1196" s="65"/>
      <c r="AZ1196" s="65"/>
      <c r="BA1196" s="65"/>
      <c r="BB1196" s="65"/>
      <c r="BC1196" s="65"/>
      <c r="BD1196" s="65"/>
      <c r="BE1196" s="65"/>
      <c r="BF1196" s="65"/>
      <c r="BG1196" s="65"/>
      <c r="BH1196" s="65"/>
      <c r="BI1196" s="65"/>
      <c r="BJ1196" s="65"/>
      <c r="BK1196" s="65"/>
      <c r="BL1196" s="65"/>
      <c r="BM1196" s="65"/>
      <c r="BN1196" s="65"/>
      <c r="BO1196" s="65"/>
    </row>
    <row r="1197" spans="1:67" s="58" customFormat="1" x14ac:dyDescent="0.2">
      <c r="A1197" s="49"/>
      <c r="B1197" s="50"/>
      <c r="C1197" s="51"/>
      <c r="D1197" s="49"/>
      <c r="E1197" s="49"/>
      <c r="F1197" s="52"/>
      <c r="G1197" s="53"/>
      <c r="H1197" s="54"/>
      <c r="I1197" s="55"/>
      <c r="J1197" s="53"/>
      <c r="K1197" s="53"/>
      <c r="L1197" s="53"/>
      <c r="M1197" s="56"/>
      <c r="N1197" s="53"/>
      <c r="O1197" s="57"/>
      <c r="P1197" s="57"/>
      <c r="Q1197" s="53"/>
      <c r="R1197" s="53"/>
      <c r="S1197" s="53"/>
      <c r="T1197" s="59"/>
      <c r="U1197" s="59"/>
      <c r="V1197" s="53"/>
      <c r="W1197" s="53"/>
      <c r="X1197" s="53"/>
      <c r="Y1197" s="9" t="e">
        <f t="shared" si="18"/>
        <v>#DIV/0!</v>
      </c>
      <c r="Z1197" s="60"/>
      <c r="AC1197" s="61"/>
      <c r="AD1197" s="53"/>
      <c r="AE1197" s="56"/>
      <c r="AF1197" s="62"/>
      <c r="AG1197" s="63"/>
      <c r="AH1197" s="61"/>
      <c r="AO1197" s="64" t="s">
        <v>80</v>
      </c>
      <c r="AP1197" s="65">
        <v>0.9</v>
      </c>
      <c r="AQ1197" s="65">
        <v>0.9</v>
      </c>
      <c r="AR1197" s="65"/>
      <c r="AS1197" s="65"/>
      <c r="AT1197" s="65"/>
      <c r="AU1197" s="65"/>
      <c r="AV1197" s="65"/>
      <c r="AW1197" s="65"/>
      <c r="AX1197" s="65"/>
      <c r="AY1197" s="65"/>
      <c r="AZ1197" s="65"/>
      <c r="BA1197" s="65"/>
      <c r="BB1197" s="65"/>
      <c r="BC1197" s="65"/>
      <c r="BD1197" s="65"/>
      <c r="BE1197" s="65"/>
      <c r="BF1197" s="65"/>
      <c r="BG1197" s="65"/>
      <c r="BH1197" s="65"/>
      <c r="BI1197" s="65"/>
      <c r="BJ1197" s="65"/>
      <c r="BK1197" s="65"/>
      <c r="BL1197" s="65"/>
      <c r="BM1197" s="65"/>
      <c r="BN1197" s="65"/>
      <c r="BO1197" s="65"/>
    </row>
    <row r="1198" spans="1:67" s="58" customFormat="1" x14ac:dyDescent="0.2">
      <c r="A1198" s="49" t="s">
        <v>67</v>
      </c>
      <c r="B1198" s="50">
        <v>43171</v>
      </c>
      <c r="C1198" s="51">
        <v>0.67013888888888895</v>
      </c>
      <c r="D1198" s="49" t="s">
        <v>194</v>
      </c>
      <c r="E1198" s="49"/>
      <c r="F1198" s="52">
        <v>64</v>
      </c>
      <c r="G1198" s="53">
        <v>3</v>
      </c>
      <c r="H1198" s="54">
        <v>4.6875E-2</v>
      </c>
      <c r="I1198" s="55">
        <v>6.9746499000000003E-2</v>
      </c>
      <c r="J1198" s="53">
        <v>314.15899999999999</v>
      </c>
      <c r="K1198" s="53">
        <v>0.41847899399999999</v>
      </c>
      <c r="L1198" s="53">
        <v>6</v>
      </c>
      <c r="M1198" s="56">
        <v>250.23876507088588</v>
      </c>
      <c r="N1198" s="53">
        <v>1352</v>
      </c>
      <c r="O1198" s="57" t="s">
        <v>118</v>
      </c>
      <c r="P1198" s="57" t="s">
        <v>82</v>
      </c>
      <c r="Q1198" s="53" t="s">
        <v>119</v>
      </c>
      <c r="R1198" s="53" t="s">
        <v>84</v>
      </c>
      <c r="S1198" s="53"/>
      <c r="T1198" s="59">
        <v>1</v>
      </c>
      <c r="U1198" s="59">
        <v>1</v>
      </c>
      <c r="V1198" s="53">
        <v>14.8</v>
      </c>
      <c r="W1198" s="53"/>
      <c r="X1198" s="53"/>
      <c r="Y1198" s="9">
        <f t="shared" si="18"/>
        <v>250.23876507088588</v>
      </c>
      <c r="Z1198" s="60" t="s">
        <v>73</v>
      </c>
      <c r="AA1198" s="58" t="s">
        <v>407</v>
      </c>
      <c r="AB1198" s="58" t="s">
        <v>386</v>
      </c>
      <c r="AC1198" s="61"/>
      <c r="AD1198" s="53" t="s">
        <v>120</v>
      </c>
      <c r="AE1198" s="56">
        <v>670.23309377999999</v>
      </c>
      <c r="AF1198" s="62"/>
      <c r="AG1198" s="63"/>
      <c r="AH1198" s="61"/>
      <c r="AO1198" s="64" t="s">
        <v>78</v>
      </c>
      <c r="AP1198" s="65">
        <v>14.8</v>
      </c>
      <c r="AQ1198" s="65">
        <v>14.8</v>
      </c>
      <c r="AR1198" s="65"/>
      <c r="AS1198" s="65"/>
      <c r="AT1198" s="65"/>
      <c r="AU1198" s="65"/>
      <c r="AV1198" s="65"/>
      <c r="AW1198" s="65"/>
      <c r="AX1198" s="65"/>
      <c r="AY1198" s="65"/>
      <c r="AZ1198" s="65"/>
      <c r="BA1198" s="65"/>
      <c r="BB1198" s="65"/>
      <c r="BC1198" s="65"/>
      <c r="BD1198" s="65"/>
      <c r="BE1198" s="65"/>
      <c r="BF1198" s="65"/>
      <c r="BG1198" s="65"/>
      <c r="BH1198" s="65"/>
      <c r="BI1198" s="65"/>
      <c r="BJ1198" s="65"/>
      <c r="BK1198" s="65"/>
      <c r="BL1198" s="65"/>
      <c r="BM1198" s="65"/>
      <c r="BN1198" s="65"/>
      <c r="BO1198" s="65"/>
    </row>
    <row r="1199" spans="1:67" s="58" customFormat="1" x14ac:dyDescent="0.2">
      <c r="A1199" s="49"/>
      <c r="B1199" s="50"/>
      <c r="C1199" s="51"/>
      <c r="D1199" s="49"/>
      <c r="E1199" s="49"/>
      <c r="F1199" s="52"/>
      <c r="G1199" s="53"/>
      <c r="H1199" s="54"/>
      <c r="I1199" s="55"/>
      <c r="J1199" s="53"/>
      <c r="K1199" s="53"/>
      <c r="L1199" s="53"/>
      <c r="M1199" s="56"/>
      <c r="N1199" s="53"/>
      <c r="O1199" s="57"/>
      <c r="P1199" s="57"/>
      <c r="Q1199" s="53"/>
      <c r="R1199" s="53"/>
      <c r="S1199" s="53"/>
      <c r="T1199" s="59"/>
      <c r="U1199" s="59"/>
      <c r="V1199" s="53"/>
      <c r="W1199" s="53"/>
      <c r="X1199" s="53"/>
      <c r="Y1199" s="9" t="e">
        <f t="shared" si="18"/>
        <v>#DIV/0!</v>
      </c>
      <c r="Z1199" s="60"/>
      <c r="AC1199" s="61"/>
      <c r="AD1199" s="53"/>
      <c r="AE1199" s="56"/>
      <c r="AF1199" s="62"/>
      <c r="AG1199" s="63"/>
      <c r="AH1199" s="61"/>
      <c r="AO1199" s="64" t="s">
        <v>79</v>
      </c>
      <c r="AP1199" s="65">
        <v>9.3000000000000007</v>
      </c>
      <c r="AQ1199" s="65">
        <v>9.3000000000000007</v>
      </c>
      <c r="AR1199" s="65"/>
      <c r="AS1199" s="65"/>
      <c r="AT1199" s="65"/>
      <c r="AU1199" s="65"/>
      <c r="AV1199" s="65"/>
      <c r="AW1199" s="65"/>
      <c r="AX1199" s="65"/>
      <c r="AY1199" s="65"/>
      <c r="AZ1199" s="65"/>
      <c r="BA1199" s="65"/>
      <c r="BB1199" s="65"/>
      <c r="BC1199" s="65"/>
      <c r="BD1199" s="65"/>
      <c r="BE1199" s="65"/>
      <c r="BF1199" s="65"/>
      <c r="BG1199" s="65"/>
      <c r="BH1199" s="65"/>
      <c r="BI1199" s="65"/>
      <c r="BJ1199" s="65"/>
      <c r="BK1199" s="65"/>
      <c r="BL1199" s="65"/>
      <c r="BM1199" s="65"/>
      <c r="BN1199" s="65"/>
      <c r="BO1199" s="65"/>
    </row>
    <row r="1200" spans="1:67" s="58" customFormat="1" x14ac:dyDescent="0.2">
      <c r="A1200" s="49" t="s">
        <v>67</v>
      </c>
      <c r="B1200" s="50">
        <v>43171</v>
      </c>
      <c r="C1200" s="51">
        <v>0.67013888888888895</v>
      </c>
      <c r="D1200" s="49" t="s">
        <v>194</v>
      </c>
      <c r="E1200" s="49"/>
      <c r="F1200" s="52">
        <v>64</v>
      </c>
      <c r="G1200" s="53">
        <v>3</v>
      </c>
      <c r="H1200" s="54">
        <v>4.6875E-2</v>
      </c>
      <c r="I1200" s="55">
        <v>6.9746499000000003E-2</v>
      </c>
      <c r="J1200" s="53">
        <v>314.15899999999999</v>
      </c>
      <c r="K1200" s="53">
        <v>0.41847899399999999</v>
      </c>
      <c r="L1200" s="53">
        <v>6</v>
      </c>
      <c r="M1200" s="56">
        <v>250.23876507088588</v>
      </c>
      <c r="N1200" s="53">
        <v>1733</v>
      </c>
      <c r="O1200" s="57" t="s">
        <v>391</v>
      </c>
      <c r="P1200" s="57" t="s">
        <v>82</v>
      </c>
      <c r="Q1200" s="53" t="s">
        <v>89</v>
      </c>
      <c r="R1200" s="53" t="s">
        <v>93</v>
      </c>
      <c r="S1200" s="53"/>
      <c r="T1200" s="59">
        <v>4</v>
      </c>
      <c r="U1200" s="59">
        <v>4</v>
      </c>
      <c r="V1200" s="53">
        <v>7.4</v>
      </c>
      <c r="W1200" s="53"/>
      <c r="X1200" s="53"/>
      <c r="Y1200" s="9">
        <f t="shared" si="18"/>
        <v>1000.9550602835435</v>
      </c>
      <c r="Z1200" s="60" t="s">
        <v>73</v>
      </c>
      <c r="AA1200" s="58" t="s">
        <v>407</v>
      </c>
      <c r="AB1200" s="58" t="s">
        <v>386</v>
      </c>
      <c r="AC1200" s="61"/>
      <c r="AD1200" s="53" t="s">
        <v>91</v>
      </c>
      <c r="AE1200" s="56">
        <v>130.74040943999998</v>
      </c>
      <c r="AF1200" s="62"/>
      <c r="AG1200" s="63"/>
      <c r="AH1200" s="61"/>
      <c r="AO1200" s="64" t="s">
        <v>78</v>
      </c>
      <c r="AP1200" s="65">
        <v>6.7750000000000004</v>
      </c>
      <c r="AQ1200" s="65">
        <v>6.8</v>
      </c>
      <c r="AR1200" s="65">
        <v>6.1</v>
      </c>
      <c r="AS1200" s="65">
        <v>6.8</v>
      </c>
      <c r="AT1200" s="65">
        <v>7.4</v>
      </c>
      <c r="AU1200" s="65"/>
      <c r="AV1200" s="65"/>
      <c r="AW1200" s="65"/>
      <c r="AX1200" s="65"/>
      <c r="AY1200" s="65"/>
      <c r="AZ1200" s="65"/>
      <c r="BA1200" s="65"/>
      <c r="BB1200" s="65"/>
      <c r="BC1200" s="65"/>
      <c r="BD1200" s="65"/>
      <c r="BE1200" s="65"/>
      <c r="BF1200" s="65"/>
      <c r="BG1200" s="65"/>
      <c r="BH1200" s="65"/>
      <c r="BI1200" s="65"/>
      <c r="BJ1200" s="65"/>
      <c r="BK1200" s="65"/>
      <c r="BL1200" s="65"/>
      <c r="BM1200" s="65"/>
      <c r="BN1200" s="65"/>
      <c r="BO1200" s="65"/>
    </row>
    <row r="1201" spans="1:67" s="58" customFormat="1" x14ac:dyDescent="0.2">
      <c r="A1201" s="49"/>
      <c r="B1201" s="50"/>
      <c r="C1201" s="51"/>
      <c r="D1201" s="49"/>
      <c r="E1201" s="49"/>
      <c r="F1201" s="52"/>
      <c r="G1201" s="53"/>
      <c r="H1201" s="54"/>
      <c r="I1201" s="55"/>
      <c r="J1201" s="53"/>
      <c r="K1201" s="53"/>
      <c r="L1201" s="53"/>
      <c r="M1201" s="56"/>
      <c r="N1201" s="53"/>
      <c r="O1201" s="57"/>
      <c r="P1201" s="57"/>
      <c r="Q1201" s="53"/>
      <c r="R1201" s="53"/>
      <c r="S1201" s="53"/>
      <c r="T1201" s="59"/>
      <c r="U1201" s="59"/>
      <c r="V1201" s="53"/>
      <c r="W1201" s="53"/>
      <c r="X1201" s="53"/>
      <c r="Y1201" s="9" t="e">
        <f t="shared" si="18"/>
        <v>#DIV/0!</v>
      </c>
      <c r="Z1201" s="60"/>
      <c r="AC1201" s="61"/>
      <c r="AD1201" s="53"/>
      <c r="AE1201" s="56"/>
      <c r="AF1201" s="62"/>
      <c r="AG1201" s="63"/>
      <c r="AH1201" s="61"/>
      <c r="AO1201" s="64" t="s">
        <v>79</v>
      </c>
      <c r="AP1201" s="65">
        <v>4</v>
      </c>
      <c r="AQ1201" s="65">
        <v>4.3</v>
      </c>
      <c r="AR1201" s="65">
        <v>3.7</v>
      </c>
      <c r="AS1201" s="65">
        <v>3.7</v>
      </c>
      <c r="AT1201" s="65">
        <v>4.3</v>
      </c>
      <c r="AU1201" s="65"/>
      <c r="AV1201" s="65"/>
      <c r="AW1201" s="65"/>
      <c r="AX1201" s="65"/>
      <c r="AY1201" s="65"/>
      <c r="AZ1201" s="65"/>
      <c r="BA1201" s="65"/>
      <c r="BB1201" s="65"/>
      <c r="BC1201" s="65"/>
      <c r="BD1201" s="65"/>
      <c r="BE1201" s="65"/>
      <c r="BF1201" s="65"/>
      <c r="BG1201" s="65"/>
      <c r="BH1201" s="65"/>
      <c r="BI1201" s="65"/>
      <c r="BJ1201" s="65"/>
      <c r="BK1201" s="65"/>
      <c r="BL1201" s="65"/>
      <c r="BM1201" s="65"/>
      <c r="BN1201" s="65"/>
      <c r="BO1201" s="65"/>
    </row>
    <row r="1202" spans="1:67" s="58" customFormat="1" x14ac:dyDescent="0.2">
      <c r="A1202" s="49" t="s">
        <v>67</v>
      </c>
      <c r="B1202" s="50">
        <v>43171</v>
      </c>
      <c r="C1202" s="51">
        <v>0.67013888888888895</v>
      </c>
      <c r="D1202" s="49" t="s">
        <v>194</v>
      </c>
      <c r="E1202" s="49"/>
      <c r="F1202" s="52">
        <v>64</v>
      </c>
      <c r="G1202" s="53">
        <v>3</v>
      </c>
      <c r="H1202" s="54">
        <v>4.6875E-2</v>
      </c>
      <c r="I1202" s="55">
        <v>6.9746499000000003E-2</v>
      </c>
      <c r="J1202" s="53">
        <v>314.15899999999999</v>
      </c>
      <c r="K1202" s="53">
        <v>0.41847899399999999</v>
      </c>
      <c r="L1202" s="53">
        <v>6</v>
      </c>
      <c r="M1202" s="56">
        <v>250.23876507088588</v>
      </c>
      <c r="N1202" s="53">
        <v>1419</v>
      </c>
      <c r="O1202" s="57" t="s">
        <v>94</v>
      </c>
      <c r="P1202" s="57" t="s">
        <v>82</v>
      </c>
      <c r="Q1202" s="53" t="s">
        <v>95</v>
      </c>
      <c r="R1202" s="53" t="s">
        <v>96</v>
      </c>
      <c r="S1202" s="53"/>
      <c r="T1202" s="59">
        <v>387</v>
      </c>
      <c r="U1202" s="59">
        <v>788</v>
      </c>
      <c r="V1202" s="53">
        <v>0.9</v>
      </c>
      <c r="W1202" s="53">
        <v>0.9</v>
      </c>
      <c r="X1202" s="53">
        <v>0.9</v>
      </c>
      <c r="Y1202" s="9">
        <f t="shared" si="18"/>
        <v>96842.402082432833</v>
      </c>
      <c r="Z1202" s="60" t="s">
        <v>97</v>
      </c>
      <c r="AA1202" s="58" t="s">
        <v>407</v>
      </c>
      <c r="AB1202" s="58" t="s">
        <v>386</v>
      </c>
      <c r="AC1202" s="61"/>
      <c r="AD1202" s="53" t="s">
        <v>85</v>
      </c>
      <c r="AE1202" s="56">
        <v>0.11309723999999999</v>
      </c>
      <c r="AF1202" s="56">
        <v>0.17959422833333327</v>
      </c>
      <c r="AG1202" s="56">
        <v>0.11309723999999999</v>
      </c>
      <c r="AH1202" s="56">
        <v>0.26808234666666664</v>
      </c>
      <c r="AI1202" s="56">
        <v>0.381703185</v>
      </c>
      <c r="AJ1202" s="56">
        <v>0.17959422833333327</v>
      </c>
      <c r="AK1202" s="56">
        <v>0.26808234666666664</v>
      </c>
      <c r="AL1202" s="56">
        <v>0.11309723999999999</v>
      </c>
      <c r="AM1202" s="56">
        <v>0.11309723999999999</v>
      </c>
      <c r="AN1202" s="56">
        <v>0.17959422833333327</v>
      </c>
      <c r="AO1202" s="66" t="s">
        <v>78</v>
      </c>
      <c r="AP1202" s="65">
        <v>0.72399999999999987</v>
      </c>
      <c r="AQ1202" s="65">
        <v>0.6</v>
      </c>
      <c r="AR1202" s="65">
        <v>0.7</v>
      </c>
      <c r="AS1202" s="65">
        <v>0.6</v>
      </c>
      <c r="AT1202" s="65">
        <v>0.8</v>
      </c>
      <c r="AU1202" s="65">
        <v>0.9</v>
      </c>
      <c r="AV1202" s="65">
        <v>0.7</v>
      </c>
      <c r="AW1202" s="65">
        <v>0.8</v>
      </c>
      <c r="AX1202" s="65">
        <v>0.6</v>
      </c>
      <c r="AY1202" s="65">
        <v>0.6</v>
      </c>
      <c r="AZ1202" s="65">
        <v>0.7</v>
      </c>
      <c r="BA1202" s="65">
        <v>0.9</v>
      </c>
      <c r="BB1202" s="65">
        <v>0.7</v>
      </c>
      <c r="BC1202" s="65">
        <v>0.6</v>
      </c>
      <c r="BD1202" s="65">
        <v>0.7</v>
      </c>
      <c r="BE1202" s="65">
        <v>0.8</v>
      </c>
      <c r="BF1202" s="65">
        <v>0.9</v>
      </c>
      <c r="BG1202" s="65">
        <v>0.6</v>
      </c>
      <c r="BH1202" s="65">
        <v>0.7</v>
      </c>
      <c r="BI1202" s="65">
        <v>0.7</v>
      </c>
      <c r="BJ1202" s="65">
        <v>0.8</v>
      </c>
      <c r="BK1202" s="65">
        <v>0.8</v>
      </c>
      <c r="BL1202" s="65">
        <v>0.7</v>
      </c>
      <c r="BM1202" s="65">
        <v>0.6</v>
      </c>
      <c r="BN1202" s="65">
        <v>0.9</v>
      </c>
      <c r="BO1202" s="65">
        <v>0.7</v>
      </c>
    </row>
    <row r="1203" spans="1:67" s="81" customFormat="1" x14ac:dyDescent="0.2">
      <c r="A1203" s="69" t="s">
        <v>67</v>
      </c>
      <c r="B1203" s="74">
        <v>43389</v>
      </c>
      <c r="C1203" s="75">
        <v>0.57638888888888895</v>
      </c>
      <c r="D1203" s="69" t="s">
        <v>189</v>
      </c>
      <c r="E1203" s="69">
        <v>3</v>
      </c>
      <c r="F1203" s="76">
        <v>58</v>
      </c>
      <c r="G1203" s="69">
        <v>2</v>
      </c>
      <c r="H1203" s="77">
        <v>3.4482758620689655E-2</v>
      </c>
      <c r="I1203" s="78">
        <v>6.9746499000000003E-2</v>
      </c>
      <c r="J1203" s="69">
        <v>314.15899999999999</v>
      </c>
      <c r="K1203" s="69">
        <v>0.48822549300000001</v>
      </c>
      <c r="L1203" s="69">
        <v>7</v>
      </c>
      <c r="M1203" s="79">
        <v>321.73555509113896</v>
      </c>
      <c r="N1203" s="69">
        <v>190</v>
      </c>
      <c r="O1203" s="80" t="s">
        <v>296</v>
      </c>
      <c r="P1203" s="81" t="s">
        <v>70</v>
      </c>
      <c r="Q1203" s="69" t="s">
        <v>103</v>
      </c>
      <c r="R1203" s="69" t="s">
        <v>84</v>
      </c>
      <c r="S1203" s="69"/>
      <c r="T1203" s="60">
        <v>1</v>
      </c>
      <c r="U1203" s="60">
        <v>1</v>
      </c>
      <c r="V1203" s="69">
        <v>5.6</v>
      </c>
      <c r="W1203" s="69"/>
      <c r="X1203" s="69"/>
      <c r="Y1203" s="9">
        <f t="shared" si="18"/>
        <v>321.73555509113896</v>
      </c>
      <c r="Z1203" s="60" t="s">
        <v>73</v>
      </c>
      <c r="AA1203" s="58" t="s">
        <v>410</v>
      </c>
      <c r="AB1203" s="81" t="s">
        <v>386</v>
      </c>
      <c r="AC1203" s="82" t="s">
        <v>406</v>
      </c>
      <c r="AD1203" s="69" t="s">
        <v>104</v>
      </c>
      <c r="AE1203" s="79">
        <v>91.131242719999989</v>
      </c>
      <c r="AF1203" s="83"/>
      <c r="AG1203" s="84"/>
      <c r="AH1203" s="82"/>
      <c r="AO1203" s="85" t="s">
        <v>78</v>
      </c>
      <c r="AP1203" s="86">
        <v>3.7</v>
      </c>
      <c r="AQ1203" s="86">
        <v>3.7</v>
      </c>
      <c r="AR1203" s="86"/>
      <c r="AS1203" s="86"/>
      <c r="AT1203" s="86"/>
      <c r="AU1203" s="86"/>
      <c r="AV1203" s="86"/>
      <c r="AW1203" s="86"/>
      <c r="AX1203" s="86"/>
      <c r="AY1203" s="86"/>
      <c r="AZ1203" s="86"/>
      <c r="BA1203" s="86"/>
      <c r="BB1203" s="86"/>
      <c r="BC1203" s="86"/>
      <c r="BD1203" s="86"/>
      <c r="BE1203" s="86"/>
      <c r="BF1203" s="86"/>
      <c r="BG1203" s="86"/>
      <c r="BH1203" s="86"/>
      <c r="BI1203" s="86"/>
      <c r="BJ1203" s="86"/>
      <c r="BK1203" s="86"/>
      <c r="BL1203" s="86"/>
      <c r="BM1203" s="86"/>
      <c r="BN1203" s="86"/>
      <c r="BO1203" s="86"/>
    </row>
    <row r="1204" spans="1:67" s="81" customFormat="1" x14ac:dyDescent="0.2">
      <c r="A1204" s="69"/>
      <c r="B1204" s="74"/>
      <c r="C1204" s="75"/>
      <c r="D1204" s="69"/>
      <c r="E1204" s="69"/>
      <c r="F1204" s="76"/>
      <c r="G1204" s="69"/>
      <c r="H1204" s="77"/>
      <c r="I1204" s="78"/>
      <c r="J1204" s="69"/>
      <c r="K1204" s="69"/>
      <c r="L1204" s="69"/>
      <c r="M1204" s="79"/>
      <c r="N1204" s="69"/>
      <c r="O1204" s="80"/>
      <c r="Q1204" s="69"/>
      <c r="R1204" s="69"/>
      <c r="S1204" s="69"/>
      <c r="T1204" s="60"/>
      <c r="U1204" s="60"/>
      <c r="V1204" s="69"/>
      <c r="W1204" s="69"/>
      <c r="X1204" s="69"/>
      <c r="Y1204" s="9" t="e">
        <f t="shared" si="18"/>
        <v>#DIV/0!</v>
      </c>
      <c r="Z1204" s="60"/>
      <c r="AC1204" s="82"/>
      <c r="AD1204" s="69"/>
      <c r="AE1204" s="79"/>
      <c r="AF1204" s="83"/>
      <c r="AG1204" s="84"/>
      <c r="AH1204" s="82"/>
      <c r="AO1204" s="64" t="s">
        <v>79</v>
      </c>
      <c r="AP1204" s="86">
        <v>5.6</v>
      </c>
      <c r="AQ1204" s="86">
        <v>5.6</v>
      </c>
      <c r="AR1204" s="86"/>
      <c r="AS1204" s="86"/>
      <c r="AT1204" s="86"/>
      <c r="AU1204" s="86"/>
      <c r="AV1204" s="86"/>
      <c r="AW1204" s="86"/>
      <c r="AX1204" s="86"/>
      <c r="AY1204" s="86"/>
      <c r="AZ1204" s="86"/>
      <c r="BA1204" s="86"/>
      <c r="BB1204" s="86"/>
      <c r="BC1204" s="86"/>
      <c r="BD1204" s="86"/>
      <c r="BE1204" s="86"/>
      <c r="BF1204" s="86"/>
      <c r="BG1204" s="86"/>
      <c r="BH1204" s="86"/>
      <c r="BI1204" s="86"/>
      <c r="BJ1204" s="86"/>
      <c r="BK1204" s="86"/>
      <c r="BL1204" s="86"/>
      <c r="BM1204" s="86"/>
      <c r="BN1204" s="86"/>
      <c r="BO1204" s="86"/>
    </row>
    <row r="1205" spans="1:67" s="81" customFormat="1" x14ac:dyDescent="0.2">
      <c r="A1205" s="69" t="s">
        <v>67</v>
      </c>
      <c r="B1205" s="74">
        <v>43389</v>
      </c>
      <c r="C1205" s="75">
        <v>0.57638888888888895</v>
      </c>
      <c r="D1205" s="69" t="s">
        <v>189</v>
      </c>
      <c r="E1205" s="69">
        <v>3</v>
      </c>
      <c r="F1205" s="76">
        <v>58</v>
      </c>
      <c r="G1205" s="69">
        <v>2</v>
      </c>
      <c r="H1205" s="77">
        <v>3.4482758620689655E-2</v>
      </c>
      <c r="I1205" s="78">
        <v>6.9746499000000003E-2</v>
      </c>
      <c r="J1205" s="69">
        <v>314.15899999999999</v>
      </c>
      <c r="K1205" s="69">
        <v>0.48822549300000001</v>
      </c>
      <c r="L1205" s="69">
        <v>7</v>
      </c>
      <c r="M1205" s="79">
        <v>321.73555509113896</v>
      </c>
      <c r="N1205" s="69">
        <v>1037</v>
      </c>
      <c r="O1205" s="80" t="s">
        <v>86</v>
      </c>
      <c r="P1205" s="80" t="s">
        <v>82</v>
      </c>
      <c r="Q1205" s="69" t="s">
        <v>87</v>
      </c>
      <c r="R1205" s="69" t="s">
        <v>84</v>
      </c>
      <c r="S1205" s="69"/>
      <c r="T1205" s="60">
        <v>28</v>
      </c>
      <c r="U1205" s="60">
        <v>28</v>
      </c>
      <c r="V1205" s="69">
        <v>3.7</v>
      </c>
      <c r="W1205" s="69"/>
      <c r="X1205" s="69"/>
      <c r="Y1205" s="9">
        <f t="shared" si="18"/>
        <v>9008.5955425518914</v>
      </c>
      <c r="Z1205" s="60" t="s">
        <v>73</v>
      </c>
      <c r="AA1205" s="58" t="s">
        <v>410</v>
      </c>
      <c r="AB1205" s="81" t="s">
        <v>386</v>
      </c>
      <c r="AC1205" s="82" t="s">
        <v>406</v>
      </c>
      <c r="AD1205" s="69" t="s">
        <v>85</v>
      </c>
      <c r="AE1205" s="79">
        <v>12.770039751666664</v>
      </c>
      <c r="AF1205" s="83"/>
      <c r="AG1205" s="84"/>
      <c r="AH1205" s="82"/>
      <c r="AO1205" s="85" t="s">
        <v>78</v>
      </c>
      <c r="AP1205" s="86">
        <v>2.9</v>
      </c>
      <c r="AQ1205" s="86">
        <v>2.8</v>
      </c>
      <c r="AR1205" s="86">
        <v>3.7</v>
      </c>
      <c r="AS1205" s="86">
        <v>3.7</v>
      </c>
      <c r="AT1205" s="86">
        <v>1.9</v>
      </c>
      <c r="AU1205" s="86">
        <v>2.4</v>
      </c>
      <c r="AV1205" s="86"/>
      <c r="AW1205" s="86"/>
      <c r="AX1205" s="86"/>
      <c r="AY1205" s="86"/>
      <c r="AZ1205" s="86"/>
      <c r="BA1205" s="86"/>
      <c r="BB1205" s="86"/>
      <c r="BC1205" s="86"/>
      <c r="BD1205" s="86"/>
      <c r="BE1205" s="86"/>
      <c r="BF1205" s="86"/>
      <c r="BG1205" s="86"/>
      <c r="BH1205" s="86"/>
      <c r="BI1205" s="86"/>
      <c r="BJ1205" s="86"/>
      <c r="BK1205" s="86"/>
      <c r="BL1205" s="86"/>
      <c r="BM1205" s="86"/>
      <c r="BN1205" s="86"/>
      <c r="BO1205" s="86"/>
    </row>
    <row r="1206" spans="1:67" s="81" customFormat="1" x14ac:dyDescent="0.2">
      <c r="A1206" s="69" t="s">
        <v>67</v>
      </c>
      <c r="B1206" s="74">
        <v>43389</v>
      </c>
      <c r="C1206" s="75">
        <v>0.57638888888888895</v>
      </c>
      <c r="D1206" s="69" t="s">
        <v>189</v>
      </c>
      <c r="E1206" s="69">
        <v>3</v>
      </c>
      <c r="F1206" s="76">
        <v>58</v>
      </c>
      <c r="G1206" s="69">
        <v>2</v>
      </c>
      <c r="H1206" s="77">
        <v>3.4482758620689655E-2</v>
      </c>
      <c r="I1206" s="78">
        <v>6.9746499000000003E-2</v>
      </c>
      <c r="J1206" s="69">
        <v>314.15899999999999</v>
      </c>
      <c r="K1206" s="69">
        <v>0.48822549300000001</v>
      </c>
      <c r="L1206" s="69">
        <v>7</v>
      </c>
      <c r="M1206" s="79">
        <v>321.73555509113896</v>
      </c>
      <c r="N1206" s="69">
        <v>1419</v>
      </c>
      <c r="O1206" s="80" t="s">
        <v>94</v>
      </c>
      <c r="P1206" s="80" t="s">
        <v>82</v>
      </c>
      <c r="Q1206" s="69" t="s">
        <v>95</v>
      </c>
      <c r="R1206" s="69" t="s">
        <v>96</v>
      </c>
      <c r="S1206" s="69"/>
      <c r="T1206" s="60">
        <v>445</v>
      </c>
      <c r="U1206" s="60">
        <v>899</v>
      </c>
      <c r="V1206" s="69">
        <v>0.9</v>
      </c>
      <c r="W1206" s="69">
        <v>0.9</v>
      </c>
      <c r="X1206" s="69">
        <v>0.9</v>
      </c>
      <c r="Y1206" s="9">
        <f t="shared" si="18"/>
        <v>143172.32201555686</v>
      </c>
      <c r="Z1206" s="60" t="s">
        <v>97</v>
      </c>
      <c r="AA1206" s="58" t="s">
        <v>410</v>
      </c>
      <c r="AB1206" s="81" t="s">
        <v>386</v>
      </c>
      <c r="AC1206" s="82" t="s">
        <v>406</v>
      </c>
      <c r="AD1206" s="69" t="s">
        <v>85</v>
      </c>
      <c r="AE1206" s="79">
        <v>0.11309723999999999</v>
      </c>
      <c r="AF1206" s="79">
        <v>0.17959422833333327</v>
      </c>
      <c r="AG1206" s="79">
        <v>0.11309723999999999</v>
      </c>
      <c r="AH1206" s="79">
        <v>0.26808234666666664</v>
      </c>
      <c r="AI1206" s="79">
        <v>0.381703185</v>
      </c>
      <c r="AJ1206" s="79">
        <v>0.17959422833333327</v>
      </c>
      <c r="AK1206" s="79">
        <v>0.26808234666666664</v>
      </c>
      <c r="AL1206" s="79">
        <v>0.11309723999999999</v>
      </c>
      <c r="AM1206" s="79">
        <v>0.11309723999999999</v>
      </c>
      <c r="AN1206" s="79">
        <v>0.17959422833333327</v>
      </c>
      <c r="AO1206" s="85" t="s">
        <v>78</v>
      </c>
      <c r="AP1206" s="86">
        <v>0.72399999999999987</v>
      </c>
      <c r="AQ1206" s="86">
        <v>0.6</v>
      </c>
      <c r="AR1206" s="86">
        <v>0.7</v>
      </c>
      <c r="AS1206" s="86">
        <v>0.6</v>
      </c>
      <c r="AT1206" s="86">
        <v>0.8</v>
      </c>
      <c r="AU1206" s="86">
        <v>0.9</v>
      </c>
      <c r="AV1206" s="86">
        <v>0.7</v>
      </c>
      <c r="AW1206" s="86">
        <v>0.8</v>
      </c>
      <c r="AX1206" s="86">
        <v>0.6</v>
      </c>
      <c r="AY1206" s="86">
        <v>0.6</v>
      </c>
      <c r="AZ1206" s="86">
        <v>0.7</v>
      </c>
      <c r="BA1206" s="86">
        <v>0.9</v>
      </c>
      <c r="BB1206" s="86">
        <v>0.7</v>
      </c>
      <c r="BC1206" s="86">
        <v>0.6</v>
      </c>
      <c r="BD1206" s="86">
        <v>0.7</v>
      </c>
      <c r="BE1206" s="86">
        <v>0.8</v>
      </c>
      <c r="BF1206" s="86">
        <v>0.9</v>
      </c>
      <c r="BG1206" s="86">
        <v>0.6</v>
      </c>
      <c r="BH1206" s="86">
        <v>0.7</v>
      </c>
      <c r="BI1206" s="86">
        <v>0.7</v>
      </c>
      <c r="BJ1206" s="86">
        <v>0.8</v>
      </c>
      <c r="BK1206" s="86">
        <v>0.8</v>
      </c>
      <c r="BL1206" s="86">
        <v>0.7</v>
      </c>
      <c r="BM1206" s="86">
        <v>0.6</v>
      </c>
      <c r="BN1206" s="86">
        <v>0.9</v>
      </c>
      <c r="BO1206" s="86">
        <v>0.7</v>
      </c>
    </row>
    <row r="1207" spans="1:67" s="81" customFormat="1" x14ac:dyDescent="0.2">
      <c r="A1207" s="69" t="s">
        <v>67</v>
      </c>
      <c r="B1207" s="74">
        <v>43389</v>
      </c>
      <c r="C1207" s="75">
        <v>0.57638888888888895</v>
      </c>
      <c r="D1207" s="69" t="s">
        <v>189</v>
      </c>
      <c r="E1207" s="69">
        <v>3</v>
      </c>
      <c r="F1207" s="76">
        <v>58</v>
      </c>
      <c r="G1207" s="69">
        <v>2</v>
      </c>
      <c r="H1207" s="77">
        <v>3.4482758620689655E-2</v>
      </c>
      <c r="I1207" s="78">
        <v>6.9746499000000003E-2</v>
      </c>
      <c r="J1207" s="69">
        <v>314.15899999999999</v>
      </c>
      <c r="K1207" s="69">
        <v>0.48822549300000001</v>
      </c>
      <c r="L1207" s="69">
        <v>7</v>
      </c>
      <c r="M1207" s="79">
        <v>321.73555509113896</v>
      </c>
      <c r="N1207" s="69">
        <v>1420</v>
      </c>
      <c r="O1207" s="80" t="s">
        <v>98</v>
      </c>
      <c r="P1207" s="80" t="s">
        <v>82</v>
      </c>
      <c r="Q1207" s="69" t="s">
        <v>95</v>
      </c>
      <c r="R1207" s="69" t="s">
        <v>99</v>
      </c>
      <c r="S1207" s="69"/>
      <c r="T1207" s="60">
        <v>1</v>
      </c>
      <c r="U1207" s="60">
        <v>2</v>
      </c>
      <c r="V1207" s="69">
        <v>1.9</v>
      </c>
      <c r="W1207" s="69"/>
      <c r="X1207" s="69"/>
      <c r="Y1207" s="9">
        <f t="shared" si="18"/>
        <v>321.73555509113896</v>
      </c>
      <c r="Z1207" s="60" t="s">
        <v>97</v>
      </c>
      <c r="AA1207" s="58" t="s">
        <v>410</v>
      </c>
      <c r="AB1207" s="81" t="s">
        <v>386</v>
      </c>
      <c r="AC1207" s="82" t="s">
        <v>406</v>
      </c>
      <c r="AD1207" s="69" t="s">
        <v>85</v>
      </c>
      <c r="AE1207" s="79">
        <v>3.5913609683333325</v>
      </c>
      <c r="AF1207" s="83"/>
      <c r="AG1207" s="84"/>
      <c r="AH1207" s="82"/>
      <c r="AO1207" s="85" t="s">
        <v>78</v>
      </c>
      <c r="AP1207" s="86">
        <v>1.9</v>
      </c>
      <c r="AQ1207" s="86">
        <v>1.9</v>
      </c>
      <c r="AR1207" s="86">
        <v>1.9</v>
      </c>
      <c r="AS1207" s="86"/>
      <c r="AT1207" s="86"/>
      <c r="AU1207" s="86"/>
      <c r="AV1207" s="86"/>
      <c r="AW1207" s="86"/>
      <c r="AX1207" s="86"/>
      <c r="AY1207" s="86"/>
      <c r="AZ1207" s="86"/>
      <c r="BA1207" s="86"/>
      <c r="BB1207" s="86"/>
      <c r="BC1207" s="86"/>
      <c r="BD1207" s="86"/>
      <c r="BE1207" s="86"/>
      <c r="BF1207" s="86"/>
      <c r="BG1207" s="86"/>
      <c r="BH1207" s="86"/>
      <c r="BI1207" s="86"/>
      <c r="BJ1207" s="86"/>
      <c r="BK1207" s="86"/>
      <c r="BL1207" s="86"/>
      <c r="BM1207" s="86"/>
      <c r="BN1207" s="86"/>
      <c r="BO1207" s="86"/>
    </row>
    <row r="1208" spans="1:67" s="58" customFormat="1" x14ac:dyDescent="0.2">
      <c r="A1208" s="49" t="s">
        <v>67</v>
      </c>
      <c r="B1208" s="50">
        <v>43389</v>
      </c>
      <c r="C1208" s="51">
        <v>0.59027777777777801</v>
      </c>
      <c r="D1208" s="49" t="s">
        <v>170</v>
      </c>
      <c r="E1208" s="49">
        <v>3</v>
      </c>
      <c r="F1208" s="52">
        <v>62.5</v>
      </c>
      <c r="G1208" s="53">
        <v>2</v>
      </c>
      <c r="H1208" s="54">
        <v>3.2000000000000001E-2</v>
      </c>
      <c r="I1208" s="55">
        <v>6.9746499000000003E-2</v>
      </c>
      <c r="J1208" s="53">
        <v>314.15899999999999</v>
      </c>
      <c r="K1208" s="53">
        <v>0.48822549300000001</v>
      </c>
      <c r="L1208" s="53">
        <v>7</v>
      </c>
      <c r="M1208" s="56">
        <v>321.73555509113896</v>
      </c>
      <c r="N1208" s="53">
        <v>1037</v>
      </c>
      <c r="O1208" s="57" t="s">
        <v>86</v>
      </c>
      <c r="P1208" s="57" t="s">
        <v>82</v>
      </c>
      <c r="Q1208" s="53" t="s">
        <v>87</v>
      </c>
      <c r="R1208" s="53" t="s">
        <v>84</v>
      </c>
      <c r="S1208" s="53"/>
      <c r="T1208" s="59">
        <v>29</v>
      </c>
      <c r="U1208" s="59">
        <v>29</v>
      </c>
      <c r="V1208" s="53">
        <v>3.7</v>
      </c>
      <c r="W1208" s="53"/>
      <c r="X1208" s="53"/>
      <c r="Y1208" s="9">
        <f t="shared" si="18"/>
        <v>9330.3310976430294</v>
      </c>
      <c r="Z1208" s="60" t="s">
        <v>73</v>
      </c>
      <c r="AA1208" s="58" t="s">
        <v>411</v>
      </c>
      <c r="AB1208" s="58" t="s">
        <v>386</v>
      </c>
      <c r="AC1208" s="61" t="s">
        <v>412</v>
      </c>
      <c r="AD1208" s="53" t="s">
        <v>85</v>
      </c>
      <c r="AE1208" s="56">
        <v>15.598517948333333</v>
      </c>
      <c r="AF1208" s="62"/>
      <c r="AG1208" s="63"/>
      <c r="AH1208" s="61"/>
      <c r="AO1208" s="64" t="s">
        <v>78</v>
      </c>
      <c r="AP1208" s="65">
        <v>3.1399999999999997</v>
      </c>
      <c r="AQ1208" s="65">
        <v>3.7</v>
      </c>
      <c r="AR1208" s="65">
        <v>3.7</v>
      </c>
      <c r="AS1208" s="65">
        <v>2.8</v>
      </c>
      <c r="AT1208" s="65">
        <v>3.1</v>
      </c>
      <c r="AU1208" s="65">
        <v>2.4</v>
      </c>
      <c r="AV1208" s="65"/>
      <c r="AW1208" s="65"/>
      <c r="AX1208" s="65"/>
      <c r="AY1208" s="65"/>
      <c r="AZ1208" s="65"/>
      <c r="BA1208" s="65"/>
      <c r="BB1208" s="65"/>
      <c r="BC1208" s="65"/>
      <c r="BD1208" s="65"/>
      <c r="BE1208" s="65"/>
      <c r="BF1208" s="65"/>
      <c r="BG1208" s="65"/>
      <c r="BH1208" s="65"/>
      <c r="BI1208" s="65"/>
      <c r="BJ1208" s="65"/>
      <c r="BK1208" s="65"/>
      <c r="BL1208" s="65"/>
      <c r="BM1208" s="65"/>
      <c r="BN1208" s="65"/>
      <c r="BO1208" s="65"/>
    </row>
    <row r="1209" spans="1:67" s="58" customFormat="1" x14ac:dyDescent="0.2">
      <c r="A1209" s="49" t="s">
        <v>67</v>
      </c>
      <c r="B1209" s="50">
        <v>43389</v>
      </c>
      <c r="C1209" s="51">
        <v>0.59027777777777801</v>
      </c>
      <c r="D1209" s="49" t="s">
        <v>170</v>
      </c>
      <c r="E1209" s="49">
        <v>3</v>
      </c>
      <c r="F1209" s="52">
        <v>62.5</v>
      </c>
      <c r="G1209" s="53">
        <v>2</v>
      </c>
      <c r="H1209" s="54">
        <v>3.2000000000000001E-2</v>
      </c>
      <c r="I1209" s="55">
        <v>6.9746499000000003E-2</v>
      </c>
      <c r="J1209" s="53">
        <v>314.15899999999999</v>
      </c>
      <c r="K1209" s="53">
        <v>0.48822549300000001</v>
      </c>
      <c r="L1209" s="53">
        <v>7</v>
      </c>
      <c r="M1209" s="56">
        <v>321.73555509113896</v>
      </c>
      <c r="N1209" s="53">
        <v>1364</v>
      </c>
      <c r="O1209" s="57" t="s">
        <v>88</v>
      </c>
      <c r="P1209" s="57" t="s">
        <v>82</v>
      </c>
      <c r="Q1209" s="53" t="s">
        <v>89</v>
      </c>
      <c r="R1209" s="53" t="s">
        <v>90</v>
      </c>
      <c r="S1209" s="53"/>
      <c r="T1209" s="59">
        <v>1</v>
      </c>
      <c r="U1209" s="59">
        <v>1</v>
      </c>
      <c r="V1209" s="53">
        <v>9.3000000000000007</v>
      </c>
      <c r="W1209" s="53"/>
      <c r="X1209" s="53"/>
      <c r="Y1209" s="9">
        <f t="shared" si="18"/>
        <v>321.73555509113896</v>
      </c>
      <c r="Z1209" s="60" t="s">
        <v>73</v>
      </c>
      <c r="AA1209" s="58" t="s">
        <v>411</v>
      </c>
      <c r="AB1209" s="58" t="s">
        <v>386</v>
      </c>
      <c r="AC1209" s="61" t="s">
        <v>412</v>
      </c>
      <c r="AD1209" s="53" t="s">
        <v>91</v>
      </c>
      <c r="AE1209" s="56">
        <v>337.38084788249995</v>
      </c>
      <c r="AF1209" s="62"/>
      <c r="AG1209" s="63"/>
      <c r="AH1209" s="61"/>
      <c r="AO1209" s="64" t="s">
        <v>78</v>
      </c>
      <c r="AP1209" s="65">
        <v>9.3000000000000007</v>
      </c>
      <c r="AQ1209" s="65">
        <v>9.3000000000000007</v>
      </c>
      <c r="AR1209" s="65"/>
      <c r="AS1209" s="65"/>
      <c r="AT1209" s="65"/>
      <c r="AU1209" s="65"/>
      <c r="AV1209" s="65"/>
      <c r="AW1209" s="65"/>
      <c r="AX1209" s="65"/>
      <c r="AY1209" s="65"/>
      <c r="AZ1209" s="65"/>
      <c r="BA1209" s="65"/>
      <c r="BB1209" s="65"/>
      <c r="BC1209" s="65"/>
      <c r="BD1209" s="65"/>
      <c r="BE1209" s="65"/>
      <c r="BF1209" s="65"/>
      <c r="BG1209" s="65"/>
      <c r="BH1209" s="65"/>
      <c r="BI1209" s="65"/>
      <c r="BJ1209" s="65"/>
      <c r="BK1209" s="65"/>
      <c r="BL1209" s="65"/>
      <c r="BM1209" s="65"/>
      <c r="BN1209" s="65"/>
      <c r="BO1209" s="65"/>
    </row>
    <row r="1210" spans="1:67" s="58" customFormat="1" x14ac:dyDescent="0.2">
      <c r="A1210" s="49"/>
      <c r="B1210" s="50"/>
      <c r="C1210" s="51"/>
      <c r="D1210" s="49"/>
      <c r="E1210" s="49"/>
      <c r="F1210" s="52"/>
      <c r="G1210" s="53"/>
      <c r="H1210" s="54"/>
      <c r="I1210" s="55"/>
      <c r="J1210" s="53"/>
      <c r="K1210" s="53"/>
      <c r="L1210" s="53"/>
      <c r="M1210" s="56"/>
      <c r="N1210" s="53"/>
      <c r="O1210" s="57"/>
      <c r="P1210" s="57"/>
      <c r="Q1210" s="53"/>
      <c r="R1210" s="53"/>
      <c r="S1210" s="53"/>
      <c r="T1210" s="59"/>
      <c r="U1210" s="59"/>
      <c r="V1210" s="53"/>
      <c r="W1210" s="53"/>
      <c r="X1210" s="53"/>
      <c r="Y1210" s="9" t="e">
        <f t="shared" si="18"/>
        <v>#DIV/0!</v>
      </c>
      <c r="Z1210" s="60"/>
      <c r="AC1210" s="61"/>
      <c r="AD1210" s="53"/>
      <c r="AE1210" s="56"/>
      <c r="AF1210" s="62"/>
      <c r="AG1210" s="63"/>
      <c r="AH1210" s="61"/>
      <c r="AO1210" s="64" t="s">
        <v>79</v>
      </c>
      <c r="AP1210" s="65">
        <v>5.6</v>
      </c>
      <c r="AQ1210" s="65">
        <v>5.6</v>
      </c>
      <c r="AR1210" s="65"/>
      <c r="AS1210" s="65"/>
      <c r="AT1210" s="65"/>
      <c r="AU1210" s="65"/>
      <c r="AV1210" s="65"/>
      <c r="AW1210" s="65"/>
      <c r="AX1210" s="65"/>
      <c r="AY1210" s="65"/>
      <c r="AZ1210" s="65"/>
      <c r="BA1210" s="65"/>
      <c r="BB1210" s="65"/>
      <c r="BC1210" s="65"/>
      <c r="BD1210" s="65"/>
      <c r="BE1210" s="65"/>
      <c r="BF1210" s="65"/>
      <c r="BG1210" s="65"/>
      <c r="BH1210" s="65"/>
      <c r="BI1210" s="65"/>
      <c r="BJ1210" s="65"/>
      <c r="BK1210" s="65"/>
      <c r="BL1210" s="65"/>
      <c r="BM1210" s="65"/>
      <c r="BN1210" s="65"/>
      <c r="BO1210" s="65"/>
    </row>
    <row r="1211" spans="1:67" s="58" customFormat="1" x14ac:dyDescent="0.2">
      <c r="A1211" s="49" t="s">
        <v>67</v>
      </c>
      <c r="B1211" s="50">
        <v>43389</v>
      </c>
      <c r="C1211" s="51">
        <v>0.59027777777777801</v>
      </c>
      <c r="D1211" s="49" t="s">
        <v>170</v>
      </c>
      <c r="E1211" s="49">
        <v>3</v>
      </c>
      <c r="F1211" s="52">
        <v>62.5</v>
      </c>
      <c r="G1211" s="53">
        <v>2</v>
      </c>
      <c r="H1211" s="54">
        <v>3.2000000000000001E-2</v>
      </c>
      <c r="I1211" s="55">
        <v>6.9746499000000003E-2</v>
      </c>
      <c r="J1211" s="53">
        <v>314.15899999999999</v>
      </c>
      <c r="K1211" s="53">
        <v>0.48822549300000001</v>
      </c>
      <c r="L1211" s="53">
        <v>7</v>
      </c>
      <c r="M1211" s="56">
        <v>321.73555509113896</v>
      </c>
      <c r="N1211" s="53">
        <v>1733</v>
      </c>
      <c r="O1211" s="57" t="s">
        <v>391</v>
      </c>
      <c r="P1211" s="57" t="s">
        <v>82</v>
      </c>
      <c r="Q1211" s="53" t="s">
        <v>89</v>
      </c>
      <c r="R1211" s="53" t="s">
        <v>93</v>
      </c>
      <c r="S1211" s="53"/>
      <c r="T1211" s="59">
        <v>4</v>
      </c>
      <c r="U1211" s="59">
        <v>4</v>
      </c>
      <c r="V1211" s="53">
        <v>9.3000000000000007</v>
      </c>
      <c r="W1211" s="53"/>
      <c r="X1211" s="53"/>
      <c r="Y1211" s="9">
        <f t="shared" si="18"/>
        <v>1286.9422203645559</v>
      </c>
      <c r="Z1211" s="60" t="s">
        <v>73</v>
      </c>
      <c r="AA1211" s="58" t="s">
        <v>411</v>
      </c>
      <c r="AB1211" s="58" t="s">
        <v>386</v>
      </c>
      <c r="AC1211" s="61" t="s">
        <v>412</v>
      </c>
      <c r="AD1211" s="53" t="s">
        <v>91</v>
      </c>
      <c r="AE1211" s="56">
        <v>169.36102250666661</v>
      </c>
      <c r="AF1211" s="62"/>
      <c r="AG1211" s="63"/>
      <c r="AH1211" s="61"/>
      <c r="AO1211" s="64" t="s">
        <v>78</v>
      </c>
      <c r="AP1211" s="65">
        <v>7.6000000000000005</v>
      </c>
      <c r="AQ1211" s="65">
        <v>6.8</v>
      </c>
      <c r="AR1211" s="65">
        <v>9.3000000000000007</v>
      </c>
      <c r="AS1211" s="65">
        <v>5.6</v>
      </c>
      <c r="AT1211" s="65">
        <v>8.6999999999999993</v>
      </c>
      <c r="AU1211" s="65"/>
      <c r="AV1211" s="65"/>
      <c r="AW1211" s="65"/>
      <c r="AX1211" s="65"/>
      <c r="AY1211" s="65"/>
      <c r="AZ1211" s="65"/>
      <c r="BA1211" s="65"/>
      <c r="BB1211" s="65"/>
      <c r="BC1211" s="65"/>
      <c r="BD1211" s="65"/>
      <c r="BE1211" s="65"/>
      <c r="BF1211" s="65"/>
      <c r="BG1211" s="65"/>
      <c r="BH1211" s="65"/>
      <c r="BI1211" s="65"/>
      <c r="BJ1211" s="65"/>
      <c r="BK1211" s="65"/>
      <c r="BL1211" s="65"/>
      <c r="BM1211" s="65"/>
      <c r="BN1211" s="65"/>
      <c r="BO1211" s="65"/>
    </row>
    <row r="1212" spans="1:67" s="58" customFormat="1" x14ac:dyDescent="0.2">
      <c r="A1212" s="49"/>
      <c r="B1212" s="50"/>
      <c r="C1212" s="51"/>
      <c r="D1212" s="49"/>
      <c r="E1212" s="49"/>
      <c r="F1212" s="52"/>
      <c r="G1212" s="53"/>
      <c r="H1212" s="54"/>
      <c r="I1212" s="55"/>
      <c r="J1212" s="53"/>
      <c r="K1212" s="53"/>
      <c r="L1212" s="53"/>
      <c r="M1212" s="56"/>
      <c r="N1212" s="53"/>
      <c r="O1212" s="57"/>
      <c r="P1212" s="57"/>
      <c r="Q1212" s="53"/>
      <c r="R1212" s="53"/>
      <c r="S1212" s="53"/>
      <c r="T1212" s="59"/>
      <c r="U1212" s="59"/>
      <c r="V1212" s="53"/>
      <c r="W1212" s="53"/>
      <c r="X1212" s="53"/>
      <c r="Y1212" s="9" t="e">
        <f t="shared" si="18"/>
        <v>#DIV/0!</v>
      </c>
      <c r="Z1212" s="60"/>
      <c r="AC1212" s="61"/>
      <c r="AD1212" s="53"/>
      <c r="AE1212" s="56"/>
      <c r="AF1212" s="62"/>
      <c r="AG1212" s="63"/>
      <c r="AH1212" s="61"/>
      <c r="AO1212" s="64" t="s">
        <v>79</v>
      </c>
      <c r="AP1212" s="65">
        <v>3.625</v>
      </c>
      <c r="AQ1212" s="65">
        <v>3.7</v>
      </c>
      <c r="AR1212" s="65">
        <v>3.7</v>
      </c>
      <c r="AS1212" s="65">
        <v>2.8</v>
      </c>
      <c r="AT1212" s="65">
        <v>4.3</v>
      </c>
      <c r="AU1212" s="65"/>
      <c r="AV1212" s="65"/>
      <c r="AW1212" s="65"/>
      <c r="AX1212" s="65"/>
      <c r="AY1212" s="65"/>
      <c r="AZ1212" s="65"/>
      <c r="BA1212" s="65"/>
      <c r="BB1212" s="65"/>
      <c r="BC1212" s="65"/>
      <c r="BD1212" s="65"/>
      <c r="BE1212" s="65"/>
      <c r="BF1212" s="65"/>
      <c r="BG1212" s="65"/>
      <c r="BH1212" s="65"/>
      <c r="BI1212" s="65"/>
      <c r="BJ1212" s="65"/>
      <c r="BK1212" s="65"/>
      <c r="BL1212" s="65"/>
      <c r="BM1212" s="65"/>
      <c r="BN1212" s="65"/>
      <c r="BO1212" s="65"/>
    </row>
    <row r="1213" spans="1:67" s="58" customFormat="1" x14ac:dyDescent="0.2">
      <c r="A1213" s="49" t="s">
        <v>67</v>
      </c>
      <c r="B1213" s="50">
        <v>43389</v>
      </c>
      <c r="C1213" s="51">
        <v>0.59027777777777801</v>
      </c>
      <c r="D1213" s="49" t="s">
        <v>170</v>
      </c>
      <c r="E1213" s="49">
        <v>3</v>
      </c>
      <c r="F1213" s="52">
        <v>62.5</v>
      </c>
      <c r="G1213" s="53">
        <v>2</v>
      </c>
      <c r="H1213" s="54">
        <v>3.2000000000000001E-2</v>
      </c>
      <c r="I1213" s="55">
        <v>6.9746499000000003E-2</v>
      </c>
      <c r="J1213" s="53">
        <v>314.15899999999999</v>
      </c>
      <c r="K1213" s="53">
        <v>0.48822549300000001</v>
      </c>
      <c r="L1213" s="53">
        <v>7</v>
      </c>
      <c r="M1213" s="56">
        <v>321.73555509113896</v>
      </c>
      <c r="N1213" s="53">
        <v>1419</v>
      </c>
      <c r="O1213" s="57" t="s">
        <v>94</v>
      </c>
      <c r="P1213" s="57" t="s">
        <v>82</v>
      </c>
      <c r="Q1213" s="53" t="s">
        <v>95</v>
      </c>
      <c r="R1213" s="53" t="s">
        <v>96</v>
      </c>
      <c r="S1213" s="53"/>
      <c r="T1213" s="59">
        <v>392</v>
      </c>
      <c r="U1213" s="59">
        <v>794</v>
      </c>
      <c r="V1213" s="53">
        <v>0.9</v>
      </c>
      <c r="W1213" s="53">
        <v>0.9</v>
      </c>
      <c r="X1213" s="53">
        <v>0.9</v>
      </c>
      <c r="Y1213" s="9">
        <f t="shared" si="18"/>
        <v>126120.33759572648</v>
      </c>
      <c r="Z1213" s="60" t="s">
        <v>97</v>
      </c>
      <c r="AA1213" s="58" t="s">
        <v>411</v>
      </c>
      <c r="AB1213" s="58" t="s">
        <v>386</v>
      </c>
      <c r="AC1213" s="61" t="s">
        <v>412</v>
      </c>
      <c r="AD1213" s="53" t="s">
        <v>85</v>
      </c>
      <c r="AE1213" s="56">
        <v>0.11309723999999999</v>
      </c>
      <c r="AF1213" s="56">
        <v>0.17959422833333327</v>
      </c>
      <c r="AG1213" s="56">
        <v>0.11309723999999999</v>
      </c>
      <c r="AH1213" s="56">
        <v>0.26808234666666664</v>
      </c>
      <c r="AI1213" s="56">
        <v>0.381703185</v>
      </c>
      <c r="AJ1213" s="56">
        <v>0.17959422833333327</v>
      </c>
      <c r="AK1213" s="56">
        <v>0.26808234666666664</v>
      </c>
      <c r="AL1213" s="56">
        <v>0.11309723999999999</v>
      </c>
      <c r="AM1213" s="56">
        <v>0.11309723999999999</v>
      </c>
      <c r="AN1213" s="56">
        <v>0.17959422833333327</v>
      </c>
      <c r="AO1213" s="66" t="s">
        <v>78</v>
      </c>
      <c r="AP1213" s="65">
        <v>0.72399999999999987</v>
      </c>
      <c r="AQ1213" s="65">
        <v>0.6</v>
      </c>
      <c r="AR1213" s="65">
        <v>0.7</v>
      </c>
      <c r="AS1213" s="65">
        <v>0.6</v>
      </c>
      <c r="AT1213" s="65">
        <v>0.8</v>
      </c>
      <c r="AU1213" s="65">
        <v>0.9</v>
      </c>
      <c r="AV1213" s="65">
        <v>0.7</v>
      </c>
      <c r="AW1213" s="65">
        <v>0.8</v>
      </c>
      <c r="AX1213" s="65">
        <v>0.6</v>
      </c>
      <c r="AY1213" s="65">
        <v>0.6</v>
      </c>
      <c r="AZ1213" s="65">
        <v>0.7</v>
      </c>
      <c r="BA1213" s="65">
        <v>0.9</v>
      </c>
      <c r="BB1213" s="65">
        <v>0.7</v>
      </c>
      <c r="BC1213" s="65">
        <v>0.6</v>
      </c>
      <c r="BD1213" s="65">
        <v>0.7</v>
      </c>
      <c r="BE1213" s="65">
        <v>0.8</v>
      </c>
      <c r="BF1213" s="65">
        <v>0.9</v>
      </c>
      <c r="BG1213" s="65">
        <v>0.6</v>
      </c>
      <c r="BH1213" s="65">
        <v>0.7</v>
      </c>
      <c r="BI1213" s="65">
        <v>0.7</v>
      </c>
      <c r="BJ1213" s="65">
        <v>0.8</v>
      </c>
      <c r="BK1213" s="65">
        <v>0.8</v>
      </c>
      <c r="BL1213" s="65">
        <v>0.7</v>
      </c>
      <c r="BM1213" s="65">
        <v>0.6</v>
      </c>
      <c r="BN1213" s="65">
        <v>0.9</v>
      </c>
      <c r="BO1213" s="65">
        <v>0.7</v>
      </c>
    </row>
    <row r="1214" spans="1:67" s="58" customFormat="1" x14ac:dyDescent="0.2">
      <c r="A1214" s="49" t="s">
        <v>67</v>
      </c>
      <c r="B1214" s="50">
        <v>43389</v>
      </c>
      <c r="C1214" s="51">
        <v>0.59027777777777801</v>
      </c>
      <c r="D1214" s="49" t="s">
        <v>170</v>
      </c>
      <c r="E1214" s="49">
        <v>3</v>
      </c>
      <c r="F1214" s="52">
        <v>62.5</v>
      </c>
      <c r="G1214" s="53">
        <v>2</v>
      </c>
      <c r="H1214" s="54">
        <v>3.2000000000000001E-2</v>
      </c>
      <c r="I1214" s="55">
        <v>6.9746499000000003E-2</v>
      </c>
      <c r="J1214" s="53">
        <v>314.15899999999999</v>
      </c>
      <c r="K1214" s="53">
        <v>0.48822549300000001</v>
      </c>
      <c r="L1214" s="53">
        <v>7</v>
      </c>
      <c r="M1214" s="56">
        <v>321.73555509113896</v>
      </c>
      <c r="N1214" s="53">
        <v>1709</v>
      </c>
      <c r="O1214" s="57" t="s">
        <v>234</v>
      </c>
      <c r="P1214" s="57" t="s">
        <v>82</v>
      </c>
      <c r="Q1214" s="53" t="s">
        <v>235</v>
      </c>
      <c r="R1214" s="53" t="s">
        <v>84</v>
      </c>
      <c r="S1214" s="53"/>
      <c r="T1214" s="59">
        <v>1</v>
      </c>
      <c r="U1214" s="59">
        <v>19</v>
      </c>
      <c r="V1214" s="53">
        <v>1.9</v>
      </c>
      <c r="W1214" s="53"/>
      <c r="X1214" s="53"/>
      <c r="Y1214" s="9">
        <f t="shared" si="18"/>
        <v>321.73555509113896</v>
      </c>
      <c r="Z1214" s="60" t="s">
        <v>134</v>
      </c>
      <c r="AA1214" s="58" t="s">
        <v>411</v>
      </c>
      <c r="AB1214" s="58" t="s">
        <v>386</v>
      </c>
      <c r="AC1214" s="61" t="s">
        <v>412</v>
      </c>
      <c r="AD1214" s="53" t="s">
        <v>104</v>
      </c>
      <c r="AE1214" s="56">
        <v>0.53721188999999991</v>
      </c>
      <c r="AF1214" s="62"/>
      <c r="AG1214" s="63"/>
      <c r="AH1214" s="61"/>
      <c r="AO1214" s="64" t="s">
        <v>78</v>
      </c>
      <c r="AP1214" s="65">
        <v>1.9</v>
      </c>
      <c r="AQ1214" s="65">
        <v>1.9</v>
      </c>
      <c r="AR1214" s="65">
        <v>1.9</v>
      </c>
      <c r="AS1214" s="65">
        <v>1.9</v>
      </c>
      <c r="AT1214" s="65">
        <v>1.9</v>
      </c>
      <c r="AU1214" s="65">
        <v>1.9</v>
      </c>
      <c r="AV1214" s="65"/>
      <c r="AW1214" s="65"/>
      <c r="AX1214" s="65"/>
      <c r="AY1214" s="65"/>
      <c r="AZ1214" s="65"/>
      <c r="BA1214" s="65"/>
      <c r="BB1214" s="65"/>
      <c r="BC1214" s="65"/>
      <c r="BD1214" s="65"/>
      <c r="BE1214" s="65"/>
      <c r="BF1214" s="65"/>
      <c r="BG1214" s="65"/>
      <c r="BH1214" s="65"/>
      <c r="BI1214" s="65"/>
      <c r="BJ1214" s="65"/>
      <c r="BK1214" s="65"/>
      <c r="BL1214" s="65"/>
      <c r="BM1214" s="65"/>
      <c r="BN1214" s="65"/>
      <c r="BO1214" s="65"/>
    </row>
    <row r="1215" spans="1:67" s="58" customFormat="1" x14ac:dyDescent="0.2">
      <c r="A1215" s="49"/>
      <c r="B1215" s="50"/>
      <c r="C1215" s="51"/>
      <c r="D1215" s="49"/>
      <c r="E1215" s="49"/>
      <c r="F1215" s="52"/>
      <c r="G1215" s="53"/>
      <c r="H1215" s="54"/>
      <c r="I1215" s="55"/>
      <c r="J1215" s="53"/>
      <c r="K1215" s="53"/>
      <c r="L1215" s="53"/>
      <c r="M1215" s="56"/>
      <c r="N1215" s="53"/>
      <c r="O1215" s="57"/>
      <c r="P1215" s="57"/>
      <c r="Q1215" s="53"/>
      <c r="R1215" s="53"/>
      <c r="S1215" s="53"/>
      <c r="T1215" s="59"/>
      <c r="U1215" s="59"/>
      <c r="V1215" s="53"/>
      <c r="W1215" s="53"/>
      <c r="X1215" s="53"/>
      <c r="Y1215" s="9" t="e">
        <f t="shared" si="18"/>
        <v>#DIV/0!</v>
      </c>
      <c r="Z1215" s="60"/>
      <c r="AC1215" s="61"/>
      <c r="AD1215" s="53"/>
      <c r="AE1215" s="56"/>
      <c r="AF1215" s="62"/>
      <c r="AG1215" s="63"/>
      <c r="AH1215" s="61"/>
      <c r="AO1215" s="64" t="s">
        <v>79</v>
      </c>
      <c r="AP1215" s="65">
        <v>0.6</v>
      </c>
      <c r="AQ1215" s="65">
        <v>0.6</v>
      </c>
      <c r="AR1215" s="65">
        <v>0.6</v>
      </c>
      <c r="AS1215" s="65">
        <v>0.6</v>
      </c>
      <c r="AT1215" s="65">
        <v>0.6</v>
      </c>
      <c r="AU1215" s="65">
        <v>0.6</v>
      </c>
      <c r="AV1215" s="65"/>
      <c r="AW1215" s="65"/>
      <c r="AX1215" s="65"/>
      <c r="AY1215" s="65"/>
      <c r="AZ1215" s="65"/>
      <c r="BA1215" s="65"/>
      <c r="BB1215" s="65"/>
      <c r="BC1215" s="65"/>
      <c r="BD1215" s="65"/>
      <c r="BE1215" s="65"/>
      <c r="BF1215" s="65"/>
      <c r="BG1215" s="65"/>
      <c r="BH1215" s="65"/>
      <c r="BI1215" s="65"/>
      <c r="BJ1215" s="65"/>
      <c r="BK1215" s="65"/>
      <c r="BL1215" s="65"/>
      <c r="BM1215" s="65"/>
      <c r="BN1215" s="65"/>
      <c r="BO1215" s="65"/>
    </row>
    <row r="1216" spans="1:67" s="81" customFormat="1" x14ac:dyDescent="0.2">
      <c r="A1216" s="69" t="s">
        <v>67</v>
      </c>
      <c r="B1216" s="74">
        <v>43389</v>
      </c>
      <c r="C1216" s="75">
        <v>0.54861111111111105</v>
      </c>
      <c r="D1216" s="69" t="s">
        <v>158</v>
      </c>
      <c r="E1216" s="69"/>
      <c r="F1216" s="76">
        <v>63</v>
      </c>
      <c r="G1216" s="69">
        <v>2</v>
      </c>
      <c r="H1216" s="77">
        <v>3.1746031746031744E-2</v>
      </c>
      <c r="I1216" s="78">
        <v>6.9746499000000003E-2</v>
      </c>
      <c r="J1216" s="69">
        <v>314.15899999999999</v>
      </c>
      <c r="K1216" s="69">
        <v>1.046197485</v>
      </c>
      <c r="L1216" s="69">
        <v>15</v>
      </c>
      <c r="M1216" s="79">
        <v>150.14325904253153</v>
      </c>
      <c r="N1216" s="69">
        <v>44</v>
      </c>
      <c r="O1216" s="80" t="s">
        <v>266</v>
      </c>
      <c r="P1216" s="81" t="s">
        <v>70</v>
      </c>
      <c r="Q1216" s="69" t="s">
        <v>110</v>
      </c>
      <c r="R1216" s="69" t="s">
        <v>267</v>
      </c>
      <c r="S1216" s="69"/>
      <c r="T1216" s="60">
        <v>1</v>
      </c>
      <c r="U1216" s="60">
        <v>1</v>
      </c>
      <c r="V1216" s="69">
        <v>12</v>
      </c>
      <c r="W1216" s="69"/>
      <c r="X1216" s="69"/>
      <c r="Y1216" s="9">
        <f t="shared" si="18"/>
        <v>150.14325904253153</v>
      </c>
      <c r="Z1216" s="60" t="s">
        <v>73</v>
      </c>
      <c r="AA1216" s="58" t="s">
        <v>413</v>
      </c>
      <c r="AB1216" s="81" t="s">
        <v>386</v>
      </c>
      <c r="AC1216" s="82"/>
      <c r="AD1216" s="69" t="s">
        <v>77</v>
      </c>
      <c r="AE1216" s="79">
        <v>149.94809069999997</v>
      </c>
      <c r="AF1216" s="83"/>
      <c r="AG1216" s="84"/>
      <c r="AH1216" s="82"/>
      <c r="AO1216" s="85" t="s">
        <v>78</v>
      </c>
      <c r="AP1216" s="86">
        <v>12</v>
      </c>
      <c r="AQ1216" s="86">
        <v>12</v>
      </c>
      <c r="AR1216" s="86"/>
      <c r="AS1216" s="86"/>
      <c r="AT1216" s="86"/>
      <c r="AU1216" s="86"/>
      <c r="AV1216" s="86"/>
      <c r="AW1216" s="86"/>
      <c r="AX1216" s="86"/>
      <c r="AY1216" s="86"/>
      <c r="AZ1216" s="86"/>
      <c r="BA1216" s="86"/>
      <c r="BB1216" s="86"/>
      <c r="BC1216" s="86"/>
      <c r="BD1216" s="86"/>
      <c r="BE1216" s="86"/>
      <c r="BF1216" s="86"/>
      <c r="BG1216" s="86"/>
      <c r="BH1216" s="86"/>
      <c r="BI1216" s="86"/>
      <c r="BJ1216" s="86"/>
      <c r="BK1216" s="86"/>
      <c r="BL1216" s="86"/>
      <c r="BM1216" s="86"/>
      <c r="BN1216" s="86"/>
      <c r="BO1216" s="86"/>
    </row>
    <row r="1217" spans="1:67" s="81" customFormat="1" x14ac:dyDescent="0.2">
      <c r="A1217" s="69"/>
      <c r="B1217" s="74"/>
      <c r="C1217" s="75"/>
      <c r="D1217" s="69"/>
      <c r="E1217" s="69"/>
      <c r="F1217" s="76"/>
      <c r="G1217" s="69"/>
      <c r="H1217" s="77"/>
      <c r="I1217" s="78"/>
      <c r="J1217" s="69"/>
      <c r="K1217" s="69"/>
      <c r="L1217" s="69"/>
      <c r="M1217" s="79"/>
      <c r="N1217" s="69"/>
      <c r="O1217" s="80"/>
      <c r="Q1217" s="69"/>
      <c r="R1217" s="69"/>
      <c r="S1217" s="69"/>
      <c r="T1217" s="60"/>
      <c r="U1217" s="60"/>
      <c r="V1217" s="69"/>
      <c r="W1217" s="69"/>
      <c r="X1217" s="69"/>
      <c r="Y1217" s="9" t="e">
        <f t="shared" si="18"/>
        <v>#DIV/0!</v>
      </c>
      <c r="Z1217" s="60"/>
      <c r="AC1217" s="82"/>
      <c r="AD1217" s="69"/>
      <c r="AE1217" s="79"/>
      <c r="AF1217" s="83"/>
      <c r="AG1217" s="84"/>
      <c r="AH1217" s="82"/>
      <c r="AO1217" s="64" t="s">
        <v>79</v>
      </c>
      <c r="AP1217" s="86">
        <v>4.3</v>
      </c>
      <c r="AQ1217" s="86">
        <v>4.3</v>
      </c>
      <c r="AR1217" s="86"/>
      <c r="AS1217" s="86"/>
      <c r="AT1217" s="86"/>
      <c r="AU1217" s="86"/>
      <c r="AV1217" s="86"/>
      <c r="AW1217" s="86"/>
      <c r="AX1217" s="86"/>
      <c r="AY1217" s="86"/>
      <c r="AZ1217" s="86"/>
      <c r="BA1217" s="86"/>
      <c r="BB1217" s="86"/>
      <c r="BC1217" s="86"/>
      <c r="BD1217" s="86"/>
      <c r="BE1217" s="86"/>
      <c r="BF1217" s="86"/>
      <c r="BG1217" s="86"/>
      <c r="BH1217" s="86"/>
      <c r="BI1217" s="86"/>
      <c r="BJ1217" s="86"/>
      <c r="BK1217" s="86"/>
      <c r="BL1217" s="86"/>
      <c r="BM1217" s="86"/>
      <c r="BN1217" s="86"/>
      <c r="BO1217" s="86"/>
    </row>
    <row r="1218" spans="1:67" s="81" customFormat="1" x14ac:dyDescent="0.2">
      <c r="A1218" s="69"/>
      <c r="B1218" s="74"/>
      <c r="C1218" s="75"/>
      <c r="D1218" s="69"/>
      <c r="E1218" s="69"/>
      <c r="F1218" s="76"/>
      <c r="G1218" s="69"/>
      <c r="H1218" s="77"/>
      <c r="I1218" s="78"/>
      <c r="J1218" s="69"/>
      <c r="K1218" s="69"/>
      <c r="L1218" s="69"/>
      <c r="M1218" s="79"/>
      <c r="N1218" s="69"/>
      <c r="O1218" s="80"/>
      <c r="Q1218" s="69"/>
      <c r="R1218" s="69"/>
      <c r="S1218" s="69"/>
      <c r="T1218" s="60"/>
      <c r="U1218" s="60"/>
      <c r="V1218" s="69"/>
      <c r="W1218" s="69"/>
      <c r="X1218" s="69"/>
      <c r="Y1218" s="9" t="e">
        <f t="shared" si="18"/>
        <v>#DIV/0!</v>
      </c>
      <c r="Z1218" s="60"/>
      <c r="AC1218" s="82"/>
      <c r="AD1218" s="69"/>
      <c r="AE1218" s="79"/>
      <c r="AF1218" s="83"/>
      <c r="AG1218" s="84"/>
      <c r="AH1218" s="82"/>
      <c r="AO1218" s="64" t="s">
        <v>80</v>
      </c>
      <c r="AP1218" s="86">
        <v>3.7</v>
      </c>
      <c r="AQ1218" s="86">
        <v>3.7</v>
      </c>
      <c r="AR1218" s="86"/>
      <c r="AS1218" s="86"/>
      <c r="AT1218" s="86"/>
      <c r="AU1218" s="86"/>
      <c r="AV1218" s="86"/>
      <c r="AW1218" s="86"/>
      <c r="AX1218" s="86"/>
      <c r="AY1218" s="86"/>
      <c r="AZ1218" s="86"/>
      <c r="BA1218" s="86"/>
      <c r="BB1218" s="86"/>
      <c r="BC1218" s="86"/>
      <c r="BD1218" s="86"/>
      <c r="BE1218" s="86"/>
      <c r="BF1218" s="86"/>
      <c r="BG1218" s="86"/>
      <c r="BH1218" s="86"/>
      <c r="BI1218" s="86"/>
      <c r="BJ1218" s="86"/>
      <c r="BK1218" s="86"/>
      <c r="BL1218" s="86"/>
      <c r="BM1218" s="86"/>
      <c r="BN1218" s="86"/>
      <c r="BO1218" s="86"/>
    </row>
    <row r="1219" spans="1:67" s="81" customFormat="1" x14ac:dyDescent="0.2">
      <c r="A1219" s="69" t="s">
        <v>67</v>
      </c>
      <c r="B1219" s="74">
        <v>43389</v>
      </c>
      <c r="C1219" s="75">
        <v>0.54861111111111105</v>
      </c>
      <c r="D1219" s="69" t="s">
        <v>158</v>
      </c>
      <c r="E1219" s="69"/>
      <c r="F1219" s="76">
        <v>63</v>
      </c>
      <c r="G1219" s="69">
        <v>2</v>
      </c>
      <c r="H1219" s="77">
        <v>3.1746031746031744E-2</v>
      </c>
      <c r="I1219" s="78">
        <v>6.9746499000000003E-2</v>
      </c>
      <c r="J1219" s="69">
        <v>314.15899999999999</v>
      </c>
      <c r="K1219" s="69">
        <v>1.046197485</v>
      </c>
      <c r="L1219" s="69">
        <v>15</v>
      </c>
      <c r="M1219" s="79">
        <v>150.14325904253153</v>
      </c>
      <c r="N1219" s="69">
        <v>145</v>
      </c>
      <c r="O1219" s="80" t="s">
        <v>69</v>
      </c>
      <c r="P1219" s="81" t="s">
        <v>70</v>
      </c>
      <c r="Q1219" s="69" t="s">
        <v>71</v>
      </c>
      <c r="R1219" s="69" t="s">
        <v>72</v>
      </c>
      <c r="S1219" s="69"/>
      <c r="T1219" s="60">
        <v>3</v>
      </c>
      <c r="U1219" s="60">
        <v>3</v>
      </c>
      <c r="V1219" s="69">
        <v>22.2</v>
      </c>
      <c r="W1219" s="69"/>
      <c r="X1219" s="69"/>
      <c r="Y1219" s="9">
        <f t="shared" ref="Y1219:Y1282" si="19">(T1219*J1219)/(G1219*I1219*L1219)</f>
        <v>450.4297771275946</v>
      </c>
      <c r="Z1219" s="60" t="s">
        <v>73</v>
      </c>
      <c r="AA1219" s="58" t="s">
        <v>413</v>
      </c>
      <c r="AB1219" s="81" t="s">
        <v>386</v>
      </c>
      <c r="AC1219" s="82"/>
      <c r="AD1219" s="69" t="s">
        <v>77</v>
      </c>
      <c r="AE1219" s="79">
        <v>413.20547872500003</v>
      </c>
      <c r="AF1219" s="83"/>
      <c r="AG1219" s="84"/>
      <c r="AH1219" s="82"/>
      <c r="AO1219" s="85" t="s">
        <v>78</v>
      </c>
      <c r="AP1219" s="86">
        <v>21.3</v>
      </c>
      <c r="AQ1219" s="86">
        <v>22.2</v>
      </c>
      <c r="AR1219" s="86">
        <v>17.600000000000001</v>
      </c>
      <c r="AS1219" s="86">
        <v>24.1</v>
      </c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 s="86"/>
      <c r="BH1219" s="86"/>
      <c r="BI1219" s="86"/>
      <c r="BJ1219" s="86"/>
      <c r="BK1219" s="86"/>
      <c r="BL1219" s="86"/>
      <c r="BM1219" s="86"/>
      <c r="BN1219" s="86"/>
      <c r="BO1219" s="86"/>
    </row>
    <row r="1220" spans="1:67" s="81" customFormat="1" x14ac:dyDescent="0.2">
      <c r="A1220" s="69"/>
      <c r="B1220" s="74"/>
      <c r="C1220" s="75"/>
      <c r="D1220" s="69"/>
      <c r="E1220" s="69"/>
      <c r="F1220" s="76"/>
      <c r="G1220" s="69"/>
      <c r="H1220" s="77"/>
      <c r="I1220" s="78"/>
      <c r="J1220" s="69"/>
      <c r="K1220" s="69"/>
      <c r="L1220" s="69"/>
      <c r="M1220" s="79"/>
      <c r="N1220" s="69"/>
      <c r="O1220" s="80"/>
      <c r="Q1220" s="69"/>
      <c r="R1220" s="69"/>
      <c r="S1220" s="69"/>
      <c r="T1220" s="60"/>
      <c r="U1220" s="60"/>
      <c r="V1220" s="69"/>
      <c r="W1220" s="69"/>
      <c r="X1220" s="69"/>
      <c r="Y1220" s="9" t="e">
        <f t="shared" si="19"/>
        <v>#DIV/0!</v>
      </c>
      <c r="Z1220" s="60"/>
      <c r="AC1220" s="82"/>
      <c r="AD1220" s="69"/>
      <c r="AE1220" s="79"/>
      <c r="AF1220" s="83"/>
      <c r="AG1220" s="84"/>
      <c r="AH1220" s="82"/>
      <c r="AO1220" s="64" t="s">
        <v>79</v>
      </c>
      <c r="AP1220" s="86">
        <v>12.966666666666669</v>
      </c>
      <c r="AQ1220" s="86">
        <v>13</v>
      </c>
      <c r="AR1220" s="86">
        <v>11.1</v>
      </c>
      <c r="AS1220" s="86">
        <v>14.8</v>
      </c>
      <c r="AT1220" s="86"/>
      <c r="AU1220" s="86"/>
      <c r="AV1220" s="86"/>
      <c r="AW1220" s="86"/>
      <c r="AX1220" s="86"/>
      <c r="AY1220" s="86"/>
      <c r="AZ1220" s="86"/>
      <c r="BA1220" s="86"/>
      <c r="BB1220" s="86"/>
      <c r="BC1220" s="86"/>
      <c r="BD1220" s="86"/>
      <c r="BE1220" s="86"/>
      <c r="BF1220" s="86"/>
      <c r="BG1220" s="86"/>
      <c r="BH1220" s="86"/>
      <c r="BI1220" s="86"/>
      <c r="BJ1220" s="86"/>
      <c r="BK1220" s="86"/>
      <c r="BL1220" s="86"/>
      <c r="BM1220" s="86"/>
      <c r="BN1220" s="86"/>
      <c r="BO1220" s="86"/>
    </row>
    <row r="1221" spans="1:67" s="81" customFormat="1" x14ac:dyDescent="0.2">
      <c r="A1221" s="69"/>
      <c r="B1221" s="74"/>
      <c r="C1221" s="75"/>
      <c r="D1221" s="69"/>
      <c r="E1221" s="69"/>
      <c r="F1221" s="76"/>
      <c r="G1221" s="69"/>
      <c r="H1221" s="77"/>
      <c r="I1221" s="78"/>
      <c r="J1221" s="69"/>
      <c r="K1221" s="69"/>
      <c r="L1221" s="69"/>
      <c r="M1221" s="79"/>
      <c r="N1221" s="69"/>
      <c r="O1221" s="80"/>
      <c r="Q1221" s="69"/>
      <c r="R1221" s="69"/>
      <c r="S1221" s="69"/>
      <c r="T1221" s="60"/>
      <c r="U1221" s="60"/>
      <c r="V1221" s="69"/>
      <c r="W1221" s="69"/>
      <c r="X1221" s="69"/>
      <c r="Y1221" s="9" t="e">
        <f t="shared" si="19"/>
        <v>#DIV/0!</v>
      </c>
      <c r="Z1221" s="60"/>
      <c r="AC1221" s="82"/>
      <c r="AD1221" s="69"/>
      <c r="AE1221" s="79"/>
      <c r="AF1221" s="83"/>
      <c r="AG1221" s="84"/>
      <c r="AH1221" s="82"/>
      <c r="AO1221" s="64" t="s">
        <v>80</v>
      </c>
      <c r="AP1221" s="86">
        <v>1.8999999999999997</v>
      </c>
      <c r="AQ1221" s="86">
        <v>1.9</v>
      </c>
      <c r="AR1221" s="86">
        <v>1.9</v>
      </c>
      <c r="AS1221" s="86">
        <v>1.9</v>
      </c>
      <c r="AT1221" s="86"/>
      <c r="AU1221" s="86"/>
      <c r="AV1221" s="86"/>
      <c r="AW1221" s="86"/>
      <c r="AX1221" s="86"/>
      <c r="AY1221" s="86"/>
      <c r="AZ1221" s="86"/>
      <c r="BA1221" s="86"/>
      <c r="BB1221" s="86"/>
      <c r="BC1221" s="86"/>
      <c r="BD1221" s="86"/>
      <c r="BE1221" s="86"/>
      <c r="BF1221" s="86"/>
      <c r="BG1221" s="86"/>
      <c r="BH1221" s="86"/>
      <c r="BI1221" s="86"/>
      <c r="BJ1221" s="86"/>
      <c r="BK1221" s="86"/>
      <c r="BL1221" s="86"/>
      <c r="BM1221" s="86"/>
      <c r="BN1221" s="86"/>
      <c r="BO1221" s="86"/>
    </row>
    <row r="1222" spans="1:67" s="81" customFormat="1" x14ac:dyDescent="0.2">
      <c r="A1222" s="69" t="s">
        <v>67</v>
      </c>
      <c r="B1222" s="74">
        <v>43389</v>
      </c>
      <c r="C1222" s="75">
        <v>0.54861111111111105</v>
      </c>
      <c r="D1222" s="69" t="s">
        <v>158</v>
      </c>
      <c r="E1222" s="69"/>
      <c r="F1222" s="76">
        <v>63</v>
      </c>
      <c r="G1222" s="69">
        <v>2</v>
      </c>
      <c r="H1222" s="77">
        <v>3.1746031746031744E-2</v>
      </c>
      <c r="I1222" s="78">
        <v>6.9746499000000003E-2</v>
      </c>
      <c r="J1222" s="69">
        <v>314.15899999999999</v>
      </c>
      <c r="K1222" s="69">
        <v>1.046197485</v>
      </c>
      <c r="L1222" s="69">
        <v>15</v>
      </c>
      <c r="M1222" s="79">
        <v>150.14325904253153</v>
      </c>
      <c r="N1222" s="69">
        <v>145</v>
      </c>
      <c r="O1222" s="80" t="s">
        <v>69</v>
      </c>
      <c r="P1222" s="81" t="s">
        <v>70</v>
      </c>
      <c r="Q1222" s="69" t="s">
        <v>71</v>
      </c>
      <c r="R1222" s="69" t="s">
        <v>72</v>
      </c>
      <c r="S1222" s="69"/>
      <c r="T1222" s="60">
        <v>1</v>
      </c>
      <c r="U1222" s="60">
        <v>1</v>
      </c>
      <c r="V1222" s="69">
        <v>10.5</v>
      </c>
      <c r="W1222" s="69"/>
      <c r="X1222" s="69"/>
      <c r="Y1222" s="9">
        <f t="shared" si="19"/>
        <v>150.14325904253153</v>
      </c>
      <c r="Z1222" s="60" t="s">
        <v>73</v>
      </c>
      <c r="AA1222" s="58" t="s">
        <v>413</v>
      </c>
      <c r="AB1222" s="81" t="s">
        <v>386</v>
      </c>
      <c r="AC1222" s="82" t="s">
        <v>414</v>
      </c>
      <c r="AD1222" s="69" t="s">
        <v>77</v>
      </c>
      <c r="AE1222" s="79">
        <v>145.71872516249999</v>
      </c>
      <c r="AF1222" s="83"/>
      <c r="AG1222" s="84"/>
      <c r="AH1222" s="82"/>
      <c r="AO1222" s="85" t="s">
        <v>78</v>
      </c>
      <c r="AP1222" s="86">
        <v>10.5</v>
      </c>
      <c r="AQ1222" s="86">
        <v>10.5</v>
      </c>
      <c r="AR1222" s="86"/>
      <c r="AS1222" s="86"/>
      <c r="AT1222" s="86"/>
      <c r="AU1222" s="86"/>
      <c r="AV1222" s="86"/>
      <c r="AW1222" s="86"/>
      <c r="AX1222" s="86"/>
      <c r="AY1222" s="86"/>
      <c r="AZ1222" s="86"/>
      <c r="BA1222" s="86"/>
      <c r="BB1222" s="86"/>
      <c r="BC1222" s="86"/>
      <c r="BD1222" s="86"/>
      <c r="BE1222" s="86"/>
      <c r="BF1222" s="86"/>
      <c r="BG1222" s="86"/>
      <c r="BH1222" s="86"/>
      <c r="BI1222" s="86"/>
      <c r="BJ1222" s="86"/>
      <c r="BK1222" s="86"/>
      <c r="BL1222" s="86"/>
      <c r="BM1222" s="86"/>
      <c r="BN1222" s="86"/>
      <c r="BO1222" s="86"/>
    </row>
    <row r="1223" spans="1:67" s="81" customFormat="1" x14ac:dyDescent="0.2">
      <c r="A1223" s="69"/>
      <c r="B1223" s="74"/>
      <c r="C1223" s="75"/>
      <c r="D1223" s="69"/>
      <c r="E1223" s="69"/>
      <c r="F1223" s="76"/>
      <c r="G1223" s="69"/>
      <c r="H1223" s="77"/>
      <c r="I1223" s="78"/>
      <c r="J1223" s="69"/>
      <c r="K1223" s="69"/>
      <c r="L1223" s="69"/>
      <c r="M1223" s="79"/>
      <c r="N1223" s="69"/>
      <c r="O1223" s="80"/>
      <c r="Q1223" s="69"/>
      <c r="R1223" s="69"/>
      <c r="S1223" s="69"/>
      <c r="T1223" s="60"/>
      <c r="U1223" s="60"/>
      <c r="V1223" s="69"/>
      <c r="W1223" s="69"/>
      <c r="X1223" s="69"/>
      <c r="Y1223" s="9" t="e">
        <f t="shared" si="19"/>
        <v>#DIV/0!</v>
      </c>
      <c r="Z1223" s="60"/>
      <c r="AC1223" s="82"/>
      <c r="AD1223" s="69"/>
      <c r="AE1223" s="79"/>
      <c r="AF1223" s="83"/>
      <c r="AG1223" s="84"/>
      <c r="AH1223" s="82"/>
      <c r="AO1223" s="64" t="s">
        <v>79</v>
      </c>
      <c r="AP1223" s="86">
        <v>9.3000000000000007</v>
      </c>
      <c r="AQ1223" s="86">
        <v>9.3000000000000007</v>
      </c>
      <c r="AR1223" s="86"/>
      <c r="AS1223" s="86"/>
      <c r="AT1223" s="86"/>
      <c r="AU1223" s="86"/>
      <c r="AV1223" s="86"/>
      <c r="AW1223" s="86"/>
      <c r="AX1223" s="86"/>
      <c r="AY1223" s="86"/>
      <c r="AZ1223" s="86"/>
      <c r="BA1223" s="86"/>
      <c r="BB1223" s="86"/>
      <c r="BC1223" s="86"/>
      <c r="BD1223" s="86"/>
      <c r="BE1223" s="86"/>
      <c r="BF1223" s="86"/>
      <c r="BG1223" s="86"/>
      <c r="BH1223" s="86"/>
      <c r="BI1223" s="86"/>
      <c r="BJ1223" s="86"/>
      <c r="BK1223" s="86"/>
      <c r="BL1223" s="86"/>
      <c r="BM1223" s="86"/>
      <c r="BN1223" s="86"/>
      <c r="BO1223" s="86"/>
    </row>
    <row r="1224" spans="1:67" s="81" customFormat="1" x14ac:dyDescent="0.2">
      <c r="A1224" s="69"/>
      <c r="B1224" s="74"/>
      <c r="C1224" s="75"/>
      <c r="D1224" s="69"/>
      <c r="E1224" s="69"/>
      <c r="F1224" s="76"/>
      <c r="G1224" s="69"/>
      <c r="H1224" s="77"/>
      <c r="I1224" s="78"/>
      <c r="J1224" s="69"/>
      <c r="K1224" s="69"/>
      <c r="L1224" s="69"/>
      <c r="M1224" s="79"/>
      <c r="N1224" s="69"/>
      <c r="O1224" s="80"/>
      <c r="Q1224" s="69"/>
      <c r="R1224" s="69"/>
      <c r="S1224" s="69"/>
      <c r="T1224" s="60"/>
      <c r="U1224" s="60"/>
      <c r="V1224" s="69"/>
      <c r="W1224" s="69"/>
      <c r="X1224" s="69"/>
      <c r="Y1224" s="9" t="e">
        <f t="shared" si="19"/>
        <v>#DIV/0!</v>
      </c>
      <c r="Z1224" s="60"/>
      <c r="AC1224" s="82"/>
      <c r="AD1224" s="69"/>
      <c r="AE1224" s="79"/>
      <c r="AF1224" s="83"/>
      <c r="AG1224" s="84"/>
      <c r="AH1224" s="82"/>
      <c r="AO1224" s="64" t="s">
        <v>80</v>
      </c>
      <c r="AP1224" s="86">
        <v>1.9</v>
      </c>
      <c r="AQ1224" s="86">
        <v>1.9</v>
      </c>
      <c r="AR1224" s="86"/>
      <c r="AS1224" s="86"/>
      <c r="AT1224" s="86"/>
      <c r="AU1224" s="86"/>
      <c r="AV1224" s="86"/>
      <c r="AW1224" s="86"/>
      <c r="AX1224" s="86"/>
      <c r="AY1224" s="86"/>
      <c r="AZ1224" s="86"/>
      <c r="BA1224" s="86"/>
      <c r="BB1224" s="86"/>
      <c r="BC1224" s="86"/>
      <c r="BD1224" s="86"/>
      <c r="BE1224" s="86"/>
      <c r="BF1224" s="86"/>
      <c r="BG1224" s="86"/>
      <c r="BH1224" s="86"/>
      <c r="BI1224" s="86"/>
      <c r="BJ1224" s="86"/>
      <c r="BK1224" s="86"/>
      <c r="BL1224" s="86"/>
      <c r="BM1224" s="86"/>
      <c r="BN1224" s="86"/>
      <c r="BO1224" s="86"/>
    </row>
    <row r="1225" spans="1:67" s="81" customFormat="1" x14ac:dyDescent="0.2">
      <c r="A1225" s="69" t="s">
        <v>67</v>
      </c>
      <c r="B1225" s="74">
        <v>43389</v>
      </c>
      <c r="C1225" s="75">
        <v>0.54861111111111105</v>
      </c>
      <c r="D1225" s="69" t="s">
        <v>158</v>
      </c>
      <c r="E1225" s="69"/>
      <c r="F1225" s="76">
        <v>63</v>
      </c>
      <c r="G1225" s="69">
        <v>2</v>
      </c>
      <c r="H1225" s="77">
        <v>3.1746031746031744E-2</v>
      </c>
      <c r="I1225" s="78">
        <v>6.9746499000000003E-2</v>
      </c>
      <c r="J1225" s="69">
        <v>314.15899999999999</v>
      </c>
      <c r="K1225" s="69">
        <v>1.046197485</v>
      </c>
      <c r="L1225" s="69">
        <v>15</v>
      </c>
      <c r="M1225" s="79">
        <v>150.14325904253153</v>
      </c>
      <c r="N1225" s="69">
        <v>749</v>
      </c>
      <c r="O1225" s="80" t="s">
        <v>190</v>
      </c>
      <c r="P1225" s="81" t="s">
        <v>70</v>
      </c>
      <c r="Q1225" s="69" t="s">
        <v>191</v>
      </c>
      <c r="R1225" s="69" t="s">
        <v>84</v>
      </c>
      <c r="S1225" s="69"/>
      <c r="T1225" s="60">
        <v>2</v>
      </c>
      <c r="U1225" s="60">
        <v>2</v>
      </c>
      <c r="V1225" s="69">
        <v>17.600000000000001</v>
      </c>
      <c r="W1225" s="69"/>
      <c r="X1225" s="69"/>
      <c r="Y1225" s="9">
        <f t="shared" si="19"/>
        <v>300.28651808506305</v>
      </c>
      <c r="Z1225" s="60" t="s">
        <v>73</v>
      </c>
      <c r="AA1225" s="58" t="s">
        <v>413</v>
      </c>
      <c r="AB1225" s="81" t="s">
        <v>386</v>
      </c>
      <c r="AC1225" s="82"/>
      <c r="AD1225" s="69" t="s">
        <v>193</v>
      </c>
      <c r="AE1225" s="79">
        <v>48.672000000000004</v>
      </c>
      <c r="AF1225" s="83"/>
      <c r="AG1225" s="84"/>
      <c r="AH1225" s="82"/>
      <c r="AO1225" s="85" t="s">
        <v>78</v>
      </c>
      <c r="AP1225" s="86">
        <v>15.55</v>
      </c>
      <c r="AQ1225" s="86">
        <v>17.600000000000001</v>
      </c>
      <c r="AR1225" s="86">
        <v>13.5</v>
      </c>
      <c r="AS1225" s="86"/>
      <c r="AT1225" s="86"/>
      <c r="AU1225" s="86"/>
      <c r="AV1225" s="86"/>
      <c r="AW1225" s="86"/>
      <c r="AX1225" s="86"/>
      <c r="AY1225" s="86"/>
      <c r="AZ1225" s="86"/>
      <c r="BA1225" s="86"/>
      <c r="BB1225" s="86"/>
      <c r="BC1225" s="86"/>
      <c r="BD1225" s="86"/>
      <c r="BE1225" s="86"/>
      <c r="BF1225" s="86"/>
      <c r="BG1225" s="86"/>
      <c r="BH1225" s="86"/>
      <c r="BI1225" s="86"/>
      <c r="BJ1225" s="86"/>
      <c r="BK1225" s="86"/>
      <c r="BL1225" s="86"/>
      <c r="BM1225" s="86"/>
      <c r="BN1225" s="86"/>
      <c r="BO1225" s="86"/>
    </row>
    <row r="1226" spans="1:67" s="81" customFormat="1" x14ac:dyDescent="0.2">
      <c r="A1226" s="69"/>
      <c r="B1226" s="74"/>
      <c r="C1226" s="75"/>
      <c r="D1226" s="69"/>
      <c r="E1226" s="69"/>
      <c r="F1226" s="76"/>
      <c r="G1226" s="69"/>
      <c r="H1226" s="77"/>
      <c r="I1226" s="78"/>
      <c r="J1226" s="69"/>
      <c r="K1226" s="69"/>
      <c r="L1226" s="69"/>
      <c r="M1226" s="79"/>
      <c r="N1226" s="69"/>
      <c r="O1226" s="80"/>
      <c r="Q1226" s="69"/>
      <c r="R1226" s="69"/>
      <c r="S1226" s="69"/>
      <c r="T1226" s="60"/>
      <c r="U1226" s="60"/>
      <c r="V1226" s="69"/>
      <c r="W1226" s="69"/>
      <c r="X1226" s="69"/>
      <c r="Y1226" s="9" t="e">
        <f t="shared" si="19"/>
        <v>#DIV/0!</v>
      </c>
      <c r="Z1226" s="60"/>
      <c r="AC1226" s="82"/>
      <c r="AD1226" s="69"/>
      <c r="AE1226" s="79"/>
      <c r="AF1226" s="83"/>
      <c r="AG1226" s="84"/>
      <c r="AH1226" s="82"/>
      <c r="AO1226" s="64" t="s">
        <v>79</v>
      </c>
      <c r="AP1226" s="86">
        <v>2.5999999999999996</v>
      </c>
      <c r="AQ1226" s="86">
        <v>2.4</v>
      </c>
      <c r="AR1226" s="86">
        <v>2.8</v>
      </c>
      <c r="AS1226" s="86"/>
      <c r="AT1226" s="86"/>
      <c r="AU1226" s="86"/>
      <c r="AV1226" s="86"/>
      <c r="AW1226" s="86"/>
      <c r="AX1226" s="86"/>
      <c r="AY1226" s="86"/>
      <c r="AZ1226" s="86"/>
      <c r="BA1226" s="86"/>
      <c r="BB1226" s="86"/>
      <c r="BC1226" s="86"/>
      <c r="BD1226" s="86"/>
      <c r="BE1226" s="86"/>
      <c r="BF1226" s="86"/>
      <c r="BG1226" s="86"/>
      <c r="BH1226" s="86"/>
      <c r="BI1226" s="86"/>
      <c r="BJ1226" s="86"/>
      <c r="BK1226" s="86"/>
      <c r="BL1226" s="86"/>
      <c r="BM1226" s="86"/>
      <c r="BN1226" s="86"/>
      <c r="BO1226" s="86"/>
    </row>
    <row r="1227" spans="1:67" s="81" customFormat="1" x14ac:dyDescent="0.2">
      <c r="A1227" s="69"/>
      <c r="B1227" s="74"/>
      <c r="C1227" s="75"/>
      <c r="D1227" s="69"/>
      <c r="E1227" s="69"/>
      <c r="F1227" s="76"/>
      <c r="G1227" s="69"/>
      <c r="H1227" s="77"/>
      <c r="I1227" s="78"/>
      <c r="J1227" s="69"/>
      <c r="K1227" s="69"/>
      <c r="L1227" s="69"/>
      <c r="M1227" s="79"/>
      <c r="N1227" s="69"/>
      <c r="O1227" s="80"/>
      <c r="Q1227" s="69"/>
      <c r="R1227" s="69"/>
      <c r="S1227" s="69"/>
      <c r="T1227" s="60"/>
      <c r="U1227" s="60"/>
      <c r="V1227" s="69"/>
      <c r="W1227" s="69"/>
      <c r="X1227" s="69"/>
      <c r="Y1227" s="9" t="e">
        <f t="shared" si="19"/>
        <v>#DIV/0!</v>
      </c>
      <c r="Z1227" s="60"/>
      <c r="AC1227" s="82"/>
      <c r="AD1227" s="69"/>
      <c r="AE1227" s="79"/>
      <c r="AF1227" s="83"/>
      <c r="AG1227" s="84"/>
      <c r="AH1227" s="82"/>
      <c r="AO1227" s="64" t="s">
        <v>80</v>
      </c>
      <c r="AP1227" s="86">
        <v>2.4</v>
      </c>
      <c r="AQ1227" s="86">
        <v>2.4</v>
      </c>
      <c r="AR1227" s="86">
        <v>2.4</v>
      </c>
      <c r="AS1227" s="86"/>
      <c r="AT1227" s="86"/>
      <c r="AU1227" s="86"/>
      <c r="AV1227" s="86"/>
      <c r="AW1227" s="86"/>
      <c r="AX1227" s="86"/>
      <c r="AY1227" s="86"/>
      <c r="AZ1227" s="86"/>
      <c r="BA1227" s="86"/>
      <c r="BB1227" s="86"/>
      <c r="BC1227" s="86"/>
      <c r="BD1227" s="86"/>
      <c r="BE1227" s="86"/>
      <c r="BF1227" s="86"/>
      <c r="BG1227" s="86"/>
      <c r="BH1227" s="86"/>
      <c r="BI1227" s="86"/>
      <c r="BJ1227" s="86"/>
      <c r="BK1227" s="86"/>
      <c r="BL1227" s="86"/>
      <c r="BM1227" s="86"/>
      <c r="BN1227" s="86"/>
      <c r="BO1227" s="86"/>
    </row>
    <row r="1228" spans="1:67" s="81" customFormat="1" x14ac:dyDescent="0.2">
      <c r="A1228" s="69" t="s">
        <v>67</v>
      </c>
      <c r="B1228" s="74">
        <v>43389</v>
      </c>
      <c r="C1228" s="75">
        <v>0.54861111111111105</v>
      </c>
      <c r="D1228" s="69" t="s">
        <v>158</v>
      </c>
      <c r="E1228" s="69"/>
      <c r="F1228" s="76">
        <v>63</v>
      </c>
      <c r="G1228" s="69">
        <v>2</v>
      </c>
      <c r="H1228" s="77">
        <v>3.1746031746031744E-2</v>
      </c>
      <c r="I1228" s="78">
        <v>6.9746499000000003E-2</v>
      </c>
      <c r="J1228" s="69">
        <v>314.15899999999999</v>
      </c>
      <c r="K1228" s="69">
        <v>1.046197485</v>
      </c>
      <c r="L1228" s="69">
        <v>15</v>
      </c>
      <c r="M1228" s="79">
        <v>150.14325904253153</v>
      </c>
      <c r="N1228" s="69">
        <v>1037</v>
      </c>
      <c r="O1228" s="80" t="s">
        <v>86</v>
      </c>
      <c r="P1228" s="80" t="s">
        <v>82</v>
      </c>
      <c r="Q1228" s="69" t="s">
        <v>87</v>
      </c>
      <c r="R1228" s="69" t="s">
        <v>84</v>
      </c>
      <c r="S1228" s="69"/>
      <c r="T1228" s="60">
        <v>36</v>
      </c>
      <c r="U1228" s="60">
        <v>36</v>
      </c>
      <c r="V1228" s="69">
        <v>3.1</v>
      </c>
      <c r="W1228" s="69"/>
      <c r="X1228" s="69"/>
      <c r="Y1228" s="9">
        <f t="shared" si="19"/>
        <v>5405.157325531135</v>
      </c>
      <c r="Z1228" s="60" t="s">
        <v>73</v>
      </c>
      <c r="AA1228" s="58" t="s">
        <v>413</v>
      </c>
      <c r="AB1228" s="81" t="s">
        <v>386</v>
      </c>
      <c r="AC1228" s="82"/>
      <c r="AD1228" s="69" t="s">
        <v>85</v>
      </c>
      <c r="AE1228" s="79">
        <v>10.305985995</v>
      </c>
      <c r="AF1228" s="83"/>
      <c r="AG1228" s="84"/>
      <c r="AH1228" s="82"/>
      <c r="AO1228" s="85" t="s">
        <v>78</v>
      </c>
      <c r="AP1228" s="86">
        <v>2.68</v>
      </c>
      <c r="AQ1228" s="86">
        <v>2.8</v>
      </c>
      <c r="AR1228" s="86">
        <v>2.8</v>
      </c>
      <c r="AS1228" s="86">
        <v>1.9</v>
      </c>
      <c r="AT1228" s="86">
        <v>2.8</v>
      </c>
      <c r="AU1228" s="86">
        <v>3.1</v>
      </c>
      <c r="AV1228" s="86"/>
      <c r="AW1228" s="86"/>
      <c r="AX1228" s="86"/>
      <c r="AY1228" s="86"/>
      <c r="AZ1228" s="86"/>
      <c r="BA1228" s="86"/>
      <c r="BB1228" s="86"/>
      <c r="BC1228" s="86"/>
      <c r="BD1228" s="86"/>
      <c r="BE1228" s="86"/>
      <c r="BF1228" s="86"/>
      <c r="BG1228" s="86"/>
      <c r="BH1228" s="86"/>
      <c r="BI1228" s="86"/>
      <c r="BJ1228" s="86"/>
      <c r="BK1228" s="86"/>
      <c r="BL1228" s="86"/>
      <c r="BM1228" s="86"/>
      <c r="BN1228" s="86"/>
      <c r="BO1228" s="86"/>
    </row>
    <row r="1229" spans="1:67" s="81" customFormat="1" x14ac:dyDescent="0.2">
      <c r="A1229" s="69" t="s">
        <v>67</v>
      </c>
      <c r="B1229" s="74">
        <v>43389</v>
      </c>
      <c r="C1229" s="75">
        <v>0.54861111111111105</v>
      </c>
      <c r="D1229" s="69" t="s">
        <v>158</v>
      </c>
      <c r="E1229" s="69"/>
      <c r="F1229" s="76">
        <v>63</v>
      </c>
      <c r="G1229" s="69">
        <v>2</v>
      </c>
      <c r="H1229" s="77">
        <v>3.1746031746031744E-2</v>
      </c>
      <c r="I1229" s="78">
        <v>6.9746499000000003E-2</v>
      </c>
      <c r="J1229" s="69">
        <v>314.15899999999999</v>
      </c>
      <c r="K1229" s="69">
        <v>1.046197485</v>
      </c>
      <c r="L1229" s="69">
        <v>15</v>
      </c>
      <c r="M1229" s="79">
        <v>150.14325904253153</v>
      </c>
      <c r="N1229" s="69">
        <v>1352</v>
      </c>
      <c r="O1229" s="80" t="s">
        <v>403</v>
      </c>
      <c r="P1229" s="80" t="s">
        <v>82</v>
      </c>
      <c r="Q1229" s="69" t="s">
        <v>119</v>
      </c>
      <c r="R1229" s="69" t="s">
        <v>84</v>
      </c>
      <c r="S1229" s="69"/>
      <c r="T1229" s="60">
        <v>1</v>
      </c>
      <c r="U1229" s="60">
        <v>1</v>
      </c>
      <c r="V1229" s="69">
        <v>8.3000000000000007</v>
      </c>
      <c r="W1229" s="69"/>
      <c r="X1229" s="69"/>
      <c r="Y1229" s="9">
        <f t="shared" si="19"/>
        <v>150.14325904253153</v>
      </c>
      <c r="Z1229" s="60" t="s">
        <v>73</v>
      </c>
      <c r="AA1229" s="58" t="s">
        <v>413</v>
      </c>
      <c r="AB1229" s="81" t="s">
        <v>386</v>
      </c>
      <c r="AC1229" s="82" t="s">
        <v>404</v>
      </c>
      <c r="AD1229" s="69" t="s">
        <v>120</v>
      </c>
      <c r="AE1229" s="79">
        <v>108.64665416666666</v>
      </c>
      <c r="AF1229" s="83"/>
      <c r="AG1229" s="84"/>
      <c r="AH1229" s="82"/>
      <c r="AO1229" s="85" t="s">
        <v>78</v>
      </c>
      <c r="AP1229" s="86">
        <v>8.3000000000000007</v>
      </c>
      <c r="AQ1229" s="86">
        <v>8.3000000000000007</v>
      </c>
      <c r="AR1229" s="86"/>
      <c r="AS1229" s="86"/>
      <c r="AT1229" s="86"/>
      <c r="AU1229" s="86"/>
      <c r="AV1229" s="86"/>
      <c r="AW1229" s="86"/>
      <c r="AX1229" s="86"/>
      <c r="AY1229" s="86"/>
      <c r="AZ1229" s="86"/>
      <c r="BA1229" s="86"/>
      <c r="BB1229" s="86"/>
      <c r="BC1229" s="86"/>
      <c r="BD1229" s="86"/>
      <c r="BE1229" s="86"/>
      <c r="BF1229" s="86"/>
      <c r="BG1229" s="86"/>
      <c r="BH1229" s="86"/>
      <c r="BI1229" s="86"/>
      <c r="BJ1229" s="86"/>
      <c r="BK1229" s="86"/>
      <c r="BL1229" s="86"/>
      <c r="BM1229" s="86"/>
      <c r="BN1229" s="86"/>
      <c r="BO1229" s="86"/>
    </row>
    <row r="1230" spans="1:67" s="81" customFormat="1" x14ac:dyDescent="0.2">
      <c r="A1230" s="69"/>
      <c r="B1230" s="74"/>
      <c r="C1230" s="75"/>
      <c r="D1230" s="69"/>
      <c r="E1230" s="69"/>
      <c r="F1230" s="76"/>
      <c r="G1230" s="69"/>
      <c r="H1230" s="77"/>
      <c r="I1230" s="78"/>
      <c r="J1230" s="69"/>
      <c r="K1230" s="69"/>
      <c r="L1230" s="69"/>
      <c r="M1230" s="79"/>
      <c r="N1230" s="69"/>
      <c r="O1230" s="80"/>
      <c r="P1230" s="80"/>
      <c r="Q1230" s="69"/>
      <c r="R1230" s="69"/>
      <c r="S1230" s="69"/>
      <c r="T1230" s="60"/>
      <c r="U1230" s="60"/>
      <c r="V1230" s="69"/>
      <c r="W1230" s="69"/>
      <c r="X1230" s="69"/>
      <c r="Y1230" s="9" t="e">
        <f t="shared" si="19"/>
        <v>#DIV/0!</v>
      </c>
      <c r="Z1230" s="60"/>
      <c r="AC1230" s="82"/>
      <c r="AD1230" s="69"/>
      <c r="AE1230" s="79"/>
      <c r="AF1230" s="83"/>
      <c r="AG1230" s="84"/>
      <c r="AH1230" s="82"/>
      <c r="AO1230" s="64" t="s">
        <v>79</v>
      </c>
      <c r="AP1230" s="86">
        <v>5</v>
      </c>
      <c r="AQ1230" s="86">
        <v>5</v>
      </c>
      <c r="AR1230" s="86"/>
      <c r="AS1230" s="86"/>
      <c r="AT1230" s="86"/>
      <c r="AU1230" s="86"/>
      <c r="AV1230" s="86"/>
      <c r="AW1230" s="86"/>
      <c r="AX1230" s="86"/>
      <c r="AY1230" s="86"/>
      <c r="AZ1230" s="86"/>
      <c r="BA1230" s="86"/>
      <c r="BB1230" s="86"/>
      <c r="BC1230" s="86"/>
      <c r="BD1230" s="86"/>
      <c r="BE1230" s="86"/>
      <c r="BF1230" s="86"/>
      <c r="BG1230" s="86"/>
      <c r="BH1230" s="86"/>
      <c r="BI1230" s="86"/>
      <c r="BJ1230" s="86"/>
      <c r="BK1230" s="86"/>
      <c r="BL1230" s="86"/>
      <c r="BM1230" s="86"/>
      <c r="BN1230" s="86"/>
      <c r="BO1230" s="86"/>
    </row>
    <row r="1231" spans="1:67" s="81" customFormat="1" x14ac:dyDescent="0.2">
      <c r="A1231" s="69" t="s">
        <v>67</v>
      </c>
      <c r="B1231" s="74">
        <v>43389</v>
      </c>
      <c r="C1231" s="75">
        <v>0.54861111111111105</v>
      </c>
      <c r="D1231" s="69" t="s">
        <v>158</v>
      </c>
      <c r="E1231" s="69"/>
      <c r="F1231" s="76">
        <v>63</v>
      </c>
      <c r="G1231" s="69">
        <v>2</v>
      </c>
      <c r="H1231" s="77">
        <v>3.1746031746031744E-2</v>
      </c>
      <c r="I1231" s="78">
        <v>6.9746499000000003E-2</v>
      </c>
      <c r="J1231" s="69">
        <v>314.15899999999999</v>
      </c>
      <c r="K1231" s="69">
        <v>1.046197485</v>
      </c>
      <c r="L1231" s="69">
        <v>15</v>
      </c>
      <c r="M1231" s="79">
        <v>150.14325904253153</v>
      </c>
      <c r="N1231" s="69">
        <v>1364</v>
      </c>
      <c r="O1231" s="80" t="s">
        <v>88</v>
      </c>
      <c r="P1231" s="80" t="s">
        <v>82</v>
      </c>
      <c r="Q1231" s="69" t="s">
        <v>89</v>
      </c>
      <c r="R1231" s="69" t="s">
        <v>90</v>
      </c>
      <c r="S1231" s="69"/>
      <c r="T1231" s="60">
        <v>4</v>
      </c>
      <c r="U1231" s="60">
        <v>4</v>
      </c>
      <c r="V1231" s="69">
        <v>8.3000000000000007</v>
      </c>
      <c r="W1231" s="69"/>
      <c r="X1231" s="69"/>
      <c r="Y1231" s="9">
        <f t="shared" si="19"/>
        <v>600.5730361701261</v>
      </c>
      <c r="Z1231" s="60" t="s">
        <v>73</v>
      </c>
      <c r="AA1231" s="58" t="s">
        <v>413</v>
      </c>
      <c r="AB1231" s="81" t="s">
        <v>386</v>
      </c>
      <c r="AC1231" s="82"/>
      <c r="AD1231" s="69" t="s">
        <v>91</v>
      </c>
      <c r="AE1231" s="79">
        <v>259.70896212000002</v>
      </c>
      <c r="AF1231" s="83"/>
      <c r="AG1231" s="84"/>
      <c r="AH1231" s="82"/>
      <c r="AO1231" s="85" t="s">
        <v>78</v>
      </c>
      <c r="AP1231" s="86">
        <v>8.25</v>
      </c>
      <c r="AQ1231" s="86">
        <v>8.3000000000000007</v>
      </c>
      <c r="AR1231" s="86">
        <v>8</v>
      </c>
      <c r="AS1231" s="86">
        <v>8.6999999999999993</v>
      </c>
      <c r="AT1231" s="86">
        <v>8</v>
      </c>
      <c r="AU1231" s="86"/>
      <c r="AV1231" s="86"/>
      <c r="AW1231" s="86"/>
      <c r="AX1231" s="86"/>
      <c r="AY1231" s="86"/>
      <c r="AZ1231" s="86"/>
      <c r="BA1231" s="86"/>
      <c r="BB1231" s="86"/>
      <c r="BC1231" s="86"/>
      <c r="BD1231" s="86"/>
      <c r="BE1231" s="86"/>
      <c r="BF1231" s="86"/>
      <c r="BG1231" s="86"/>
      <c r="BH1231" s="86"/>
      <c r="BI1231" s="86"/>
      <c r="BJ1231" s="86"/>
      <c r="BK1231" s="86"/>
      <c r="BL1231" s="86"/>
      <c r="BM1231" s="86"/>
      <c r="BN1231" s="86"/>
      <c r="BO1231" s="86"/>
    </row>
    <row r="1232" spans="1:67" s="81" customFormat="1" x14ac:dyDescent="0.2">
      <c r="A1232" s="69"/>
      <c r="B1232" s="74"/>
      <c r="C1232" s="75"/>
      <c r="D1232" s="69"/>
      <c r="E1232" s="69"/>
      <c r="F1232" s="76"/>
      <c r="G1232" s="69"/>
      <c r="H1232" s="77"/>
      <c r="I1232" s="78"/>
      <c r="J1232" s="69"/>
      <c r="K1232" s="69"/>
      <c r="L1232" s="69"/>
      <c r="M1232" s="79"/>
      <c r="N1232" s="69"/>
      <c r="O1232" s="80"/>
      <c r="P1232" s="80"/>
      <c r="Q1232" s="69"/>
      <c r="R1232" s="69"/>
      <c r="S1232" s="69"/>
      <c r="T1232" s="60"/>
      <c r="U1232" s="60"/>
      <c r="V1232" s="69"/>
      <c r="W1232" s="69"/>
      <c r="X1232" s="69"/>
      <c r="Y1232" s="9" t="e">
        <f t="shared" si="19"/>
        <v>#DIV/0!</v>
      </c>
      <c r="Z1232" s="60"/>
      <c r="AC1232" s="82"/>
      <c r="AD1232" s="69"/>
      <c r="AE1232" s="79"/>
      <c r="AF1232" s="83"/>
      <c r="AG1232" s="84"/>
      <c r="AH1232" s="82"/>
      <c r="AO1232" s="64" t="s">
        <v>79</v>
      </c>
      <c r="AP1232" s="86">
        <v>6.1</v>
      </c>
      <c r="AQ1232" s="86">
        <v>6.1</v>
      </c>
      <c r="AR1232" s="86">
        <v>6.1</v>
      </c>
      <c r="AS1232" s="86">
        <v>6.1</v>
      </c>
      <c r="AT1232" s="86">
        <v>6.1</v>
      </c>
      <c r="AU1232" s="86"/>
      <c r="AV1232" s="86"/>
      <c r="AW1232" s="86"/>
      <c r="AX1232" s="86"/>
      <c r="AY1232" s="86"/>
      <c r="AZ1232" s="86"/>
      <c r="BA1232" s="86"/>
      <c r="BB1232" s="86"/>
      <c r="BC1232" s="86"/>
      <c r="BD1232" s="86"/>
      <c r="BE1232" s="86"/>
      <c r="BF1232" s="86"/>
      <c r="BG1232" s="86"/>
      <c r="BH1232" s="86"/>
      <c r="BI1232" s="86"/>
      <c r="BJ1232" s="86"/>
      <c r="BK1232" s="86"/>
      <c r="BL1232" s="86"/>
      <c r="BM1232" s="86"/>
      <c r="BN1232" s="86"/>
      <c r="BO1232" s="86"/>
    </row>
    <row r="1233" spans="1:67" s="81" customFormat="1" x14ac:dyDescent="0.2">
      <c r="A1233" s="69" t="s">
        <v>67</v>
      </c>
      <c r="B1233" s="74">
        <v>43389</v>
      </c>
      <c r="C1233" s="75">
        <v>0.54861111111111105</v>
      </c>
      <c r="D1233" s="69" t="s">
        <v>158</v>
      </c>
      <c r="E1233" s="69"/>
      <c r="F1233" s="76">
        <v>63</v>
      </c>
      <c r="G1233" s="69">
        <v>2</v>
      </c>
      <c r="H1233" s="77">
        <v>3.1746031746031744E-2</v>
      </c>
      <c r="I1233" s="78">
        <v>6.9746499000000003E-2</v>
      </c>
      <c r="J1233" s="69">
        <v>314.15899999999999</v>
      </c>
      <c r="K1233" s="69">
        <v>1.046197485</v>
      </c>
      <c r="L1233" s="69">
        <v>15</v>
      </c>
      <c r="M1233" s="79">
        <v>150.14325904253153</v>
      </c>
      <c r="N1233" s="69">
        <v>1419</v>
      </c>
      <c r="O1233" s="80" t="s">
        <v>94</v>
      </c>
      <c r="P1233" s="80" t="s">
        <v>82</v>
      </c>
      <c r="Q1233" s="69" t="s">
        <v>95</v>
      </c>
      <c r="R1233" s="69" t="s">
        <v>96</v>
      </c>
      <c r="S1233" s="69"/>
      <c r="T1233" s="60">
        <v>358</v>
      </c>
      <c r="U1233" s="60">
        <v>719</v>
      </c>
      <c r="V1233" s="69">
        <v>0.9</v>
      </c>
      <c r="W1233" s="69">
        <v>0.9</v>
      </c>
      <c r="X1233" s="69">
        <v>0.9</v>
      </c>
      <c r="Y1233" s="9">
        <f t="shared" si="19"/>
        <v>53751.286737226284</v>
      </c>
      <c r="Z1233" s="60" t="s">
        <v>97</v>
      </c>
      <c r="AA1233" s="58" t="s">
        <v>413</v>
      </c>
      <c r="AB1233" s="81" t="s">
        <v>386</v>
      </c>
      <c r="AC1233" s="82"/>
      <c r="AD1233" s="69" t="s">
        <v>85</v>
      </c>
      <c r="AE1233" s="79">
        <v>0.11309723999999999</v>
      </c>
      <c r="AF1233" s="79">
        <v>0.17959422833333327</v>
      </c>
      <c r="AG1233" s="79">
        <v>0.11309723999999999</v>
      </c>
      <c r="AH1233" s="79">
        <v>0.26808234666666664</v>
      </c>
      <c r="AI1233" s="79">
        <v>0.381703185</v>
      </c>
      <c r="AJ1233" s="79">
        <v>0.17959422833333327</v>
      </c>
      <c r="AK1233" s="79">
        <v>0.26808234666666664</v>
      </c>
      <c r="AL1233" s="79">
        <v>0.11309723999999999</v>
      </c>
      <c r="AM1233" s="79">
        <v>0.11309723999999999</v>
      </c>
      <c r="AN1233" s="79">
        <v>0.17959422833333327</v>
      </c>
      <c r="AO1233" s="85" t="s">
        <v>78</v>
      </c>
      <c r="AP1233" s="86">
        <v>0.72399999999999987</v>
      </c>
      <c r="AQ1233" s="86">
        <v>0.6</v>
      </c>
      <c r="AR1233" s="86">
        <v>0.7</v>
      </c>
      <c r="AS1233" s="86">
        <v>0.6</v>
      </c>
      <c r="AT1233" s="86">
        <v>0.8</v>
      </c>
      <c r="AU1233" s="86">
        <v>0.9</v>
      </c>
      <c r="AV1233" s="86">
        <v>0.7</v>
      </c>
      <c r="AW1233" s="86">
        <v>0.8</v>
      </c>
      <c r="AX1233" s="86">
        <v>0.6</v>
      </c>
      <c r="AY1233" s="86">
        <v>0.6</v>
      </c>
      <c r="AZ1233" s="86">
        <v>0.7</v>
      </c>
      <c r="BA1233" s="86">
        <v>0.9</v>
      </c>
      <c r="BB1233" s="86">
        <v>0.7</v>
      </c>
      <c r="BC1233" s="86">
        <v>0.6</v>
      </c>
      <c r="BD1233" s="86">
        <v>0.7</v>
      </c>
      <c r="BE1233" s="86">
        <v>0.8</v>
      </c>
      <c r="BF1233" s="86">
        <v>0.9</v>
      </c>
      <c r="BG1233" s="86">
        <v>0.6</v>
      </c>
      <c r="BH1233" s="86">
        <v>0.7</v>
      </c>
      <c r="BI1233" s="86">
        <v>0.7</v>
      </c>
      <c r="BJ1233" s="86">
        <v>0.8</v>
      </c>
      <c r="BK1233" s="86">
        <v>0.8</v>
      </c>
      <c r="BL1233" s="86">
        <v>0.7</v>
      </c>
      <c r="BM1233" s="86">
        <v>0.6</v>
      </c>
      <c r="BN1233" s="86">
        <v>0.9</v>
      </c>
      <c r="BO1233" s="86">
        <v>0.7</v>
      </c>
    </row>
    <row r="1234" spans="1:67" s="53" customFormat="1" x14ac:dyDescent="0.2">
      <c r="A1234" s="53" t="s">
        <v>67</v>
      </c>
      <c r="B1234" s="87">
        <v>43171</v>
      </c>
      <c r="C1234" s="51">
        <v>0.56597222222222221</v>
      </c>
      <c r="D1234" s="53" t="s">
        <v>187</v>
      </c>
      <c r="F1234" s="52">
        <v>58.5</v>
      </c>
      <c r="G1234" s="53">
        <v>2</v>
      </c>
      <c r="H1234" s="53">
        <v>3.4188034188034191E-2</v>
      </c>
      <c r="I1234" s="53">
        <v>6.9746499000000003E-2</v>
      </c>
      <c r="J1234" s="53">
        <v>314.15899999999999</v>
      </c>
      <c r="K1234" s="53">
        <v>0.41847899399999999</v>
      </c>
      <c r="L1234" s="53">
        <v>6</v>
      </c>
      <c r="M1234" s="56">
        <v>375.35814760632883</v>
      </c>
      <c r="N1234" s="53">
        <v>975</v>
      </c>
      <c r="O1234" s="53" t="s">
        <v>415</v>
      </c>
      <c r="P1234" s="53" t="s">
        <v>70</v>
      </c>
      <c r="Q1234" s="53" t="s">
        <v>416</v>
      </c>
      <c r="R1234" s="53" t="s">
        <v>417</v>
      </c>
      <c r="S1234" s="69"/>
      <c r="T1234" s="69">
        <v>1</v>
      </c>
      <c r="U1234" s="49">
        <v>1</v>
      </c>
      <c r="V1234" s="53">
        <v>80.5</v>
      </c>
      <c r="Y1234" s="9">
        <f t="shared" si="19"/>
        <v>375.35814760632883</v>
      </c>
      <c r="Z1234" s="69" t="s">
        <v>73</v>
      </c>
      <c r="AA1234" s="58" t="s">
        <v>418</v>
      </c>
      <c r="AB1234" s="53" t="s">
        <v>386</v>
      </c>
      <c r="AC1234" s="70"/>
      <c r="AD1234" s="70" t="s">
        <v>77</v>
      </c>
      <c r="AE1234" s="56">
        <v>607.58743298749994</v>
      </c>
      <c r="AF1234" s="56"/>
      <c r="AG1234" s="70"/>
      <c r="AO1234" s="64" t="s">
        <v>78</v>
      </c>
      <c r="AP1234" s="73">
        <v>80.5</v>
      </c>
      <c r="AQ1234" s="73">
        <v>80.5</v>
      </c>
      <c r="AR1234" s="73"/>
      <c r="AS1234" s="73"/>
      <c r="AT1234" s="73"/>
      <c r="AU1234" s="73"/>
      <c r="AV1234" s="73"/>
      <c r="AW1234" s="73"/>
      <c r="AX1234" s="73"/>
      <c r="AY1234" s="73"/>
      <c r="AZ1234" s="73"/>
      <c r="BA1234" s="73"/>
      <c r="BB1234" s="73"/>
      <c r="BC1234" s="73"/>
      <c r="BD1234" s="73"/>
      <c r="BE1234" s="73"/>
      <c r="BF1234" s="73"/>
      <c r="BG1234" s="73"/>
      <c r="BH1234" s="73"/>
      <c r="BI1234" s="73"/>
      <c r="BJ1234" s="73"/>
      <c r="BK1234" s="73"/>
      <c r="BL1234" s="73"/>
      <c r="BM1234" s="73"/>
      <c r="BN1234" s="73"/>
      <c r="BO1234" s="73"/>
    </row>
    <row r="1235" spans="1:67" s="53" customFormat="1" x14ac:dyDescent="0.2">
      <c r="B1235" s="87"/>
      <c r="F1235" s="52"/>
      <c r="M1235" s="56"/>
      <c r="S1235" s="69"/>
      <c r="T1235" s="69"/>
      <c r="U1235" s="49"/>
      <c r="Y1235" s="9" t="e">
        <f t="shared" si="19"/>
        <v>#DIV/0!</v>
      </c>
      <c r="Z1235" s="69"/>
      <c r="AC1235" s="70"/>
      <c r="AD1235" s="70"/>
      <c r="AE1235" s="56"/>
      <c r="AF1235" s="56"/>
      <c r="AG1235" s="70"/>
      <c r="AO1235" s="64" t="s">
        <v>79</v>
      </c>
      <c r="AP1235" s="73">
        <v>3.1</v>
      </c>
      <c r="AQ1235" s="73">
        <v>3.1</v>
      </c>
      <c r="AR1235" s="73"/>
      <c r="AS1235" s="73"/>
      <c r="AT1235" s="73"/>
      <c r="AU1235" s="73"/>
      <c r="AV1235" s="73"/>
      <c r="AW1235" s="73"/>
      <c r="AX1235" s="73"/>
      <c r="AY1235" s="73"/>
      <c r="AZ1235" s="73"/>
      <c r="BA1235" s="73"/>
      <c r="BB1235" s="73"/>
      <c r="BC1235" s="73"/>
      <c r="BD1235" s="73"/>
      <c r="BE1235" s="73"/>
      <c r="BF1235" s="73"/>
      <c r="BG1235" s="73"/>
      <c r="BH1235" s="73"/>
      <c r="BI1235" s="73"/>
      <c r="BJ1235" s="73"/>
      <c r="BK1235" s="73"/>
      <c r="BL1235" s="73"/>
      <c r="BM1235" s="73"/>
      <c r="BN1235" s="73"/>
      <c r="BO1235" s="73"/>
    </row>
    <row r="1236" spans="1:67" s="53" customFormat="1" x14ac:dyDescent="0.2">
      <c r="B1236" s="87"/>
      <c r="F1236" s="52"/>
      <c r="M1236" s="56"/>
      <c r="S1236" s="69"/>
      <c r="T1236" s="69"/>
      <c r="U1236" s="49"/>
      <c r="Y1236" s="9" t="e">
        <f t="shared" si="19"/>
        <v>#DIV/0!</v>
      </c>
      <c r="Z1236" s="69"/>
      <c r="AC1236" s="70"/>
      <c r="AD1236" s="70"/>
      <c r="AE1236" s="56"/>
      <c r="AF1236" s="56"/>
      <c r="AG1236" s="70"/>
      <c r="AO1236" s="64" t="s">
        <v>80</v>
      </c>
      <c r="AP1236" s="73">
        <v>3.1</v>
      </c>
      <c r="AQ1236" s="73">
        <v>3.1</v>
      </c>
      <c r="AR1236" s="73"/>
      <c r="AS1236" s="73"/>
      <c r="AT1236" s="73"/>
      <c r="AU1236" s="73"/>
      <c r="AV1236" s="73"/>
      <c r="AW1236" s="73"/>
      <c r="AX1236" s="73"/>
      <c r="AY1236" s="73"/>
      <c r="AZ1236" s="73"/>
      <c r="BA1236" s="73"/>
      <c r="BB1236" s="73"/>
      <c r="BC1236" s="73"/>
      <c r="BD1236" s="73"/>
      <c r="BE1236" s="73"/>
      <c r="BF1236" s="73"/>
      <c r="BG1236" s="73"/>
      <c r="BH1236" s="73"/>
      <c r="BI1236" s="73"/>
      <c r="BJ1236" s="73"/>
      <c r="BK1236" s="73"/>
      <c r="BL1236" s="73"/>
      <c r="BM1236" s="73"/>
      <c r="BN1236" s="73"/>
      <c r="BO1236" s="73"/>
    </row>
    <row r="1237" spans="1:67" s="53" customFormat="1" x14ac:dyDescent="0.2">
      <c r="A1237" s="53" t="s">
        <v>67</v>
      </c>
      <c r="B1237" s="87">
        <v>43171</v>
      </c>
      <c r="C1237" s="51">
        <v>0.56597222222222221</v>
      </c>
      <c r="D1237" s="53" t="s">
        <v>187</v>
      </c>
      <c r="F1237" s="52">
        <v>58.5</v>
      </c>
      <c r="G1237" s="53">
        <v>2</v>
      </c>
      <c r="H1237" s="53">
        <v>3.4188034188034191E-2</v>
      </c>
      <c r="I1237" s="53">
        <v>6.9746499000000003E-2</v>
      </c>
      <c r="J1237" s="53">
        <v>314.15899999999999</v>
      </c>
      <c r="K1237" s="53">
        <v>0.41847899399999999</v>
      </c>
      <c r="L1237" s="53">
        <v>6</v>
      </c>
      <c r="M1237" s="56">
        <v>375.35814760632883</v>
      </c>
      <c r="N1237" s="53">
        <v>1037</v>
      </c>
      <c r="O1237" s="53" t="s">
        <v>86</v>
      </c>
      <c r="P1237" s="53" t="s">
        <v>82</v>
      </c>
      <c r="Q1237" s="53" t="s">
        <v>87</v>
      </c>
      <c r="R1237" s="53" t="s">
        <v>84</v>
      </c>
      <c r="S1237" s="69"/>
      <c r="T1237" s="69">
        <v>33</v>
      </c>
      <c r="U1237" s="49">
        <v>33</v>
      </c>
      <c r="V1237" s="53">
        <v>3.7</v>
      </c>
      <c r="Y1237" s="9">
        <f t="shared" si="19"/>
        <v>12386.818871008851</v>
      </c>
      <c r="Z1237" s="69" t="s">
        <v>73</v>
      </c>
      <c r="AA1237" s="58" t="s">
        <v>418</v>
      </c>
      <c r="AB1237" s="53" t="s">
        <v>386</v>
      </c>
      <c r="AC1237" s="70"/>
      <c r="AD1237" s="70" t="s">
        <v>85</v>
      </c>
      <c r="AE1237" s="56">
        <v>14.137154999999998</v>
      </c>
      <c r="AF1237" s="56"/>
      <c r="AG1237" s="70"/>
      <c r="AO1237" s="64" t="s">
        <v>78</v>
      </c>
      <c r="AP1237" s="73">
        <v>2.9999999999999996</v>
      </c>
      <c r="AQ1237" s="73">
        <v>2.4</v>
      </c>
      <c r="AR1237" s="73">
        <v>2.8</v>
      </c>
      <c r="AS1237" s="73">
        <v>3.7</v>
      </c>
      <c r="AT1237" s="73">
        <v>3.7</v>
      </c>
      <c r="AU1237" s="73">
        <v>2.4</v>
      </c>
      <c r="AV1237" s="73"/>
      <c r="AW1237" s="73"/>
      <c r="AX1237" s="73"/>
      <c r="AY1237" s="73"/>
      <c r="AZ1237" s="73"/>
      <c r="BA1237" s="73"/>
      <c r="BB1237" s="73"/>
      <c r="BC1237" s="73"/>
      <c r="BD1237" s="73"/>
      <c r="BE1237" s="73"/>
      <c r="BF1237" s="73"/>
      <c r="BG1237" s="73"/>
      <c r="BH1237" s="73"/>
      <c r="BI1237" s="73"/>
      <c r="BJ1237" s="73"/>
      <c r="BK1237" s="73"/>
      <c r="BL1237" s="73"/>
      <c r="BM1237" s="73"/>
      <c r="BN1237" s="73"/>
      <c r="BO1237" s="73"/>
    </row>
    <row r="1238" spans="1:67" s="53" customFormat="1" x14ac:dyDescent="0.2">
      <c r="A1238" s="53" t="s">
        <v>67</v>
      </c>
      <c r="B1238" s="87">
        <v>43171</v>
      </c>
      <c r="C1238" s="51">
        <v>0.56597222222222221</v>
      </c>
      <c r="D1238" s="53" t="s">
        <v>187</v>
      </c>
      <c r="F1238" s="52">
        <v>58.5</v>
      </c>
      <c r="G1238" s="53">
        <v>2</v>
      </c>
      <c r="H1238" s="53">
        <v>3.4188034188034191E-2</v>
      </c>
      <c r="I1238" s="53">
        <v>6.9746499000000003E-2</v>
      </c>
      <c r="J1238" s="53">
        <v>314.15899999999999</v>
      </c>
      <c r="K1238" s="53">
        <v>0.41847899399999999</v>
      </c>
      <c r="L1238" s="53">
        <v>6</v>
      </c>
      <c r="M1238" s="56">
        <v>375.35814760632883</v>
      </c>
      <c r="N1238" s="53">
        <v>1733</v>
      </c>
      <c r="O1238" s="53" t="s">
        <v>391</v>
      </c>
      <c r="P1238" s="53" t="s">
        <v>82</v>
      </c>
      <c r="Q1238" s="53" t="s">
        <v>89</v>
      </c>
      <c r="R1238" s="53" t="s">
        <v>93</v>
      </c>
      <c r="S1238" s="69"/>
      <c r="T1238" s="69">
        <v>1</v>
      </c>
      <c r="U1238" s="49">
        <v>1</v>
      </c>
      <c r="V1238" s="53">
        <v>6.1</v>
      </c>
      <c r="Y1238" s="9">
        <f t="shared" si="19"/>
        <v>375.35814760632883</v>
      </c>
      <c r="Z1238" s="69" t="s">
        <v>73</v>
      </c>
      <c r="AA1238" s="58" t="s">
        <v>418</v>
      </c>
      <c r="AB1238" s="53" t="s">
        <v>386</v>
      </c>
      <c r="AC1238" s="70"/>
      <c r="AD1238" s="70" t="s">
        <v>91</v>
      </c>
      <c r="AE1238" s="56">
        <v>95.467160518333316</v>
      </c>
      <c r="AF1238" s="56"/>
      <c r="AG1238" s="70"/>
      <c r="AO1238" s="64" t="s">
        <v>78</v>
      </c>
      <c r="AP1238" s="73">
        <v>6.1</v>
      </c>
      <c r="AQ1238" s="73">
        <v>6.1</v>
      </c>
      <c r="AR1238" s="73"/>
      <c r="AS1238" s="73"/>
      <c r="AT1238" s="73"/>
      <c r="AU1238" s="73"/>
      <c r="AV1238" s="73"/>
      <c r="AW1238" s="73"/>
      <c r="AX1238" s="73"/>
      <c r="AY1238" s="73"/>
      <c r="AZ1238" s="73"/>
      <c r="BA1238" s="73"/>
      <c r="BB1238" s="73"/>
      <c r="BC1238" s="73"/>
      <c r="BD1238" s="73"/>
      <c r="BE1238" s="73"/>
      <c r="BF1238" s="73"/>
      <c r="BG1238" s="73"/>
      <c r="BH1238" s="73"/>
      <c r="BI1238" s="73"/>
      <c r="BJ1238" s="73"/>
      <c r="BK1238" s="73"/>
      <c r="BL1238" s="73"/>
      <c r="BM1238" s="73"/>
      <c r="BN1238" s="73"/>
      <c r="BO1238" s="73"/>
    </row>
    <row r="1239" spans="1:67" s="53" customFormat="1" x14ac:dyDescent="0.2">
      <c r="B1239" s="87"/>
      <c r="F1239" s="52"/>
      <c r="M1239" s="56"/>
      <c r="S1239" s="69"/>
      <c r="T1239" s="69"/>
      <c r="U1239" s="49"/>
      <c r="Y1239" s="9" t="e">
        <f t="shared" si="19"/>
        <v>#DIV/0!</v>
      </c>
      <c r="Z1239" s="69"/>
      <c r="AC1239" s="70"/>
      <c r="AD1239" s="70"/>
      <c r="AE1239" s="56"/>
      <c r="AF1239" s="56"/>
      <c r="AG1239" s="70"/>
      <c r="AO1239" s="64" t="s">
        <v>79</v>
      </c>
      <c r="AP1239" s="73">
        <v>3.7</v>
      </c>
      <c r="AQ1239" s="73">
        <v>3.7</v>
      </c>
      <c r="AR1239" s="73"/>
      <c r="AS1239" s="73"/>
      <c r="AT1239" s="73"/>
      <c r="AU1239" s="73"/>
      <c r="AV1239" s="73"/>
      <c r="AW1239" s="73"/>
      <c r="AX1239" s="73"/>
      <c r="AY1239" s="73"/>
      <c r="AZ1239" s="73"/>
      <c r="BA1239" s="73"/>
      <c r="BB1239" s="73"/>
      <c r="BC1239" s="73"/>
      <c r="BD1239" s="73"/>
      <c r="BE1239" s="73"/>
      <c r="BF1239" s="73"/>
      <c r="BG1239" s="73"/>
      <c r="BH1239" s="73"/>
      <c r="BI1239" s="73"/>
      <c r="BJ1239" s="73"/>
      <c r="BK1239" s="73"/>
      <c r="BL1239" s="73"/>
      <c r="BM1239" s="73"/>
      <c r="BN1239" s="73"/>
      <c r="BO1239" s="73"/>
    </row>
    <row r="1240" spans="1:67" s="53" customFormat="1" x14ac:dyDescent="0.2">
      <c r="A1240" s="53" t="s">
        <v>67</v>
      </c>
      <c r="B1240" s="87">
        <v>43171</v>
      </c>
      <c r="C1240" s="51">
        <v>0.56597222222222221</v>
      </c>
      <c r="D1240" s="53" t="s">
        <v>187</v>
      </c>
      <c r="F1240" s="52">
        <v>58.5</v>
      </c>
      <c r="G1240" s="53">
        <v>2</v>
      </c>
      <c r="H1240" s="53">
        <v>3.4188034188034191E-2</v>
      </c>
      <c r="I1240" s="53">
        <v>6.9746499000000003E-2</v>
      </c>
      <c r="J1240" s="53">
        <v>314.15899999999999</v>
      </c>
      <c r="K1240" s="53">
        <v>0.41847899399999999</v>
      </c>
      <c r="L1240" s="53">
        <v>6</v>
      </c>
      <c r="M1240" s="56">
        <v>375.35814760632883</v>
      </c>
      <c r="N1240" s="53">
        <v>1419</v>
      </c>
      <c r="O1240" s="53" t="s">
        <v>94</v>
      </c>
      <c r="P1240" s="53" t="s">
        <v>82</v>
      </c>
      <c r="Q1240" s="53" t="s">
        <v>95</v>
      </c>
      <c r="R1240" s="53" t="s">
        <v>96</v>
      </c>
      <c r="S1240" s="69"/>
      <c r="T1240" s="69">
        <v>367</v>
      </c>
      <c r="U1240" s="49">
        <v>747</v>
      </c>
      <c r="V1240" s="53">
        <v>0.9</v>
      </c>
      <c r="W1240" s="53">
        <v>0.9</v>
      </c>
      <c r="X1240" s="53">
        <v>0.9</v>
      </c>
      <c r="Y1240" s="9">
        <f t="shared" si="19"/>
        <v>137756.4401715227</v>
      </c>
      <c r="Z1240" s="69" t="s">
        <v>97</v>
      </c>
      <c r="AA1240" s="58" t="s">
        <v>418</v>
      </c>
      <c r="AB1240" s="53" t="s">
        <v>386</v>
      </c>
      <c r="AC1240" s="70"/>
      <c r="AD1240" s="70" t="s">
        <v>85</v>
      </c>
      <c r="AE1240" s="56">
        <v>0.11309723999999999</v>
      </c>
      <c r="AF1240" s="56">
        <v>0.17959422833333327</v>
      </c>
      <c r="AG1240" s="56">
        <v>0.11309723999999999</v>
      </c>
      <c r="AH1240" s="56">
        <v>0.26808234666666664</v>
      </c>
      <c r="AI1240" s="56">
        <v>0.381703185</v>
      </c>
      <c r="AJ1240" s="56">
        <v>0.17959422833333327</v>
      </c>
      <c r="AK1240" s="56">
        <v>0.26808234666666664</v>
      </c>
      <c r="AL1240" s="56">
        <v>0.11309723999999999</v>
      </c>
      <c r="AM1240" s="56">
        <v>0.11309723999999999</v>
      </c>
      <c r="AN1240" s="56">
        <v>0.17959422833333327</v>
      </c>
      <c r="AO1240" s="64" t="s">
        <v>78</v>
      </c>
      <c r="AP1240" s="73">
        <v>0.72399999999999987</v>
      </c>
      <c r="AQ1240" s="73">
        <v>0.6</v>
      </c>
      <c r="AR1240" s="73">
        <v>0.7</v>
      </c>
      <c r="AS1240" s="73">
        <v>0.6</v>
      </c>
      <c r="AT1240" s="73">
        <v>0.8</v>
      </c>
      <c r="AU1240" s="73">
        <v>0.9</v>
      </c>
      <c r="AV1240" s="73">
        <v>0.7</v>
      </c>
      <c r="AW1240" s="73">
        <v>0.8</v>
      </c>
      <c r="AX1240" s="73">
        <v>0.6</v>
      </c>
      <c r="AY1240" s="73">
        <v>0.6</v>
      </c>
      <c r="AZ1240" s="73">
        <v>0.7</v>
      </c>
      <c r="BA1240" s="73">
        <v>0.9</v>
      </c>
      <c r="BB1240" s="73">
        <v>0.7</v>
      </c>
      <c r="BC1240" s="73">
        <v>0.6</v>
      </c>
      <c r="BD1240" s="73">
        <v>0.7</v>
      </c>
      <c r="BE1240" s="73">
        <v>0.8</v>
      </c>
      <c r="BF1240" s="73">
        <v>0.9</v>
      </c>
      <c r="BG1240" s="73">
        <v>0.6</v>
      </c>
      <c r="BH1240" s="73">
        <v>0.7</v>
      </c>
      <c r="BI1240" s="73">
        <v>0.7</v>
      </c>
      <c r="BJ1240" s="73">
        <v>0.8</v>
      </c>
      <c r="BK1240" s="73">
        <v>0.8</v>
      </c>
      <c r="BL1240" s="73">
        <v>0.7</v>
      </c>
      <c r="BM1240" s="73">
        <v>0.6</v>
      </c>
      <c r="BN1240" s="73">
        <v>0.9</v>
      </c>
      <c r="BO1240" s="73">
        <v>0.7</v>
      </c>
    </row>
    <row r="1241" spans="1:67" s="81" customFormat="1" x14ac:dyDescent="0.2">
      <c r="A1241" s="69" t="s">
        <v>67</v>
      </c>
      <c r="B1241" s="74">
        <v>43390</v>
      </c>
      <c r="C1241" s="75">
        <v>0.51666666666666705</v>
      </c>
      <c r="D1241" s="69" t="s">
        <v>226</v>
      </c>
      <c r="E1241" s="69">
        <v>3</v>
      </c>
      <c r="F1241" s="76">
        <v>60.5</v>
      </c>
      <c r="G1241" s="69">
        <v>2</v>
      </c>
      <c r="H1241" s="77">
        <v>3.3057851239669422E-2</v>
      </c>
      <c r="I1241" s="78">
        <v>6.9746499000000003E-2</v>
      </c>
      <c r="J1241" s="69">
        <v>314.15899999999999</v>
      </c>
      <c r="K1241" s="69">
        <v>0.41847899399999999</v>
      </c>
      <c r="L1241" s="69">
        <v>6</v>
      </c>
      <c r="M1241" s="79">
        <v>375.35814760632883</v>
      </c>
      <c r="N1241" s="69">
        <v>190</v>
      </c>
      <c r="O1241" s="80" t="s">
        <v>296</v>
      </c>
      <c r="P1241" s="81" t="s">
        <v>70</v>
      </c>
      <c r="Q1241" s="69" t="s">
        <v>103</v>
      </c>
      <c r="R1241" s="69" t="s">
        <v>84</v>
      </c>
      <c r="S1241" s="69"/>
      <c r="T1241" s="60">
        <v>1</v>
      </c>
      <c r="U1241" s="60">
        <v>1</v>
      </c>
      <c r="V1241" s="69">
        <v>7.4</v>
      </c>
      <c r="W1241" s="69"/>
      <c r="X1241" s="69"/>
      <c r="Y1241" s="9">
        <f t="shared" si="19"/>
        <v>375.35814760632883</v>
      </c>
      <c r="Z1241" s="60" t="s">
        <v>73</v>
      </c>
      <c r="AA1241" s="58" t="s">
        <v>419</v>
      </c>
      <c r="AB1241" s="81" t="s">
        <v>386</v>
      </c>
      <c r="AC1241" s="82" t="s">
        <v>112</v>
      </c>
      <c r="AD1241" s="69" t="s">
        <v>104</v>
      </c>
      <c r="AE1241" s="79">
        <v>197.83848866</v>
      </c>
      <c r="AF1241" s="83"/>
      <c r="AG1241" s="84"/>
      <c r="AH1241" s="82"/>
      <c r="AO1241" s="85" t="s">
        <v>78</v>
      </c>
      <c r="AP1241" s="86">
        <v>4.5999999999999996</v>
      </c>
      <c r="AQ1241" s="86">
        <v>4.5999999999999996</v>
      </c>
      <c r="AR1241" s="86"/>
      <c r="AS1241" s="86"/>
      <c r="AT1241" s="86"/>
      <c r="AU1241" s="86"/>
      <c r="AV1241" s="86"/>
      <c r="AW1241" s="86"/>
      <c r="AX1241" s="86"/>
      <c r="AY1241" s="86"/>
      <c r="AZ1241" s="86"/>
      <c r="BA1241" s="86"/>
      <c r="BB1241" s="86"/>
      <c r="BC1241" s="86"/>
      <c r="BD1241" s="86"/>
      <c r="BE1241" s="86"/>
      <c r="BF1241" s="86"/>
      <c r="BG1241" s="86"/>
      <c r="BH1241" s="86"/>
      <c r="BI1241" s="86"/>
      <c r="BJ1241" s="86"/>
      <c r="BK1241" s="86"/>
      <c r="BL1241" s="86"/>
      <c r="BM1241" s="86"/>
      <c r="BN1241" s="86"/>
      <c r="BO1241" s="86"/>
    </row>
    <row r="1242" spans="1:67" s="81" customFormat="1" x14ac:dyDescent="0.2">
      <c r="A1242" s="69"/>
      <c r="B1242" s="74"/>
      <c r="C1242" s="75"/>
      <c r="D1242" s="69"/>
      <c r="E1242" s="69"/>
      <c r="F1242" s="76"/>
      <c r="G1242" s="69"/>
      <c r="H1242" s="77"/>
      <c r="I1242" s="78"/>
      <c r="J1242" s="69"/>
      <c r="K1242" s="69"/>
      <c r="L1242" s="69"/>
      <c r="M1242" s="79"/>
      <c r="N1242" s="69"/>
      <c r="O1242" s="80"/>
      <c r="Q1242" s="69"/>
      <c r="R1242" s="69"/>
      <c r="S1242" s="69"/>
      <c r="T1242" s="60"/>
      <c r="U1242" s="60"/>
      <c r="V1242" s="69"/>
      <c r="W1242" s="69"/>
      <c r="X1242" s="69"/>
      <c r="Y1242" s="9" t="e">
        <f t="shared" si="19"/>
        <v>#DIV/0!</v>
      </c>
      <c r="Z1242" s="60"/>
      <c r="AC1242" s="82"/>
      <c r="AD1242" s="69"/>
      <c r="AE1242" s="79"/>
      <c r="AF1242" s="83"/>
      <c r="AG1242" s="84"/>
      <c r="AH1242" s="82"/>
      <c r="AO1242" s="64" t="s">
        <v>79</v>
      </c>
      <c r="AP1242" s="86">
        <v>7.4</v>
      </c>
      <c r="AQ1242" s="86">
        <v>7.4</v>
      </c>
      <c r="AR1242" s="86"/>
      <c r="AS1242" s="86"/>
      <c r="AT1242" s="86"/>
      <c r="AU1242" s="86"/>
      <c r="AV1242" s="86"/>
      <c r="AW1242" s="86"/>
      <c r="AX1242" s="86"/>
      <c r="AY1242" s="86"/>
      <c r="AZ1242" s="86"/>
      <c r="BA1242" s="86"/>
      <c r="BB1242" s="86"/>
      <c r="BC1242" s="86"/>
      <c r="BD1242" s="86"/>
      <c r="BE1242" s="86"/>
      <c r="BF1242" s="86"/>
      <c r="BG1242" s="86"/>
      <c r="BH1242" s="86"/>
      <c r="BI1242" s="86"/>
      <c r="BJ1242" s="86"/>
      <c r="BK1242" s="86"/>
      <c r="BL1242" s="86"/>
      <c r="BM1242" s="86"/>
      <c r="BN1242" s="86"/>
      <c r="BO1242" s="86"/>
    </row>
    <row r="1243" spans="1:67" s="81" customFormat="1" ht="12.6" customHeight="1" x14ac:dyDescent="0.2">
      <c r="A1243" s="69" t="s">
        <v>67</v>
      </c>
      <c r="B1243" s="74">
        <v>43390</v>
      </c>
      <c r="C1243" s="75">
        <v>0.51666666666666705</v>
      </c>
      <c r="D1243" s="69" t="s">
        <v>226</v>
      </c>
      <c r="E1243" s="69">
        <v>3</v>
      </c>
      <c r="F1243" s="76">
        <v>60.5</v>
      </c>
      <c r="G1243" s="69">
        <v>2</v>
      </c>
      <c r="H1243" s="77">
        <v>3.3057851239669422E-2</v>
      </c>
      <c r="I1243" s="78">
        <v>6.9746499000000003E-2</v>
      </c>
      <c r="J1243" s="69">
        <v>314.15899999999999</v>
      </c>
      <c r="K1243" s="69">
        <v>0.41847899399999999</v>
      </c>
      <c r="L1243" s="69">
        <v>6</v>
      </c>
      <c r="M1243" s="79">
        <v>375.35814760632883</v>
      </c>
      <c r="N1243" s="69">
        <v>631</v>
      </c>
      <c r="O1243" s="80" t="s">
        <v>393</v>
      </c>
      <c r="P1243" s="81" t="s">
        <v>70</v>
      </c>
      <c r="Q1243" s="69" t="s">
        <v>147</v>
      </c>
      <c r="R1243" s="69" t="s">
        <v>84</v>
      </c>
      <c r="S1243" s="69"/>
      <c r="T1243" s="60">
        <v>1</v>
      </c>
      <c r="U1243" s="60">
        <v>1</v>
      </c>
      <c r="V1243" s="69">
        <v>14.8</v>
      </c>
      <c r="W1243" s="69"/>
      <c r="X1243" s="69"/>
      <c r="Y1243" s="9">
        <f t="shared" si="19"/>
        <v>375.35814760632883</v>
      </c>
      <c r="Z1243" s="60" t="s">
        <v>73</v>
      </c>
      <c r="AA1243" s="58" t="s">
        <v>419</v>
      </c>
      <c r="AB1243" s="81" t="s">
        <v>386</v>
      </c>
      <c r="AC1243" s="82" t="s">
        <v>420</v>
      </c>
      <c r="AD1243" s="69" t="s">
        <v>77</v>
      </c>
      <c r="AE1243" s="79">
        <v>481.69371151999997</v>
      </c>
      <c r="AF1243" s="83"/>
      <c r="AG1243" s="84"/>
      <c r="AH1243" s="82"/>
      <c r="AO1243" s="85" t="s">
        <v>78</v>
      </c>
      <c r="AP1243" s="86">
        <v>14.8</v>
      </c>
      <c r="AQ1243" s="86">
        <v>14.8</v>
      </c>
      <c r="AR1243" s="86"/>
      <c r="AS1243" s="86"/>
      <c r="AT1243" s="86"/>
      <c r="AU1243" s="86"/>
      <c r="AV1243" s="86"/>
      <c r="AW1243" s="86"/>
      <c r="AX1243" s="86"/>
      <c r="AY1243" s="86"/>
      <c r="AZ1243" s="86"/>
      <c r="BA1243" s="86"/>
      <c r="BB1243" s="86"/>
      <c r="BC1243" s="86"/>
      <c r="BD1243" s="86"/>
      <c r="BE1243" s="86"/>
      <c r="BF1243" s="86"/>
      <c r="BG1243" s="86"/>
      <c r="BH1243" s="86"/>
      <c r="BI1243" s="86"/>
      <c r="BJ1243" s="86"/>
      <c r="BK1243" s="86"/>
      <c r="BL1243" s="86"/>
      <c r="BM1243" s="86"/>
      <c r="BN1243" s="86"/>
      <c r="BO1243" s="86"/>
    </row>
    <row r="1244" spans="1:67" s="81" customFormat="1" ht="12.6" customHeight="1" x14ac:dyDescent="0.2">
      <c r="A1244" s="69"/>
      <c r="B1244" s="74"/>
      <c r="C1244" s="75"/>
      <c r="D1244" s="69"/>
      <c r="E1244" s="69"/>
      <c r="F1244" s="76"/>
      <c r="G1244" s="69"/>
      <c r="H1244" s="77"/>
      <c r="I1244" s="78"/>
      <c r="J1244" s="69"/>
      <c r="K1244" s="69"/>
      <c r="L1244" s="69"/>
      <c r="M1244" s="79"/>
      <c r="N1244" s="69"/>
      <c r="O1244" s="80"/>
      <c r="Q1244" s="69"/>
      <c r="R1244" s="69"/>
      <c r="S1244" s="69"/>
      <c r="T1244" s="60"/>
      <c r="U1244" s="60"/>
      <c r="V1244" s="69"/>
      <c r="W1244" s="69"/>
      <c r="X1244" s="69"/>
      <c r="Y1244" s="9" t="e">
        <f t="shared" si="19"/>
        <v>#DIV/0!</v>
      </c>
      <c r="Z1244" s="60"/>
      <c r="AC1244" s="82"/>
      <c r="AD1244" s="69"/>
      <c r="AE1244" s="79"/>
      <c r="AF1244" s="83"/>
      <c r="AG1244" s="84"/>
      <c r="AH1244" s="82"/>
      <c r="AO1244" s="64" t="s">
        <v>79</v>
      </c>
      <c r="AP1244" s="86">
        <v>7.4</v>
      </c>
      <c r="AQ1244" s="86">
        <v>7.4</v>
      </c>
      <c r="AR1244" s="86"/>
      <c r="AS1244" s="86"/>
      <c r="AT1244" s="86"/>
      <c r="AU1244" s="86"/>
      <c r="AV1244" s="86"/>
      <c r="AW1244" s="86"/>
      <c r="AX1244" s="86"/>
      <c r="AY1244" s="86"/>
      <c r="AZ1244" s="86"/>
      <c r="BA1244" s="86"/>
      <c r="BB1244" s="86"/>
      <c r="BC1244" s="86"/>
      <c r="BD1244" s="86"/>
      <c r="BE1244" s="86"/>
      <c r="BF1244" s="86"/>
      <c r="BG1244" s="86"/>
      <c r="BH1244" s="86"/>
      <c r="BI1244" s="86"/>
      <c r="BJ1244" s="86"/>
      <c r="BK1244" s="86"/>
      <c r="BL1244" s="86"/>
      <c r="BM1244" s="86"/>
      <c r="BN1244" s="86"/>
      <c r="BO1244" s="86"/>
    </row>
    <row r="1245" spans="1:67" s="81" customFormat="1" ht="12.6" customHeight="1" x14ac:dyDescent="0.2">
      <c r="A1245" s="69"/>
      <c r="B1245" s="74"/>
      <c r="C1245" s="75"/>
      <c r="D1245" s="69"/>
      <c r="E1245" s="69"/>
      <c r="F1245" s="76"/>
      <c r="G1245" s="69"/>
      <c r="H1245" s="77"/>
      <c r="I1245" s="78"/>
      <c r="J1245" s="69"/>
      <c r="K1245" s="69"/>
      <c r="L1245" s="69"/>
      <c r="M1245" s="79"/>
      <c r="N1245" s="69"/>
      <c r="O1245" s="80"/>
      <c r="Q1245" s="69"/>
      <c r="R1245" s="69"/>
      <c r="S1245" s="69"/>
      <c r="T1245" s="60"/>
      <c r="U1245" s="60"/>
      <c r="V1245" s="69"/>
      <c r="W1245" s="69"/>
      <c r="X1245" s="69"/>
      <c r="Y1245" s="9" t="e">
        <f t="shared" si="19"/>
        <v>#DIV/0!</v>
      </c>
      <c r="Z1245" s="60"/>
      <c r="AC1245" s="82"/>
      <c r="AD1245" s="69"/>
      <c r="AE1245" s="79"/>
      <c r="AF1245" s="83"/>
      <c r="AG1245" s="84"/>
      <c r="AH1245" s="82"/>
      <c r="AO1245" s="64" t="s">
        <v>80</v>
      </c>
      <c r="AP1245" s="86">
        <v>5.6</v>
      </c>
      <c r="AQ1245" s="86">
        <v>5.6</v>
      </c>
      <c r="AR1245" s="86"/>
      <c r="AS1245" s="86"/>
      <c r="AT1245" s="86"/>
      <c r="AU1245" s="86"/>
      <c r="AV1245" s="86"/>
      <c r="AW1245" s="86"/>
      <c r="AX1245" s="86"/>
      <c r="AY1245" s="86"/>
      <c r="AZ1245" s="86"/>
      <c r="BA1245" s="86"/>
      <c r="BB1245" s="86"/>
      <c r="BC1245" s="86"/>
      <c r="BD1245" s="86"/>
      <c r="BE1245" s="86"/>
      <c r="BF1245" s="86"/>
      <c r="BG1245" s="86"/>
      <c r="BH1245" s="86"/>
      <c r="BI1245" s="86"/>
      <c r="BJ1245" s="86"/>
      <c r="BK1245" s="86"/>
      <c r="BL1245" s="86"/>
      <c r="BM1245" s="86"/>
      <c r="BN1245" s="86"/>
      <c r="BO1245" s="86"/>
    </row>
    <row r="1246" spans="1:67" s="81" customFormat="1" x14ac:dyDescent="0.2">
      <c r="A1246" s="69" t="s">
        <v>67</v>
      </c>
      <c r="B1246" s="74">
        <v>43390</v>
      </c>
      <c r="C1246" s="75">
        <v>0.51666666666666705</v>
      </c>
      <c r="D1246" s="69" t="s">
        <v>226</v>
      </c>
      <c r="E1246" s="69">
        <v>3</v>
      </c>
      <c r="F1246" s="76">
        <v>60.5</v>
      </c>
      <c r="G1246" s="69">
        <v>2</v>
      </c>
      <c r="H1246" s="77">
        <v>3.3057851239669422E-2</v>
      </c>
      <c r="I1246" s="78">
        <v>6.9746499000000003E-2</v>
      </c>
      <c r="J1246" s="69">
        <v>314.15899999999999</v>
      </c>
      <c r="K1246" s="69">
        <v>0.41847899399999999</v>
      </c>
      <c r="L1246" s="69">
        <v>6</v>
      </c>
      <c r="M1246" s="79">
        <v>375.35814760632883</v>
      </c>
      <c r="N1246" s="69">
        <v>987</v>
      </c>
      <c r="O1246" s="80" t="s">
        <v>421</v>
      </c>
      <c r="P1246" s="81" t="s">
        <v>70</v>
      </c>
      <c r="Q1246" s="69" t="s">
        <v>422</v>
      </c>
      <c r="R1246" s="69" t="s">
        <v>84</v>
      </c>
      <c r="S1246" s="69"/>
      <c r="T1246" s="60">
        <v>1</v>
      </c>
      <c r="U1246" s="60">
        <v>1</v>
      </c>
      <c r="V1246" s="69">
        <v>4.5999999999999996</v>
      </c>
      <c r="W1246" s="69"/>
      <c r="X1246" s="69"/>
      <c r="Y1246" s="9">
        <f t="shared" si="19"/>
        <v>375.35814760632883</v>
      </c>
      <c r="Z1246" s="60" t="s">
        <v>73</v>
      </c>
      <c r="AA1246" s="58" t="s">
        <v>419</v>
      </c>
      <c r="AB1246" s="81" t="s">
        <v>386</v>
      </c>
      <c r="AC1246" s="82" t="s">
        <v>112</v>
      </c>
      <c r="AD1246" s="69" t="s">
        <v>104</v>
      </c>
      <c r="AE1246" s="79">
        <v>46.533231079999993</v>
      </c>
      <c r="AF1246" s="83"/>
      <c r="AG1246" s="84"/>
      <c r="AH1246" s="82"/>
      <c r="AO1246" s="85" t="s">
        <v>78</v>
      </c>
      <c r="AP1246" s="86">
        <v>2.8</v>
      </c>
      <c r="AQ1246" s="86">
        <v>2.8</v>
      </c>
      <c r="AR1246" s="86"/>
      <c r="AS1246" s="86"/>
      <c r="AT1246" s="86"/>
      <c r="AU1246" s="86"/>
      <c r="AV1246" s="86"/>
      <c r="AW1246" s="86"/>
      <c r="AX1246" s="86"/>
      <c r="AY1246" s="86"/>
      <c r="AZ1246" s="86"/>
      <c r="BA1246" s="86"/>
      <c r="BB1246" s="86"/>
      <c r="BC1246" s="86"/>
      <c r="BD1246" s="86"/>
      <c r="BE1246" s="86"/>
      <c r="BF1246" s="86"/>
      <c r="BG1246" s="86"/>
      <c r="BH1246" s="86"/>
      <c r="BI1246" s="86"/>
      <c r="BJ1246" s="86"/>
      <c r="BK1246" s="86"/>
      <c r="BL1246" s="86"/>
      <c r="BM1246" s="86"/>
      <c r="BN1246" s="86"/>
      <c r="BO1246" s="86"/>
    </row>
    <row r="1247" spans="1:67" s="81" customFormat="1" x14ac:dyDescent="0.2">
      <c r="A1247" s="69"/>
      <c r="B1247" s="74"/>
      <c r="C1247" s="75"/>
      <c r="D1247" s="69"/>
      <c r="E1247" s="69"/>
      <c r="F1247" s="76"/>
      <c r="G1247" s="69"/>
      <c r="H1247" s="77"/>
      <c r="I1247" s="78"/>
      <c r="J1247" s="69"/>
      <c r="K1247" s="69"/>
      <c r="L1247" s="69"/>
      <c r="M1247" s="79"/>
      <c r="N1247" s="69"/>
      <c r="O1247" s="80"/>
      <c r="Q1247" s="69"/>
      <c r="R1247" s="69"/>
      <c r="S1247" s="69"/>
      <c r="T1247" s="60"/>
      <c r="U1247" s="60"/>
      <c r="V1247" s="69"/>
      <c r="W1247" s="69"/>
      <c r="X1247" s="69"/>
      <c r="Y1247" s="9" t="e">
        <f t="shared" si="19"/>
        <v>#DIV/0!</v>
      </c>
      <c r="Z1247" s="60"/>
      <c r="AC1247" s="82"/>
      <c r="AD1247" s="69"/>
      <c r="AE1247" s="79"/>
      <c r="AF1247" s="83"/>
      <c r="AG1247" s="84"/>
      <c r="AH1247" s="82"/>
      <c r="AO1247" s="64" t="s">
        <v>79</v>
      </c>
      <c r="AP1247" s="86">
        <v>4.5999999999999996</v>
      </c>
      <c r="AQ1247" s="86">
        <v>4.5999999999999996</v>
      </c>
      <c r="AR1247" s="86"/>
      <c r="AS1247" s="86"/>
      <c r="AT1247" s="86"/>
      <c r="AU1247" s="86"/>
      <c r="AV1247" s="86"/>
      <c r="AW1247" s="86"/>
      <c r="AX1247" s="86"/>
      <c r="AY1247" s="86"/>
      <c r="AZ1247" s="86"/>
      <c r="BA1247" s="86"/>
      <c r="BB1247" s="86"/>
      <c r="BC1247" s="86"/>
      <c r="BD1247" s="86"/>
      <c r="BE1247" s="86"/>
      <c r="BF1247" s="86"/>
      <c r="BG1247" s="86"/>
      <c r="BH1247" s="86"/>
      <c r="BI1247" s="86"/>
      <c r="BJ1247" s="86"/>
      <c r="BK1247" s="86"/>
      <c r="BL1247" s="86"/>
      <c r="BM1247" s="86"/>
      <c r="BN1247" s="86"/>
      <c r="BO1247" s="86"/>
    </row>
    <row r="1248" spans="1:67" s="81" customFormat="1" x14ac:dyDescent="0.2">
      <c r="A1248" s="69" t="s">
        <v>67</v>
      </c>
      <c r="B1248" s="74">
        <v>43390</v>
      </c>
      <c r="C1248" s="75">
        <v>0.51666666666666705</v>
      </c>
      <c r="D1248" s="69" t="s">
        <v>226</v>
      </c>
      <c r="E1248" s="69">
        <v>3</v>
      </c>
      <c r="F1248" s="76">
        <v>60.5</v>
      </c>
      <c r="G1248" s="69">
        <v>2</v>
      </c>
      <c r="H1248" s="77">
        <v>3.3057851239669422E-2</v>
      </c>
      <c r="I1248" s="78">
        <v>6.9746499000000003E-2</v>
      </c>
      <c r="J1248" s="69">
        <v>314.15899999999999</v>
      </c>
      <c r="K1248" s="69">
        <v>0.41847899399999999</v>
      </c>
      <c r="L1248" s="69">
        <v>6</v>
      </c>
      <c r="M1248" s="79">
        <v>375.35814760632883</v>
      </c>
      <c r="N1248" s="69">
        <v>1037</v>
      </c>
      <c r="O1248" s="80" t="s">
        <v>86</v>
      </c>
      <c r="P1248" s="80" t="s">
        <v>82</v>
      </c>
      <c r="Q1248" s="69" t="s">
        <v>87</v>
      </c>
      <c r="R1248" s="69" t="s">
        <v>84</v>
      </c>
      <c r="S1248" s="69"/>
      <c r="T1248" s="60">
        <v>42</v>
      </c>
      <c r="U1248" s="60">
        <v>42</v>
      </c>
      <c r="V1248" s="69">
        <v>3.7</v>
      </c>
      <c r="W1248" s="69"/>
      <c r="X1248" s="69"/>
      <c r="Y1248" s="9">
        <f t="shared" si="19"/>
        <v>15765.042199465812</v>
      </c>
      <c r="Z1248" s="60" t="s">
        <v>73</v>
      </c>
      <c r="AA1248" s="58" t="s">
        <v>419</v>
      </c>
      <c r="AB1248" s="81" t="s">
        <v>386</v>
      </c>
      <c r="AC1248" s="82" t="s">
        <v>112</v>
      </c>
      <c r="AD1248" s="69" t="s">
        <v>85</v>
      </c>
      <c r="AE1248" s="79">
        <v>14.137154999999998</v>
      </c>
      <c r="AF1248" s="83"/>
      <c r="AG1248" s="84"/>
      <c r="AH1248" s="82"/>
      <c r="AO1248" s="85" t="s">
        <v>78</v>
      </c>
      <c r="AP1248" s="86">
        <v>2.96</v>
      </c>
      <c r="AQ1248" s="86">
        <v>3.7</v>
      </c>
      <c r="AR1248" s="86">
        <v>2.8</v>
      </c>
      <c r="AS1248" s="86">
        <v>2.8</v>
      </c>
      <c r="AT1248" s="86">
        <v>3.1</v>
      </c>
      <c r="AU1248" s="86">
        <v>2.4</v>
      </c>
      <c r="AV1248" s="86"/>
      <c r="AW1248" s="86"/>
      <c r="AX1248" s="86"/>
      <c r="AY1248" s="86"/>
      <c r="AZ1248" s="86"/>
      <c r="BA1248" s="86"/>
      <c r="BB1248" s="86"/>
      <c r="BC1248" s="86"/>
      <c r="BD1248" s="86"/>
      <c r="BE1248" s="86"/>
      <c r="BF1248" s="86"/>
      <c r="BG1248" s="86"/>
      <c r="BH1248" s="86"/>
      <c r="BI1248" s="86"/>
      <c r="BJ1248" s="86"/>
      <c r="BK1248" s="86"/>
      <c r="BL1248" s="86"/>
      <c r="BM1248" s="86"/>
      <c r="BN1248" s="86"/>
      <c r="BO1248" s="86"/>
    </row>
    <row r="1249" spans="1:67" s="81" customFormat="1" x14ac:dyDescent="0.2">
      <c r="A1249" s="69" t="s">
        <v>67</v>
      </c>
      <c r="B1249" s="74">
        <v>43390</v>
      </c>
      <c r="C1249" s="75">
        <v>0.51666666666666705</v>
      </c>
      <c r="D1249" s="69" t="s">
        <v>226</v>
      </c>
      <c r="E1249" s="69">
        <v>3</v>
      </c>
      <c r="F1249" s="76">
        <v>60.5</v>
      </c>
      <c r="G1249" s="69">
        <v>2</v>
      </c>
      <c r="H1249" s="77">
        <v>3.3057851239669422E-2</v>
      </c>
      <c r="I1249" s="78">
        <v>6.9746499000000003E-2</v>
      </c>
      <c r="J1249" s="69">
        <v>314.15899999999999</v>
      </c>
      <c r="K1249" s="69">
        <v>0.41847899399999999</v>
      </c>
      <c r="L1249" s="69">
        <v>6</v>
      </c>
      <c r="M1249" s="79">
        <v>375.35814760632883</v>
      </c>
      <c r="N1249" s="69">
        <v>1364</v>
      </c>
      <c r="O1249" s="80" t="s">
        <v>88</v>
      </c>
      <c r="P1249" s="80" t="s">
        <v>82</v>
      </c>
      <c r="Q1249" s="69" t="s">
        <v>89</v>
      </c>
      <c r="R1249" s="69" t="s">
        <v>90</v>
      </c>
      <c r="S1249" s="69"/>
      <c r="T1249" s="60">
        <v>1</v>
      </c>
      <c r="U1249" s="60">
        <v>1</v>
      </c>
      <c r="V1249" s="69">
        <v>13</v>
      </c>
      <c r="W1249" s="69"/>
      <c r="X1249" s="69"/>
      <c r="Y1249" s="9">
        <f t="shared" si="19"/>
        <v>375.35814760632883</v>
      </c>
      <c r="Z1249" s="60" t="s">
        <v>73</v>
      </c>
      <c r="AA1249" s="58" t="s">
        <v>419</v>
      </c>
      <c r="AB1249" s="81" t="s">
        <v>386</v>
      </c>
      <c r="AC1249" s="82" t="s">
        <v>112</v>
      </c>
      <c r="AD1249" s="69" t="s">
        <v>91</v>
      </c>
      <c r="AE1249" s="79">
        <v>929.12524250000001</v>
      </c>
      <c r="AF1249" s="83"/>
      <c r="AG1249" s="84"/>
      <c r="AH1249" s="82"/>
      <c r="AO1249" s="85" t="s">
        <v>78</v>
      </c>
      <c r="AP1249" s="86">
        <v>13</v>
      </c>
      <c r="AQ1249" s="86">
        <v>13</v>
      </c>
      <c r="AR1249" s="86"/>
      <c r="AS1249" s="86"/>
      <c r="AT1249" s="86"/>
      <c r="AU1249" s="86"/>
      <c r="AV1249" s="86"/>
      <c r="AW1249" s="86"/>
      <c r="AX1249" s="86"/>
      <c r="AY1249" s="86"/>
      <c r="AZ1249" s="86"/>
      <c r="BA1249" s="86"/>
      <c r="BB1249" s="86"/>
      <c r="BC1249" s="86"/>
      <c r="BD1249" s="86"/>
      <c r="BE1249" s="86"/>
      <c r="BF1249" s="86"/>
      <c r="BG1249" s="86"/>
      <c r="BH1249" s="86"/>
      <c r="BI1249" s="86"/>
      <c r="BJ1249" s="86"/>
      <c r="BK1249" s="86"/>
      <c r="BL1249" s="86"/>
      <c r="BM1249" s="86"/>
      <c r="BN1249" s="86"/>
      <c r="BO1249" s="86"/>
    </row>
    <row r="1250" spans="1:67" s="81" customFormat="1" x14ac:dyDescent="0.2">
      <c r="A1250" s="69"/>
      <c r="B1250" s="74"/>
      <c r="C1250" s="75"/>
      <c r="D1250" s="69"/>
      <c r="E1250" s="69"/>
      <c r="F1250" s="76"/>
      <c r="G1250" s="69"/>
      <c r="H1250" s="77"/>
      <c r="I1250" s="78"/>
      <c r="J1250" s="69"/>
      <c r="K1250" s="69"/>
      <c r="L1250" s="69"/>
      <c r="M1250" s="79"/>
      <c r="N1250" s="69"/>
      <c r="O1250" s="80"/>
      <c r="P1250" s="80"/>
      <c r="Q1250" s="69"/>
      <c r="R1250" s="69"/>
      <c r="S1250" s="69"/>
      <c r="T1250" s="60"/>
      <c r="U1250" s="60"/>
      <c r="V1250" s="69"/>
      <c r="W1250" s="69"/>
      <c r="X1250" s="69"/>
      <c r="Y1250" s="9" t="e">
        <f t="shared" si="19"/>
        <v>#DIV/0!</v>
      </c>
      <c r="Z1250" s="60"/>
      <c r="AC1250" s="82"/>
      <c r="AD1250" s="69"/>
      <c r="AE1250" s="79"/>
      <c r="AF1250" s="83"/>
      <c r="AG1250" s="84"/>
      <c r="AH1250" s="82"/>
      <c r="AO1250" s="64" t="s">
        <v>79</v>
      </c>
      <c r="AP1250" s="86">
        <v>8</v>
      </c>
      <c r="AQ1250" s="86">
        <v>8</v>
      </c>
      <c r="AR1250" s="86"/>
      <c r="AS1250" s="86"/>
      <c r="AT1250" s="86"/>
      <c r="AU1250" s="86"/>
      <c r="AV1250" s="86"/>
      <c r="AW1250" s="86"/>
      <c r="AX1250" s="86"/>
      <c r="AY1250" s="86"/>
      <c r="AZ1250" s="86"/>
      <c r="BA1250" s="86"/>
      <c r="BB1250" s="86"/>
      <c r="BC1250" s="86"/>
      <c r="BD1250" s="86"/>
      <c r="BE1250" s="86"/>
      <c r="BF1250" s="86"/>
      <c r="BG1250" s="86"/>
      <c r="BH1250" s="86"/>
      <c r="BI1250" s="86"/>
      <c r="BJ1250" s="86"/>
      <c r="BK1250" s="86"/>
      <c r="BL1250" s="86"/>
      <c r="BM1250" s="86"/>
      <c r="BN1250" s="86"/>
      <c r="BO1250" s="86"/>
    </row>
    <row r="1251" spans="1:67" s="81" customFormat="1" x14ac:dyDescent="0.2">
      <c r="A1251" s="69" t="s">
        <v>67</v>
      </c>
      <c r="B1251" s="74">
        <v>43390</v>
      </c>
      <c r="C1251" s="75">
        <v>0.51666666666666705</v>
      </c>
      <c r="D1251" s="69" t="s">
        <v>226</v>
      </c>
      <c r="E1251" s="69">
        <v>3</v>
      </c>
      <c r="F1251" s="76">
        <v>60.5</v>
      </c>
      <c r="G1251" s="69">
        <v>2</v>
      </c>
      <c r="H1251" s="77">
        <v>3.3057851239669422E-2</v>
      </c>
      <c r="I1251" s="78">
        <v>6.9746499000000003E-2</v>
      </c>
      <c r="J1251" s="69">
        <v>314.15899999999999</v>
      </c>
      <c r="K1251" s="69">
        <v>0.41847899399999999</v>
      </c>
      <c r="L1251" s="69">
        <v>6</v>
      </c>
      <c r="M1251" s="79">
        <v>375.35814760632883</v>
      </c>
      <c r="N1251" s="69">
        <v>1903</v>
      </c>
      <c r="O1251" s="80" t="s">
        <v>423</v>
      </c>
      <c r="P1251" s="80" t="s">
        <v>82</v>
      </c>
      <c r="Q1251" s="69" t="s">
        <v>89</v>
      </c>
      <c r="R1251" s="69" t="s">
        <v>424</v>
      </c>
      <c r="S1251" s="69"/>
      <c r="T1251" s="60">
        <v>3</v>
      </c>
      <c r="U1251" s="60">
        <v>3</v>
      </c>
      <c r="V1251" s="69">
        <v>11.7</v>
      </c>
      <c r="W1251" s="69"/>
      <c r="X1251" s="69"/>
      <c r="Y1251" s="9">
        <f t="shared" si="19"/>
        <v>1126.0744428189864</v>
      </c>
      <c r="Z1251" s="60" t="s">
        <v>73</v>
      </c>
      <c r="AA1251" s="58" t="s">
        <v>419</v>
      </c>
      <c r="AB1251" s="81" t="s">
        <v>386</v>
      </c>
      <c r="AC1251" s="82" t="s">
        <v>112</v>
      </c>
      <c r="AD1251" s="69" t="s">
        <v>91</v>
      </c>
      <c r="AE1251" s="79">
        <v>344.95967195833327</v>
      </c>
      <c r="AF1251" s="83"/>
      <c r="AG1251" s="84"/>
      <c r="AH1251" s="82"/>
      <c r="AO1251" s="85" t="s">
        <v>78</v>
      </c>
      <c r="AP1251" s="86">
        <v>9.4666666666666668</v>
      </c>
      <c r="AQ1251" s="86">
        <v>7.4</v>
      </c>
      <c r="AR1251" s="86">
        <v>9.3000000000000007</v>
      </c>
      <c r="AS1251" s="86">
        <v>11.7</v>
      </c>
      <c r="AT1251" s="86"/>
      <c r="AU1251" s="86"/>
      <c r="AV1251" s="86"/>
      <c r="AW1251" s="86"/>
      <c r="AX1251" s="86"/>
      <c r="AY1251" s="86"/>
      <c r="AZ1251" s="86"/>
      <c r="BA1251" s="86"/>
      <c r="BB1251" s="86"/>
      <c r="BC1251" s="86"/>
      <c r="BD1251" s="86"/>
      <c r="BE1251" s="86"/>
      <c r="BF1251" s="86"/>
      <c r="BG1251" s="86"/>
      <c r="BH1251" s="86"/>
      <c r="BI1251" s="86"/>
      <c r="BJ1251" s="86"/>
      <c r="BK1251" s="86"/>
      <c r="BL1251" s="86"/>
      <c r="BM1251" s="86"/>
      <c r="BN1251" s="86"/>
      <c r="BO1251" s="86"/>
    </row>
    <row r="1252" spans="1:67" s="81" customFormat="1" x14ac:dyDescent="0.2">
      <c r="A1252" s="69"/>
      <c r="B1252" s="74"/>
      <c r="C1252" s="75"/>
      <c r="D1252" s="69"/>
      <c r="E1252" s="69"/>
      <c r="F1252" s="76"/>
      <c r="G1252" s="69"/>
      <c r="H1252" s="77"/>
      <c r="I1252" s="78"/>
      <c r="J1252" s="69"/>
      <c r="K1252" s="69"/>
      <c r="L1252" s="69"/>
      <c r="M1252" s="79"/>
      <c r="N1252" s="69"/>
      <c r="O1252" s="80"/>
      <c r="P1252" s="80"/>
      <c r="Q1252" s="69"/>
      <c r="R1252" s="69"/>
      <c r="S1252" s="69"/>
      <c r="T1252" s="60"/>
      <c r="U1252" s="60"/>
      <c r="V1252" s="69"/>
      <c r="W1252" s="69"/>
      <c r="X1252" s="69"/>
      <c r="Y1252" s="9" t="e">
        <f t="shared" si="19"/>
        <v>#DIV/0!</v>
      </c>
      <c r="Z1252" s="60"/>
      <c r="AC1252" s="82"/>
      <c r="AD1252" s="69"/>
      <c r="AE1252" s="79"/>
      <c r="AF1252" s="83"/>
      <c r="AG1252" s="84"/>
      <c r="AH1252" s="82"/>
      <c r="AO1252" s="64" t="s">
        <v>79</v>
      </c>
      <c r="AP1252" s="86">
        <v>5.1333333333333337</v>
      </c>
      <c r="AQ1252" s="86">
        <v>3.7</v>
      </c>
      <c r="AR1252" s="86">
        <v>5.6</v>
      </c>
      <c r="AS1252" s="86">
        <v>6.1</v>
      </c>
      <c r="AT1252" s="86"/>
      <c r="AU1252" s="86"/>
      <c r="AV1252" s="86"/>
      <c r="AW1252" s="86"/>
      <c r="AX1252" s="86"/>
      <c r="AY1252" s="86"/>
      <c r="AZ1252" s="86"/>
      <c r="BA1252" s="86"/>
      <c r="BB1252" s="86"/>
      <c r="BC1252" s="86"/>
      <c r="BD1252" s="86"/>
      <c r="BE1252" s="86"/>
      <c r="BF1252" s="86"/>
      <c r="BG1252" s="86"/>
      <c r="BH1252" s="86"/>
      <c r="BI1252" s="86"/>
      <c r="BJ1252" s="86"/>
      <c r="BK1252" s="86"/>
      <c r="BL1252" s="86"/>
      <c r="BM1252" s="86"/>
      <c r="BN1252" s="86"/>
      <c r="BO1252" s="86"/>
    </row>
    <row r="1253" spans="1:67" s="81" customFormat="1" x14ac:dyDescent="0.2">
      <c r="A1253" s="69" t="s">
        <v>67</v>
      </c>
      <c r="B1253" s="74">
        <v>43390</v>
      </c>
      <c r="C1253" s="75">
        <v>0.51666666666666705</v>
      </c>
      <c r="D1253" s="69" t="s">
        <v>226</v>
      </c>
      <c r="E1253" s="69">
        <v>3</v>
      </c>
      <c r="F1253" s="76">
        <v>60.5</v>
      </c>
      <c r="G1253" s="69">
        <v>2</v>
      </c>
      <c r="H1253" s="77">
        <v>3.3057851239669422E-2</v>
      </c>
      <c r="I1253" s="78">
        <v>6.9746499000000003E-2</v>
      </c>
      <c r="J1253" s="69">
        <v>314.15899999999999</v>
      </c>
      <c r="K1253" s="69">
        <v>0.41847899399999999</v>
      </c>
      <c r="L1253" s="69">
        <v>6</v>
      </c>
      <c r="M1253" s="79">
        <v>375.35814760632883</v>
      </c>
      <c r="N1253" s="69">
        <v>1419</v>
      </c>
      <c r="O1253" s="80" t="s">
        <v>94</v>
      </c>
      <c r="P1253" s="80" t="s">
        <v>82</v>
      </c>
      <c r="Q1253" s="69" t="s">
        <v>95</v>
      </c>
      <c r="R1253" s="69" t="s">
        <v>96</v>
      </c>
      <c r="S1253" s="69"/>
      <c r="T1253" s="60">
        <v>411</v>
      </c>
      <c r="U1253" s="60">
        <v>831</v>
      </c>
      <c r="V1253" s="69">
        <v>0.9</v>
      </c>
      <c r="W1253" s="69">
        <v>0.9</v>
      </c>
      <c r="X1253" s="69">
        <v>0.9</v>
      </c>
      <c r="Y1253" s="9">
        <f t="shared" si="19"/>
        <v>154272.19866620115</v>
      </c>
      <c r="Z1253" s="60" t="s">
        <v>97</v>
      </c>
      <c r="AA1253" s="58" t="s">
        <v>419</v>
      </c>
      <c r="AB1253" s="81" t="s">
        <v>386</v>
      </c>
      <c r="AC1253" s="82" t="s">
        <v>112</v>
      </c>
      <c r="AD1253" s="69" t="s">
        <v>85</v>
      </c>
      <c r="AE1253" s="79">
        <v>0.11309723999999999</v>
      </c>
      <c r="AF1253" s="79">
        <v>0.17959422833333327</v>
      </c>
      <c r="AG1253" s="79">
        <v>0.11309723999999999</v>
      </c>
      <c r="AH1253" s="79">
        <v>0.26808234666666664</v>
      </c>
      <c r="AI1253" s="79">
        <v>0.381703185</v>
      </c>
      <c r="AJ1253" s="79">
        <v>0.17959422833333327</v>
      </c>
      <c r="AK1253" s="79">
        <v>0.26808234666666664</v>
      </c>
      <c r="AL1253" s="79">
        <v>0.11309723999999999</v>
      </c>
      <c r="AM1253" s="79">
        <v>0.11309723999999999</v>
      </c>
      <c r="AN1253" s="79">
        <v>0.17959422833333327</v>
      </c>
      <c r="AO1253" s="85" t="s">
        <v>78</v>
      </c>
      <c r="AP1253" s="86">
        <v>0.72399999999999987</v>
      </c>
      <c r="AQ1253" s="86">
        <v>0.6</v>
      </c>
      <c r="AR1253" s="86">
        <v>0.7</v>
      </c>
      <c r="AS1253" s="86">
        <v>0.6</v>
      </c>
      <c r="AT1253" s="86">
        <v>0.8</v>
      </c>
      <c r="AU1253" s="86">
        <v>0.9</v>
      </c>
      <c r="AV1253" s="86">
        <v>0.7</v>
      </c>
      <c r="AW1253" s="86">
        <v>0.8</v>
      </c>
      <c r="AX1253" s="86">
        <v>0.6</v>
      </c>
      <c r="AY1253" s="86">
        <v>0.6</v>
      </c>
      <c r="AZ1253" s="86">
        <v>0.7</v>
      </c>
      <c r="BA1253" s="86">
        <v>0.9</v>
      </c>
      <c r="BB1253" s="86">
        <v>0.7</v>
      </c>
      <c r="BC1253" s="86">
        <v>0.6</v>
      </c>
      <c r="BD1253" s="86">
        <v>0.7</v>
      </c>
      <c r="BE1253" s="86">
        <v>0.8</v>
      </c>
      <c r="BF1253" s="86">
        <v>0.9</v>
      </c>
      <c r="BG1253" s="86">
        <v>0.6</v>
      </c>
      <c r="BH1253" s="86">
        <v>0.7</v>
      </c>
      <c r="BI1253" s="86">
        <v>0.7</v>
      </c>
      <c r="BJ1253" s="86">
        <v>0.8</v>
      </c>
      <c r="BK1253" s="86">
        <v>0.8</v>
      </c>
      <c r="BL1253" s="86">
        <v>0.7</v>
      </c>
      <c r="BM1253" s="86">
        <v>0.6</v>
      </c>
      <c r="BN1253" s="86">
        <v>0.9</v>
      </c>
      <c r="BO1253" s="86">
        <v>0.7</v>
      </c>
    </row>
    <row r="1254" spans="1:67" s="58" customFormat="1" x14ac:dyDescent="0.2">
      <c r="A1254" s="49" t="s">
        <v>67</v>
      </c>
      <c r="B1254" s="50">
        <v>43390</v>
      </c>
      <c r="C1254" s="51">
        <v>0.54513888888888895</v>
      </c>
      <c r="D1254" s="49" t="s">
        <v>224</v>
      </c>
      <c r="E1254" s="49"/>
      <c r="F1254" s="52">
        <v>63</v>
      </c>
      <c r="G1254" s="53">
        <v>2</v>
      </c>
      <c r="H1254" s="54">
        <v>3.1746031746031744E-2</v>
      </c>
      <c r="I1254" s="55">
        <v>6.9746499000000003E-2</v>
      </c>
      <c r="J1254" s="53">
        <v>314.15899999999999</v>
      </c>
      <c r="K1254" s="53">
        <v>0.41847899399999999</v>
      </c>
      <c r="L1254" s="53">
        <v>6</v>
      </c>
      <c r="M1254" s="56">
        <v>375.35814760632883</v>
      </c>
      <c r="N1254" s="53">
        <v>1037</v>
      </c>
      <c r="O1254" s="57" t="s">
        <v>86</v>
      </c>
      <c r="P1254" s="57" t="s">
        <v>82</v>
      </c>
      <c r="Q1254" s="53" t="s">
        <v>87</v>
      </c>
      <c r="R1254" s="53" t="s">
        <v>84</v>
      </c>
      <c r="S1254" s="53"/>
      <c r="T1254" s="59">
        <v>30</v>
      </c>
      <c r="U1254" s="59">
        <v>30</v>
      </c>
      <c r="V1254" s="53">
        <v>3.7</v>
      </c>
      <c r="W1254" s="53"/>
      <c r="X1254" s="53"/>
      <c r="Y1254" s="9">
        <f t="shared" si="19"/>
        <v>11260.744428189866</v>
      </c>
      <c r="Z1254" s="60" t="s">
        <v>73</v>
      </c>
      <c r="AA1254" s="58" t="s">
        <v>425</v>
      </c>
      <c r="AB1254" s="58" t="s">
        <v>386</v>
      </c>
      <c r="AC1254" s="61" t="s">
        <v>112</v>
      </c>
      <c r="AD1254" s="53" t="s">
        <v>85</v>
      </c>
      <c r="AE1254" s="56">
        <v>15.598517948333333</v>
      </c>
      <c r="AF1254" s="62"/>
      <c r="AG1254" s="63"/>
      <c r="AH1254" s="61"/>
      <c r="AO1254" s="64" t="s">
        <v>78</v>
      </c>
      <c r="AP1254" s="65">
        <v>3.1</v>
      </c>
      <c r="AQ1254" s="65">
        <v>3.1</v>
      </c>
      <c r="AR1254" s="65">
        <v>3.1</v>
      </c>
      <c r="AS1254" s="65">
        <v>3.7</v>
      </c>
      <c r="AT1254" s="65">
        <v>2.8</v>
      </c>
      <c r="AU1254" s="65">
        <v>2.8</v>
      </c>
      <c r="AV1254" s="65"/>
      <c r="AW1254" s="65"/>
      <c r="AX1254" s="65"/>
      <c r="AY1254" s="65"/>
      <c r="AZ1254" s="65"/>
      <c r="BA1254" s="65"/>
      <c r="BB1254" s="65"/>
      <c r="BC1254" s="65"/>
      <c r="BD1254" s="65"/>
      <c r="BE1254" s="65"/>
      <c r="BF1254" s="65"/>
      <c r="BG1254" s="65"/>
      <c r="BH1254" s="65"/>
      <c r="BI1254" s="65"/>
      <c r="BJ1254" s="65"/>
      <c r="BK1254" s="65"/>
      <c r="BL1254" s="65"/>
      <c r="BM1254" s="65"/>
      <c r="BN1254" s="65"/>
      <c r="BO1254" s="65"/>
    </row>
    <row r="1255" spans="1:67" s="58" customFormat="1" x14ac:dyDescent="0.2">
      <c r="A1255" s="49" t="s">
        <v>67</v>
      </c>
      <c r="B1255" s="50">
        <v>43390</v>
      </c>
      <c r="C1255" s="51">
        <v>0.54513888888888895</v>
      </c>
      <c r="D1255" s="49" t="s">
        <v>224</v>
      </c>
      <c r="E1255" s="49"/>
      <c r="F1255" s="52">
        <v>63</v>
      </c>
      <c r="G1255" s="53">
        <v>2</v>
      </c>
      <c r="H1255" s="54">
        <v>3.1746031746031744E-2</v>
      </c>
      <c r="I1255" s="55">
        <v>6.9746499000000003E-2</v>
      </c>
      <c r="J1255" s="53">
        <v>314.15899999999999</v>
      </c>
      <c r="K1255" s="53">
        <v>0.41847899399999999</v>
      </c>
      <c r="L1255" s="53">
        <v>6</v>
      </c>
      <c r="M1255" s="56">
        <v>375.35814760632883</v>
      </c>
      <c r="N1255" s="53">
        <v>1761</v>
      </c>
      <c r="O1255" s="57" t="s">
        <v>287</v>
      </c>
      <c r="P1255" s="57" t="s">
        <v>82</v>
      </c>
      <c r="Q1255" s="53" t="s">
        <v>288</v>
      </c>
      <c r="R1255" s="53" t="s">
        <v>289</v>
      </c>
      <c r="S1255" s="53"/>
      <c r="T1255" s="59">
        <v>1</v>
      </c>
      <c r="U1255" s="59">
        <v>1</v>
      </c>
      <c r="V1255" s="53">
        <v>7.4</v>
      </c>
      <c r="W1255" s="53"/>
      <c r="X1255" s="53"/>
      <c r="Y1255" s="9">
        <f t="shared" si="19"/>
        <v>375.35814760632883</v>
      </c>
      <c r="Z1255" s="60" t="s">
        <v>73</v>
      </c>
      <c r="AA1255" s="58" t="s">
        <v>425</v>
      </c>
      <c r="AB1255" s="58" t="s">
        <v>386</v>
      </c>
      <c r="AC1255" s="61" t="s">
        <v>112</v>
      </c>
      <c r="AD1255" s="53" t="s">
        <v>215</v>
      </c>
      <c r="AE1255" s="56">
        <v>4.9939500037500002</v>
      </c>
      <c r="AF1255" s="62"/>
      <c r="AG1255" s="63"/>
      <c r="AH1255" s="61"/>
      <c r="AO1255" s="64" t="s">
        <v>78</v>
      </c>
      <c r="AP1255" s="65">
        <v>7.4</v>
      </c>
      <c r="AQ1255" s="65">
        <v>7.4</v>
      </c>
      <c r="AR1255" s="65"/>
      <c r="AS1255" s="65"/>
      <c r="AT1255" s="65"/>
      <c r="AU1255" s="65"/>
      <c r="AV1255" s="65"/>
      <c r="AW1255" s="65"/>
      <c r="AX1255" s="65"/>
      <c r="AY1255" s="65"/>
      <c r="AZ1255" s="65"/>
      <c r="BA1255" s="65"/>
      <c r="BB1255" s="65"/>
      <c r="BC1255" s="65"/>
      <c r="BD1255" s="65"/>
      <c r="BE1255" s="65"/>
      <c r="BF1255" s="65"/>
      <c r="BG1255" s="65"/>
      <c r="BH1255" s="65"/>
      <c r="BI1255" s="65"/>
      <c r="BJ1255" s="65"/>
      <c r="BK1255" s="65"/>
      <c r="BL1255" s="65"/>
      <c r="BM1255" s="65"/>
      <c r="BN1255" s="65"/>
      <c r="BO1255" s="65"/>
    </row>
    <row r="1256" spans="1:67" s="58" customFormat="1" x14ac:dyDescent="0.2">
      <c r="A1256" s="49"/>
      <c r="B1256" s="50"/>
      <c r="C1256" s="51"/>
      <c r="D1256" s="49"/>
      <c r="E1256" s="49"/>
      <c r="F1256" s="52"/>
      <c r="G1256" s="53"/>
      <c r="H1256" s="54"/>
      <c r="I1256" s="55"/>
      <c r="J1256" s="53"/>
      <c r="K1256" s="53"/>
      <c r="L1256" s="53"/>
      <c r="M1256" s="56"/>
      <c r="N1256" s="53"/>
      <c r="O1256" s="57"/>
      <c r="P1256" s="57"/>
      <c r="Q1256" s="53"/>
      <c r="R1256" s="53"/>
      <c r="S1256" s="53"/>
      <c r="T1256" s="59"/>
      <c r="U1256" s="59"/>
      <c r="V1256" s="53"/>
      <c r="W1256" s="53"/>
      <c r="X1256" s="53"/>
      <c r="Y1256" s="9" t="e">
        <f t="shared" si="19"/>
        <v>#DIV/0!</v>
      </c>
      <c r="Z1256" s="60"/>
      <c r="AC1256" s="61"/>
      <c r="AD1256" s="53"/>
      <c r="AE1256" s="56"/>
      <c r="AF1256" s="62"/>
      <c r="AG1256" s="63"/>
      <c r="AH1256" s="61"/>
      <c r="AO1256" s="64" t="s">
        <v>79</v>
      </c>
      <c r="AP1256" s="65">
        <v>0.9</v>
      </c>
      <c r="AQ1256" s="65">
        <v>0.9</v>
      </c>
      <c r="AR1256" s="65"/>
      <c r="AS1256" s="65"/>
      <c r="AT1256" s="65"/>
      <c r="AU1256" s="65"/>
      <c r="AV1256" s="65"/>
      <c r="AW1256" s="65"/>
      <c r="AX1256" s="65"/>
      <c r="AY1256" s="65"/>
      <c r="AZ1256" s="65"/>
      <c r="BA1256" s="65"/>
      <c r="BB1256" s="65"/>
      <c r="BC1256" s="65"/>
      <c r="BD1256" s="65"/>
      <c r="BE1256" s="65"/>
      <c r="BF1256" s="65"/>
      <c r="BG1256" s="65"/>
      <c r="BH1256" s="65"/>
      <c r="BI1256" s="65"/>
      <c r="BJ1256" s="65"/>
      <c r="BK1256" s="65"/>
      <c r="BL1256" s="65"/>
      <c r="BM1256" s="65"/>
      <c r="BN1256" s="65"/>
      <c r="BO1256" s="65"/>
    </row>
    <row r="1257" spans="1:67" s="58" customFormat="1" x14ac:dyDescent="0.2">
      <c r="A1257" s="49"/>
      <c r="B1257" s="50"/>
      <c r="C1257" s="51"/>
      <c r="D1257" s="49"/>
      <c r="E1257" s="49"/>
      <c r="F1257" s="52"/>
      <c r="G1257" s="53"/>
      <c r="H1257" s="54"/>
      <c r="I1257" s="55"/>
      <c r="J1257" s="53"/>
      <c r="K1257" s="53"/>
      <c r="L1257" s="53"/>
      <c r="M1257" s="56"/>
      <c r="N1257" s="53"/>
      <c r="O1257" s="57"/>
      <c r="P1257" s="57"/>
      <c r="Q1257" s="53"/>
      <c r="R1257" s="53"/>
      <c r="S1257" s="53"/>
      <c r="T1257" s="59"/>
      <c r="U1257" s="59"/>
      <c r="V1257" s="53"/>
      <c r="W1257" s="53"/>
      <c r="X1257" s="53"/>
      <c r="Y1257" s="9" t="e">
        <f t="shared" si="19"/>
        <v>#DIV/0!</v>
      </c>
      <c r="Z1257" s="60"/>
      <c r="AC1257" s="61"/>
      <c r="AD1257" s="53"/>
      <c r="AE1257" s="56"/>
      <c r="AF1257" s="62"/>
      <c r="AG1257" s="63"/>
      <c r="AH1257" s="61"/>
      <c r="AO1257" s="64" t="s">
        <v>80</v>
      </c>
      <c r="AP1257" s="65">
        <v>0.9</v>
      </c>
      <c r="AQ1257" s="65">
        <v>0.9</v>
      </c>
      <c r="AR1257" s="65"/>
      <c r="AS1257" s="65"/>
      <c r="AT1257" s="65"/>
      <c r="AU1257" s="65"/>
      <c r="AV1257" s="65"/>
      <c r="AW1257" s="65"/>
      <c r="AX1257" s="65"/>
      <c r="AY1257" s="65"/>
      <c r="AZ1257" s="65"/>
      <c r="BA1257" s="65"/>
      <c r="BB1257" s="65"/>
      <c r="BC1257" s="65"/>
      <c r="BD1257" s="65"/>
      <c r="BE1257" s="65"/>
      <c r="BF1257" s="65"/>
      <c r="BG1257" s="65"/>
      <c r="BH1257" s="65"/>
      <c r="BI1257" s="65"/>
      <c r="BJ1257" s="65"/>
      <c r="BK1257" s="65"/>
      <c r="BL1257" s="65"/>
      <c r="BM1257" s="65"/>
      <c r="BN1257" s="65"/>
      <c r="BO1257" s="65"/>
    </row>
    <row r="1258" spans="1:67" s="58" customFormat="1" x14ac:dyDescent="0.2">
      <c r="A1258" s="49" t="s">
        <v>67</v>
      </c>
      <c r="B1258" s="50">
        <v>43390</v>
      </c>
      <c r="C1258" s="51">
        <v>0.54513888888888895</v>
      </c>
      <c r="D1258" s="49" t="s">
        <v>224</v>
      </c>
      <c r="E1258" s="49"/>
      <c r="F1258" s="52">
        <v>63</v>
      </c>
      <c r="G1258" s="53">
        <v>2</v>
      </c>
      <c r="H1258" s="54">
        <v>3.1746031746031744E-2</v>
      </c>
      <c r="I1258" s="55">
        <v>6.9746499000000003E-2</v>
      </c>
      <c r="J1258" s="53">
        <v>314.15899999999999</v>
      </c>
      <c r="K1258" s="53">
        <v>0.41847899399999999</v>
      </c>
      <c r="L1258" s="53">
        <v>6</v>
      </c>
      <c r="M1258" s="56">
        <v>375.35814760632883</v>
      </c>
      <c r="N1258" s="53">
        <v>1364</v>
      </c>
      <c r="O1258" s="57" t="s">
        <v>88</v>
      </c>
      <c r="P1258" s="57" t="s">
        <v>82</v>
      </c>
      <c r="Q1258" s="53" t="s">
        <v>89</v>
      </c>
      <c r="R1258" s="53" t="s">
        <v>90</v>
      </c>
      <c r="S1258" s="53"/>
      <c r="T1258" s="59">
        <v>3</v>
      </c>
      <c r="U1258" s="59">
        <v>3</v>
      </c>
      <c r="V1258" s="53">
        <v>13.9</v>
      </c>
      <c r="W1258" s="53"/>
      <c r="X1258" s="53"/>
      <c r="Y1258" s="9">
        <f t="shared" si="19"/>
        <v>1126.0744428189864</v>
      </c>
      <c r="Z1258" s="60" t="s">
        <v>73</v>
      </c>
      <c r="AA1258" s="58" t="s">
        <v>425</v>
      </c>
      <c r="AB1258" s="58" t="s">
        <v>386</v>
      </c>
      <c r="AC1258" s="61" t="s">
        <v>112</v>
      </c>
      <c r="AD1258" s="53" t="s">
        <v>91</v>
      </c>
      <c r="AE1258" s="56">
        <v>740.35757136666655</v>
      </c>
      <c r="AF1258" s="62"/>
      <c r="AG1258" s="63"/>
      <c r="AH1258" s="61"/>
      <c r="AO1258" s="64" t="s">
        <v>78</v>
      </c>
      <c r="AP1258" s="65">
        <v>12.233333333333334</v>
      </c>
      <c r="AQ1258" s="65">
        <v>13.9</v>
      </c>
      <c r="AR1258" s="65">
        <v>13</v>
      </c>
      <c r="AS1258" s="65">
        <v>9.8000000000000007</v>
      </c>
      <c r="AT1258" s="65"/>
      <c r="AU1258" s="65"/>
      <c r="AV1258" s="65"/>
      <c r="AW1258" s="65"/>
      <c r="AX1258" s="65"/>
      <c r="AY1258" s="65"/>
      <c r="AZ1258" s="65"/>
      <c r="BA1258" s="65"/>
      <c r="BB1258" s="65"/>
      <c r="BC1258" s="65"/>
      <c r="BD1258" s="65"/>
      <c r="BE1258" s="65"/>
      <c r="BF1258" s="65"/>
      <c r="BG1258" s="65"/>
      <c r="BH1258" s="65"/>
      <c r="BI1258" s="65"/>
      <c r="BJ1258" s="65"/>
      <c r="BK1258" s="65"/>
      <c r="BL1258" s="65"/>
      <c r="BM1258" s="65"/>
      <c r="BN1258" s="65"/>
      <c r="BO1258" s="65"/>
    </row>
    <row r="1259" spans="1:67" s="58" customFormat="1" x14ac:dyDescent="0.2">
      <c r="A1259" s="49"/>
      <c r="B1259" s="50"/>
      <c r="C1259" s="51"/>
      <c r="D1259" s="49"/>
      <c r="E1259" s="49"/>
      <c r="F1259" s="52"/>
      <c r="G1259" s="53"/>
      <c r="H1259" s="54"/>
      <c r="I1259" s="55"/>
      <c r="J1259" s="53"/>
      <c r="K1259" s="53"/>
      <c r="L1259" s="53"/>
      <c r="M1259" s="56"/>
      <c r="N1259" s="53"/>
      <c r="O1259" s="57"/>
      <c r="P1259" s="57"/>
      <c r="Q1259" s="53"/>
      <c r="R1259" s="53"/>
      <c r="S1259" s="53"/>
      <c r="T1259" s="59"/>
      <c r="U1259" s="59"/>
      <c r="V1259" s="53"/>
      <c r="W1259" s="53"/>
      <c r="X1259" s="53"/>
      <c r="Y1259" s="9" t="e">
        <f t="shared" si="19"/>
        <v>#DIV/0!</v>
      </c>
      <c r="Z1259" s="60"/>
      <c r="AC1259" s="61"/>
      <c r="AD1259" s="53"/>
      <c r="AE1259" s="56"/>
      <c r="AF1259" s="62"/>
      <c r="AG1259" s="63"/>
      <c r="AH1259" s="61"/>
      <c r="AO1259" s="64" t="s">
        <v>79</v>
      </c>
      <c r="AP1259" s="65">
        <v>6.8</v>
      </c>
      <c r="AQ1259" s="65">
        <v>7.4</v>
      </c>
      <c r="AR1259" s="65">
        <v>7.4</v>
      </c>
      <c r="AS1259" s="65">
        <v>5.6</v>
      </c>
      <c r="AT1259" s="65"/>
      <c r="AU1259" s="65"/>
      <c r="AV1259" s="65"/>
      <c r="AW1259" s="65"/>
      <c r="AX1259" s="65"/>
      <c r="AY1259" s="65"/>
      <c r="AZ1259" s="65"/>
      <c r="BA1259" s="65"/>
      <c r="BB1259" s="65"/>
      <c r="BC1259" s="65"/>
      <c r="BD1259" s="65"/>
      <c r="BE1259" s="65"/>
      <c r="BF1259" s="65"/>
      <c r="BG1259" s="65"/>
      <c r="BH1259" s="65"/>
      <c r="BI1259" s="65"/>
      <c r="BJ1259" s="65"/>
      <c r="BK1259" s="65"/>
      <c r="BL1259" s="65"/>
      <c r="BM1259" s="65"/>
      <c r="BN1259" s="65"/>
      <c r="BO1259" s="65"/>
    </row>
    <row r="1260" spans="1:67" s="58" customFormat="1" x14ac:dyDescent="0.2">
      <c r="A1260" s="49" t="s">
        <v>67</v>
      </c>
      <c r="B1260" s="50">
        <v>43390</v>
      </c>
      <c r="C1260" s="51">
        <v>0.54513888888888895</v>
      </c>
      <c r="D1260" s="49" t="s">
        <v>224</v>
      </c>
      <c r="E1260" s="49"/>
      <c r="F1260" s="52">
        <v>63</v>
      </c>
      <c r="G1260" s="53">
        <v>2</v>
      </c>
      <c r="H1260" s="54">
        <v>3.1746031746031744E-2</v>
      </c>
      <c r="I1260" s="55">
        <v>6.9746499000000003E-2</v>
      </c>
      <c r="J1260" s="53">
        <v>314.15899999999999</v>
      </c>
      <c r="K1260" s="53">
        <v>0.41847899399999999</v>
      </c>
      <c r="L1260" s="53">
        <v>6</v>
      </c>
      <c r="M1260" s="56">
        <v>375.35814760632883</v>
      </c>
      <c r="N1260" s="53">
        <v>1733</v>
      </c>
      <c r="O1260" s="57" t="s">
        <v>92</v>
      </c>
      <c r="P1260" s="57" t="s">
        <v>82</v>
      </c>
      <c r="Q1260" s="53" t="s">
        <v>89</v>
      </c>
      <c r="R1260" s="53" t="s">
        <v>93</v>
      </c>
      <c r="S1260" s="53"/>
      <c r="T1260" s="59">
        <v>3</v>
      </c>
      <c r="U1260" s="59">
        <v>3</v>
      </c>
      <c r="V1260" s="53">
        <v>6.5</v>
      </c>
      <c r="W1260" s="53"/>
      <c r="X1260" s="53"/>
      <c r="Y1260" s="9">
        <f t="shared" si="19"/>
        <v>1126.0744428189864</v>
      </c>
      <c r="Z1260" s="60" t="s">
        <v>73</v>
      </c>
      <c r="AA1260" s="58" t="s">
        <v>425</v>
      </c>
      <c r="AB1260" s="58" t="s">
        <v>386</v>
      </c>
      <c r="AC1260" s="61" t="s">
        <v>112</v>
      </c>
      <c r="AD1260" s="53" t="s">
        <v>91</v>
      </c>
      <c r="AE1260" s="56">
        <v>76.353203359999995</v>
      </c>
      <c r="AF1260" s="62"/>
      <c r="AG1260" s="63"/>
      <c r="AH1260" s="61"/>
      <c r="AO1260" s="64" t="s">
        <v>78</v>
      </c>
      <c r="AP1260" s="65">
        <v>5.5666666666666664</v>
      </c>
      <c r="AQ1260" s="65">
        <v>5.6</v>
      </c>
      <c r="AR1260" s="65">
        <v>4.5999999999999996</v>
      </c>
      <c r="AS1260" s="65">
        <v>6.5</v>
      </c>
      <c r="AT1260" s="65"/>
      <c r="AU1260" s="65"/>
      <c r="AV1260" s="65"/>
      <c r="AW1260" s="65"/>
      <c r="AX1260" s="65"/>
      <c r="AY1260" s="65"/>
      <c r="AZ1260" s="65"/>
      <c r="BA1260" s="65"/>
      <c r="BB1260" s="65"/>
      <c r="BC1260" s="65"/>
      <c r="BD1260" s="65"/>
      <c r="BE1260" s="65"/>
      <c r="BF1260" s="65"/>
      <c r="BG1260" s="65"/>
      <c r="BH1260" s="65"/>
      <c r="BI1260" s="65"/>
      <c r="BJ1260" s="65"/>
      <c r="BK1260" s="65"/>
      <c r="BL1260" s="65"/>
      <c r="BM1260" s="65"/>
      <c r="BN1260" s="65"/>
      <c r="BO1260" s="65"/>
    </row>
    <row r="1261" spans="1:67" s="58" customFormat="1" x14ac:dyDescent="0.2">
      <c r="A1261" s="49"/>
      <c r="B1261" s="50"/>
      <c r="C1261" s="51"/>
      <c r="D1261" s="49"/>
      <c r="E1261" s="49"/>
      <c r="F1261" s="52"/>
      <c r="G1261" s="53"/>
      <c r="H1261" s="54"/>
      <c r="I1261" s="55"/>
      <c r="J1261" s="53"/>
      <c r="K1261" s="53"/>
      <c r="L1261" s="53"/>
      <c r="M1261" s="56"/>
      <c r="N1261" s="53"/>
      <c r="O1261" s="57"/>
      <c r="P1261" s="57"/>
      <c r="Q1261" s="53"/>
      <c r="R1261" s="53"/>
      <c r="S1261" s="53"/>
      <c r="T1261" s="59"/>
      <c r="U1261" s="59"/>
      <c r="V1261" s="53"/>
      <c r="W1261" s="53"/>
      <c r="X1261" s="53"/>
      <c r="Y1261" s="9" t="e">
        <f t="shared" si="19"/>
        <v>#DIV/0!</v>
      </c>
      <c r="Z1261" s="60"/>
      <c r="AC1261" s="61"/>
      <c r="AD1261" s="53"/>
      <c r="AE1261" s="56"/>
      <c r="AF1261" s="62"/>
      <c r="AG1261" s="63"/>
      <c r="AH1261" s="61"/>
      <c r="AO1261" s="64" t="s">
        <v>79</v>
      </c>
      <c r="AP1261" s="65">
        <v>3.7000000000000006</v>
      </c>
      <c r="AQ1261" s="65">
        <v>3.7</v>
      </c>
      <c r="AR1261" s="65">
        <v>3.7</v>
      </c>
      <c r="AS1261" s="65">
        <v>3.7</v>
      </c>
      <c r="AT1261" s="65"/>
      <c r="AU1261" s="65"/>
      <c r="AV1261" s="65"/>
      <c r="AW1261" s="65"/>
      <c r="AX1261" s="65"/>
      <c r="AY1261" s="65"/>
      <c r="AZ1261" s="65"/>
      <c r="BA1261" s="65"/>
      <c r="BB1261" s="65"/>
      <c r="BC1261" s="65"/>
      <c r="BD1261" s="65"/>
      <c r="BE1261" s="65"/>
      <c r="BF1261" s="65"/>
      <c r="BG1261" s="65"/>
      <c r="BH1261" s="65"/>
      <c r="BI1261" s="65"/>
      <c r="BJ1261" s="65"/>
      <c r="BK1261" s="65"/>
      <c r="BL1261" s="65"/>
      <c r="BM1261" s="65"/>
      <c r="BN1261" s="65"/>
      <c r="BO1261" s="65"/>
    </row>
    <row r="1262" spans="1:67" s="58" customFormat="1" x14ac:dyDescent="0.2">
      <c r="A1262" s="49" t="s">
        <v>67</v>
      </c>
      <c r="B1262" s="50">
        <v>43390</v>
      </c>
      <c r="C1262" s="51">
        <v>0.54513888888888895</v>
      </c>
      <c r="D1262" s="49" t="s">
        <v>224</v>
      </c>
      <c r="E1262" s="49"/>
      <c r="F1262" s="52">
        <v>63</v>
      </c>
      <c r="G1262" s="53">
        <v>2</v>
      </c>
      <c r="H1262" s="54">
        <v>3.1746031746031744E-2</v>
      </c>
      <c r="I1262" s="55">
        <v>6.9746499000000003E-2</v>
      </c>
      <c r="J1262" s="53">
        <v>314.15899999999999</v>
      </c>
      <c r="K1262" s="53">
        <v>0.41847899399999999</v>
      </c>
      <c r="L1262" s="53">
        <v>6</v>
      </c>
      <c r="M1262" s="56">
        <v>375.35814760632883</v>
      </c>
      <c r="N1262" s="53">
        <v>1419</v>
      </c>
      <c r="O1262" s="57" t="s">
        <v>94</v>
      </c>
      <c r="P1262" s="57" t="s">
        <v>82</v>
      </c>
      <c r="Q1262" s="53" t="s">
        <v>95</v>
      </c>
      <c r="R1262" s="53" t="s">
        <v>96</v>
      </c>
      <c r="S1262" s="53"/>
      <c r="T1262" s="59">
        <v>386</v>
      </c>
      <c r="U1262" s="59">
        <v>1166</v>
      </c>
      <c r="V1262" s="53">
        <v>0.9</v>
      </c>
      <c r="W1262" s="53">
        <v>0.9</v>
      </c>
      <c r="X1262" s="53">
        <v>0.9</v>
      </c>
      <c r="Y1262" s="9">
        <f t="shared" si="19"/>
        <v>144888.24497604292</v>
      </c>
      <c r="Z1262" s="60" t="s">
        <v>97</v>
      </c>
      <c r="AA1262" s="58" t="s">
        <v>425</v>
      </c>
      <c r="AB1262" s="58" t="s">
        <v>386</v>
      </c>
      <c r="AC1262" s="61" t="s">
        <v>112</v>
      </c>
      <c r="AD1262" s="53" t="s">
        <v>85</v>
      </c>
      <c r="AE1262" s="56">
        <v>0.11309723999999999</v>
      </c>
      <c r="AF1262" s="56">
        <v>0.17959422833333327</v>
      </c>
      <c r="AG1262" s="56">
        <v>0.11309723999999999</v>
      </c>
      <c r="AH1262" s="56">
        <v>0.26808234666666664</v>
      </c>
      <c r="AI1262" s="56">
        <v>0.381703185</v>
      </c>
      <c r="AJ1262" s="56">
        <v>0.17959422833333327</v>
      </c>
      <c r="AK1262" s="56">
        <v>0.26808234666666664</v>
      </c>
      <c r="AL1262" s="56">
        <v>0.11309723999999999</v>
      </c>
      <c r="AM1262" s="56">
        <v>0.11309723999999999</v>
      </c>
      <c r="AN1262" s="56">
        <v>0.17959422833333327</v>
      </c>
      <c r="AO1262" s="66" t="s">
        <v>78</v>
      </c>
      <c r="AP1262" s="65">
        <v>0.72399999999999987</v>
      </c>
      <c r="AQ1262" s="65">
        <v>0.6</v>
      </c>
      <c r="AR1262" s="65">
        <v>0.7</v>
      </c>
      <c r="AS1262" s="65">
        <v>0.6</v>
      </c>
      <c r="AT1262" s="65">
        <v>0.8</v>
      </c>
      <c r="AU1262" s="65">
        <v>0.9</v>
      </c>
      <c r="AV1262" s="65">
        <v>0.7</v>
      </c>
      <c r="AW1262" s="65">
        <v>0.8</v>
      </c>
      <c r="AX1262" s="65">
        <v>0.6</v>
      </c>
      <c r="AY1262" s="65">
        <v>0.6</v>
      </c>
      <c r="AZ1262" s="65">
        <v>0.7</v>
      </c>
      <c r="BA1262" s="65">
        <v>0.9</v>
      </c>
      <c r="BB1262" s="65">
        <v>0.7</v>
      </c>
      <c r="BC1262" s="65">
        <v>0.6</v>
      </c>
      <c r="BD1262" s="65">
        <v>0.7</v>
      </c>
      <c r="BE1262" s="65">
        <v>0.8</v>
      </c>
      <c r="BF1262" s="65">
        <v>0.9</v>
      </c>
      <c r="BG1262" s="65">
        <v>0.6</v>
      </c>
      <c r="BH1262" s="65">
        <v>0.7</v>
      </c>
      <c r="BI1262" s="65">
        <v>0.7</v>
      </c>
      <c r="BJ1262" s="65">
        <v>0.8</v>
      </c>
      <c r="BK1262" s="65">
        <v>0.8</v>
      </c>
      <c r="BL1262" s="65">
        <v>0.7</v>
      </c>
      <c r="BM1262" s="65">
        <v>0.6</v>
      </c>
      <c r="BN1262" s="65">
        <v>0.9</v>
      </c>
      <c r="BO1262" s="65">
        <v>0.7</v>
      </c>
    </row>
    <row r="1263" spans="1:67" s="81" customFormat="1" x14ac:dyDescent="0.2">
      <c r="A1263" s="69" t="s">
        <v>67</v>
      </c>
      <c r="B1263" s="74">
        <v>43390</v>
      </c>
      <c r="C1263" s="75">
        <v>0.5625</v>
      </c>
      <c r="D1263" s="69" t="s">
        <v>219</v>
      </c>
      <c r="E1263" s="69"/>
      <c r="F1263" s="76">
        <v>58.5</v>
      </c>
      <c r="G1263" s="69">
        <v>2</v>
      </c>
      <c r="H1263" s="77">
        <v>3.4188034188034191E-2</v>
      </c>
      <c r="I1263" s="78">
        <v>6.9746499000000003E-2</v>
      </c>
      <c r="J1263" s="69">
        <v>314.15899999999999</v>
      </c>
      <c r="K1263" s="69">
        <v>0.41847899399999999</v>
      </c>
      <c r="L1263" s="69">
        <v>6</v>
      </c>
      <c r="M1263" s="79">
        <v>375.35814760632883</v>
      </c>
      <c r="N1263" s="69">
        <v>1037</v>
      </c>
      <c r="O1263" s="80" t="s">
        <v>86</v>
      </c>
      <c r="P1263" s="80" t="s">
        <v>82</v>
      </c>
      <c r="Q1263" s="69" t="s">
        <v>87</v>
      </c>
      <c r="R1263" s="69" t="s">
        <v>84</v>
      </c>
      <c r="S1263" s="69"/>
      <c r="T1263" s="60">
        <v>27</v>
      </c>
      <c r="U1263" s="60">
        <v>27</v>
      </c>
      <c r="V1263" s="69">
        <v>3.7</v>
      </c>
      <c r="W1263" s="69"/>
      <c r="X1263" s="69"/>
      <c r="Y1263" s="9">
        <f t="shared" si="19"/>
        <v>10134.669985370878</v>
      </c>
      <c r="Z1263" s="60" t="s">
        <v>73</v>
      </c>
      <c r="AA1263" s="58" t="s">
        <v>426</v>
      </c>
      <c r="AB1263" s="81" t="s">
        <v>386</v>
      </c>
      <c r="AC1263" s="82" t="s">
        <v>412</v>
      </c>
      <c r="AD1263" s="69" t="s">
        <v>85</v>
      </c>
      <c r="AE1263" s="79">
        <v>10.305985995</v>
      </c>
      <c r="AF1263" s="83"/>
      <c r="AG1263" s="84"/>
      <c r="AH1263" s="82"/>
      <c r="AO1263" s="85" t="s">
        <v>78</v>
      </c>
      <c r="AP1263" s="86">
        <v>2.74</v>
      </c>
      <c r="AQ1263" s="86">
        <v>3.7</v>
      </c>
      <c r="AR1263" s="86">
        <v>2.8</v>
      </c>
      <c r="AS1263" s="86">
        <v>2.4</v>
      </c>
      <c r="AT1263" s="86">
        <v>2.4</v>
      </c>
      <c r="AU1263" s="86">
        <v>2.4</v>
      </c>
      <c r="AV1263" s="86"/>
      <c r="AW1263" s="86"/>
      <c r="AX1263" s="86"/>
      <c r="AY1263" s="86"/>
      <c r="AZ1263" s="86"/>
      <c r="BA1263" s="86"/>
      <c r="BB1263" s="86"/>
      <c r="BC1263" s="86"/>
      <c r="BD1263" s="86"/>
      <c r="BE1263" s="86"/>
      <c r="BF1263" s="86"/>
      <c r="BG1263" s="86"/>
      <c r="BH1263" s="86"/>
      <c r="BI1263" s="86"/>
      <c r="BJ1263" s="86"/>
      <c r="BK1263" s="86"/>
      <c r="BL1263" s="86"/>
      <c r="BM1263" s="86"/>
      <c r="BN1263" s="86"/>
      <c r="BO1263" s="86"/>
    </row>
    <row r="1264" spans="1:67" s="81" customFormat="1" x14ac:dyDescent="0.2">
      <c r="A1264" s="69" t="s">
        <v>67</v>
      </c>
      <c r="B1264" s="74">
        <v>43390</v>
      </c>
      <c r="C1264" s="75">
        <v>0.5625</v>
      </c>
      <c r="D1264" s="69" t="s">
        <v>219</v>
      </c>
      <c r="E1264" s="69"/>
      <c r="F1264" s="76">
        <v>58.5</v>
      </c>
      <c r="G1264" s="69">
        <v>2</v>
      </c>
      <c r="H1264" s="77">
        <v>3.4188034188034191E-2</v>
      </c>
      <c r="I1264" s="78">
        <v>6.9746499000000003E-2</v>
      </c>
      <c r="J1264" s="69">
        <v>314.15899999999999</v>
      </c>
      <c r="K1264" s="69">
        <v>0.41847899399999999</v>
      </c>
      <c r="L1264" s="69">
        <v>6</v>
      </c>
      <c r="M1264" s="79">
        <v>375.35814760632883</v>
      </c>
      <c r="N1264" s="69">
        <v>1364</v>
      </c>
      <c r="O1264" s="80" t="s">
        <v>88</v>
      </c>
      <c r="P1264" s="80" t="s">
        <v>82</v>
      </c>
      <c r="Q1264" s="69" t="s">
        <v>89</v>
      </c>
      <c r="R1264" s="69" t="s">
        <v>90</v>
      </c>
      <c r="S1264" s="69"/>
      <c r="T1264" s="60">
        <v>7</v>
      </c>
      <c r="U1264" s="60">
        <v>7</v>
      </c>
      <c r="V1264" s="69">
        <v>11.1</v>
      </c>
      <c r="W1264" s="69"/>
      <c r="X1264" s="69"/>
      <c r="Y1264" s="9">
        <f t="shared" si="19"/>
        <v>2627.5070332443015</v>
      </c>
      <c r="Z1264" s="60" t="s">
        <v>73</v>
      </c>
      <c r="AA1264" s="58" t="s">
        <v>426</v>
      </c>
      <c r="AB1264" s="81" t="s">
        <v>386</v>
      </c>
      <c r="AC1264" s="82" t="s">
        <v>412</v>
      </c>
      <c r="AD1264" s="69" t="s">
        <v>91</v>
      </c>
      <c r="AE1264" s="79">
        <v>354.67294463999997</v>
      </c>
      <c r="AF1264" s="83"/>
      <c r="AG1264" s="84"/>
      <c r="AH1264" s="82"/>
      <c r="AO1264" s="85" t="s">
        <v>78</v>
      </c>
      <c r="AP1264" s="86">
        <v>9.5599999999999987</v>
      </c>
      <c r="AQ1264" s="86">
        <v>9.3000000000000007</v>
      </c>
      <c r="AR1264" s="86">
        <v>11.1</v>
      </c>
      <c r="AS1264" s="86">
        <v>9.8000000000000007</v>
      </c>
      <c r="AT1264" s="86">
        <v>9.3000000000000007</v>
      </c>
      <c r="AU1264" s="86">
        <v>8.3000000000000007</v>
      </c>
      <c r="AV1264" s="86"/>
      <c r="AW1264" s="86"/>
      <c r="AX1264" s="86"/>
      <c r="AY1264" s="86"/>
      <c r="AZ1264" s="86"/>
      <c r="BA1264" s="86"/>
      <c r="BB1264" s="86"/>
      <c r="BC1264" s="86"/>
      <c r="BD1264" s="86"/>
      <c r="BE1264" s="86"/>
      <c r="BF1264" s="86"/>
      <c r="BG1264" s="86"/>
      <c r="BH1264" s="86"/>
      <c r="BI1264" s="86"/>
      <c r="BJ1264" s="86"/>
      <c r="BK1264" s="86"/>
      <c r="BL1264" s="86"/>
      <c r="BM1264" s="86"/>
      <c r="BN1264" s="86"/>
      <c r="BO1264" s="86"/>
    </row>
    <row r="1265" spans="1:67" s="81" customFormat="1" x14ac:dyDescent="0.2">
      <c r="A1265" s="69"/>
      <c r="B1265" s="74"/>
      <c r="C1265" s="75"/>
      <c r="D1265" s="69"/>
      <c r="E1265" s="69"/>
      <c r="F1265" s="76"/>
      <c r="G1265" s="69"/>
      <c r="H1265" s="77"/>
      <c r="I1265" s="78"/>
      <c r="J1265" s="69"/>
      <c r="K1265" s="69"/>
      <c r="L1265" s="69"/>
      <c r="M1265" s="79"/>
      <c r="N1265" s="69"/>
      <c r="O1265" s="80"/>
      <c r="P1265" s="80"/>
      <c r="Q1265" s="69"/>
      <c r="R1265" s="69"/>
      <c r="S1265" s="69"/>
      <c r="T1265" s="60"/>
      <c r="U1265" s="60"/>
      <c r="V1265" s="69"/>
      <c r="W1265" s="69"/>
      <c r="X1265" s="69"/>
      <c r="Y1265" s="9" t="e">
        <f t="shared" si="19"/>
        <v>#DIV/0!</v>
      </c>
      <c r="Z1265" s="60"/>
      <c r="AC1265" s="82"/>
      <c r="AD1265" s="69"/>
      <c r="AE1265" s="79"/>
      <c r="AF1265" s="83"/>
      <c r="AG1265" s="84"/>
      <c r="AH1265" s="82"/>
      <c r="AO1265" s="64" t="s">
        <v>79</v>
      </c>
      <c r="AP1265" s="86">
        <v>5.0600000000000005</v>
      </c>
      <c r="AQ1265" s="86">
        <v>4.3</v>
      </c>
      <c r="AR1265" s="86">
        <v>5</v>
      </c>
      <c r="AS1265" s="86">
        <v>6.1</v>
      </c>
      <c r="AT1265" s="86">
        <v>5.6</v>
      </c>
      <c r="AU1265" s="86">
        <v>4.3</v>
      </c>
      <c r="AV1265" s="86"/>
      <c r="AW1265" s="86"/>
      <c r="AX1265" s="86"/>
      <c r="AY1265" s="86"/>
      <c r="AZ1265" s="86"/>
      <c r="BA1265" s="86"/>
      <c r="BB1265" s="86"/>
      <c r="BC1265" s="86"/>
      <c r="BD1265" s="86"/>
      <c r="BE1265" s="86"/>
      <c r="BF1265" s="86"/>
      <c r="BG1265" s="86"/>
      <c r="BH1265" s="86"/>
      <c r="BI1265" s="86"/>
      <c r="BJ1265" s="86"/>
      <c r="BK1265" s="86"/>
      <c r="BL1265" s="86"/>
      <c r="BM1265" s="86"/>
      <c r="BN1265" s="86"/>
      <c r="BO1265" s="86"/>
    </row>
    <row r="1266" spans="1:67" s="81" customFormat="1" x14ac:dyDescent="0.2">
      <c r="A1266" s="69" t="s">
        <v>67</v>
      </c>
      <c r="B1266" s="74">
        <v>43390</v>
      </c>
      <c r="C1266" s="75">
        <v>0.5625</v>
      </c>
      <c r="D1266" s="69" t="s">
        <v>219</v>
      </c>
      <c r="E1266" s="69"/>
      <c r="F1266" s="76">
        <v>58.5</v>
      </c>
      <c r="G1266" s="69">
        <v>2</v>
      </c>
      <c r="H1266" s="77">
        <v>3.4188034188034191E-2</v>
      </c>
      <c r="I1266" s="78">
        <v>6.9746499000000003E-2</v>
      </c>
      <c r="J1266" s="69">
        <v>314.15899999999999</v>
      </c>
      <c r="K1266" s="69">
        <v>0.41847899399999999</v>
      </c>
      <c r="L1266" s="69">
        <v>6</v>
      </c>
      <c r="M1266" s="79">
        <v>375.35814760632883</v>
      </c>
      <c r="N1266" s="69">
        <v>1733</v>
      </c>
      <c r="O1266" s="80" t="s">
        <v>391</v>
      </c>
      <c r="P1266" s="80" t="s">
        <v>82</v>
      </c>
      <c r="Q1266" s="69" t="s">
        <v>89</v>
      </c>
      <c r="R1266" s="69" t="s">
        <v>93</v>
      </c>
      <c r="S1266" s="69"/>
      <c r="T1266" s="60">
        <v>2</v>
      </c>
      <c r="U1266" s="60">
        <v>2</v>
      </c>
      <c r="V1266" s="69">
        <v>7.4</v>
      </c>
      <c r="W1266" s="69"/>
      <c r="X1266" s="69"/>
      <c r="Y1266" s="9">
        <f t="shared" si="19"/>
        <v>750.71629521265766</v>
      </c>
      <c r="Z1266" s="60" t="s">
        <v>73</v>
      </c>
      <c r="AA1266" s="58" t="s">
        <v>426</v>
      </c>
      <c r="AB1266" s="81" t="s">
        <v>386</v>
      </c>
      <c r="AC1266" s="82" t="s">
        <v>412</v>
      </c>
      <c r="AD1266" s="69" t="s">
        <v>91</v>
      </c>
      <c r="AE1266" s="79">
        <v>123.47705335999997</v>
      </c>
      <c r="AF1266" s="83"/>
      <c r="AG1266" s="84"/>
      <c r="AH1266" s="82"/>
      <c r="AO1266" s="85" t="s">
        <v>78</v>
      </c>
      <c r="AP1266" s="86">
        <v>6.75</v>
      </c>
      <c r="AQ1266" s="86">
        <v>6.1</v>
      </c>
      <c r="AR1266" s="86">
        <v>7.4</v>
      </c>
      <c r="AS1266" s="86"/>
      <c r="AT1266" s="86"/>
      <c r="AU1266" s="86"/>
      <c r="AV1266" s="86"/>
      <c r="AW1266" s="86"/>
      <c r="AX1266" s="86"/>
      <c r="AY1266" s="86"/>
      <c r="AZ1266" s="86"/>
      <c r="BA1266" s="86"/>
      <c r="BB1266" s="86"/>
      <c r="BC1266" s="86"/>
      <c r="BD1266" s="86"/>
      <c r="BE1266" s="86"/>
      <c r="BF1266" s="86"/>
      <c r="BG1266" s="86"/>
      <c r="BH1266" s="86"/>
      <c r="BI1266" s="86"/>
      <c r="BJ1266" s="86"/>
      <c r="BK1266" s="86"/>
      <c r="BL1266" s="86"/>
      <c r="BM1266" s="86"/>
      <c r="BN1266" s="86"/>
      <c r="BO1266" s="86"/>
    </row>
    <row r="1267" spans="1:67" s="81" customFormat="1" x14ac:dyDescent="0.2">
      <c r="A1267" s="69"/>
      <c r="B1267" s="74"/>
      <c r="C1267" s="75"/>
      <c r="D1267" s="69"/>
      <c r="E1267" s="69"/>
      <c r="F1267" s="76"/>
      <c r="G1267" s="69"/>
      <c r="H1267" s="77"/>
      <c r="I1267" s="78"/>
      <c r="J1267" s="69"/>
      <c r="K1267" s="69"/>
      <c r="L1267" s="69"/>
      <c r="M1267" s="79"/>
      <c r="N1267" s="69"/>
      <c r="O1267" s="80"/>
      <c r="P1267" s="80"/>
      <c r="Q1267" s="69"/>
      <c r="R1267" s="69"/>
      <c r="S1267" s="69"/>
      <c r="T1267" s="60"/>
      <c r="U1267" s="60"/>
      <c r="V1267" s="69"/>
      <c r="W1267" s="69"/>
      <c r="X1267" s="69"/>
      <c r="Y1267" s="9" t="e">
        <f t="shared" si="19"/>
        <v>#DIV/0!</v>
      </c>
      <c r="Z1267" s="60"/>
      <c r="AC1267" s="82"/>
      <c r="AD1267" s="69"/>
      <c r="AE1267" s="79"/>
      <c r="AF1267" s="83"/>
      <c r="AG1267" s="84"/>
      <c r="AH1267" s="82"/>
      <c r="AO1267" s="64" t="s">
        <v>79</v>
      </c>
      <c r="AP1267" s="86">
        <v>3.4000000000000004</v>
      </c>
      <c r="AQ1267" s="86">
        <v>3.1</v>
      </c>
      <c r="AR1267" s="86">
        <v>3.7</v>
      </c>
      <c r="AS1267" s="86"/>
      <c r="AT1267" s="86"/>
      <c r="AU1267" s="86"/>
      <c r="AV1267" s="86"/>
      <c r="AW1267" s="86"/>
      <c r="AX1267" s="86"/>
      <c r="AY1267" s="86"/>
      <c r="AZ1267" s="86"/>
      <c r="BA1267" s="86"/>
      <c r="BB1267" s="86"/>
      <c r="BC1267" s="86"/>
      <c r="BD1267" s="86"/>
      <c r="BE1267" s="86"/>
      <c r="BF1267" s="86"/>
      <c r="BG1267" s="86"/>
      <c r="BH1267" s="86"/>
      <c r="BI1267" s="86"/>
      <c r="BJ1267" s="86"/>
      <c r="BK1267" s="86"/>
      <c r="BL1267" s="86"/>
      <c r="BM1267" s="86"/>
      <c r="BN1267" s="86"/>
      <c r="BO1267" s="86"/>
    </row>
    <row r="1268" spans="1:67" s="81" customFormat="1" x14ac:dyDescent="0.2">
      <c r="A1268" s="69" t="s">
        <v>67</v>
      </c>
      <c r="B1268" s="74">
        <v>43390</v>
      </c>
      <c r="C1268" s="75">
        <v>0.5625</v>
      </c>
      <c r="D1268" s="69" t="s">
        <v>219</v>
      </c>
      <c r="E1268" s="69"/>
      <c r="F1268" s="76">
        <v>58.5</v>
      </c>
      <c r="G1268" s="69">
        <v>2</v>
      </c>
      <c r="H1268" s="77">
        <v>3.4188034188034191E-2</v>
      </c>
      <c r="I1268" s="78">
        <v>6.9746499000000003E-2</v>
      </c>
      <c r="J1268" s="69">
        <v>314.15899999999999</v>
      </c>
      <c r="K1268" s="69">
        <v>0.41847899399999999</v>
      </c>
      <c r="L1268" s="69">
        <v>6</v>
      </c>
      <c r="M1268" s="79">
        <v>375.35814760632883</v>
      </c>
      <c r="N1268" s="69">
        <v>1419</v>
      </c>
      <c r="O1268" s="80" t="s">
        <v>94</v>
      </c>
      <c r="P1268" s="80" t="s">
        <v>82</v>
      </c>
      <c r="Q1268" s="69" t="s">
        <v>95</v>
      </c>
      <c r="R1268" s="69" t="s">
        <v>96</v>
      </c>
      <c r="S1268" s="69"/>
      <c r="T1268" s="60">
        <v>408</v>
      </c>
      <c r="U1268" s="60">
        <v>817</v>
      </c>
      <c r="V1268" s="69">
        <v>0.9</v>
      </c>
      <c r="W1268" s="69">
        <v>0.9</v>
      </c>
      <c r="X1268" s="69">
        <v>0.9</v>
      </c>
      <c r="Y1268" s="9">
        <f t="shared" si="19"/>
        <v>153146.12422338218</v>
      </c>
      <c r="Z1268" s="60" t="s">
        <v>97</v>
      </c>
      <c r="AA1268" s="58" t="s">
        <v>426</v>
      </c>
      <c r="AB1268" s="81" t="s">
        <v>386</v>
      </c>
      <c r="AC1268" s="82" t="s">
        <v>412</v>
      </c>
      <c r="AD1268" s="69" t="s">
        <v>85</v>
      </c>
      <c r="AE1268" s="79">
        <v>0.11309723999999999</v>
      </c>
      <c r="AF1268" s="79">
        <v>0.17959422833333327</v>
      </c>
      <c r="AG1268" s="79">
        <v>0.11309723999999999</v>
      </c>
      <c r="AH1268" s="79">
        <v>0.26808234666666664</v>
      </c>
      <c r="AI1268" s="79">
        <v>0.381703185</v>
      </c>
      <c r="AJ1268" s="79">
        <v>0.17959422833333327</v>
      </c>
      <c r="AK1268" s="79">
        <v>0.26808234666666664</v>
      </c>
      <c r="AL1268" s="79">
        <v>0.11309723999999999</v>
      </c>
      <c r="AM1268" s="79">
        <v>0.11309723999999999</v>
      </c>
      <c r="AN1268" s="79">
        <v>0.17959422833333327</v>
      </c>
      <c r="AO1268" s="85" t="s">
        <v>78</v>
      </c>
      <c r="AP1268" s="86">
        <v>0.72399999999999987</v>
      </c>
      <c r="AQ1268" s="86">
        <v>0.6</v>
      </c>
      <c r="AR1268" s="86">
        <v>0.7</v>
      </c>
      <c r="AS1268" s="86">
        <v>0.6</v>
      </c>
      <c r="AT1268" s="86">
        <v>0.8</v>
      </c>
      <c r="AU1268" s="86">
        <v>0.9</v>
      </c>
      <c r="AV1268" s="86">
        <v>0.7</v>
      </c>
      <c r="AW1268" s="86">
        <v>0.8</v>
      </c>
      <c r="AX1268" s="86">
        <v>0.6</v>
      </c>
      <c r="AY1268" s="86">
        <v>0.6</v>
      </c>
      <c r="AZ1268" s="86">
        <v>0.7</v>
      </c>
      <c r="BA1268" s="86">
        <v>0.9</v>
      </c>
      <c r="BB1268" s="86">
        <v>0.7</v>
      </c>
      <c r="BC1268" s="86">
        <v>0.6</v>
      </c>
      <c r="BD1268" s="86">
        <v>0.7</v>
      </c>
      <c r="BE1268" s="86">
        <v>0.8</v>
      </c>
      <c r="BF1268" s="86">
        <v>0.9</v>
      </c>
      <c r="BG1268" s="86">
        <v>0.6</v>
      </c>
      <c r="BH1268" s="86">
        <v>0.7</v>
      </c>
      <c r="BI1268" s="86">
        <v>0.7</v>
      </c>
      <c r="BJ1268" s="86">
        <v>0.8</v>
      </c>
      <c r="BK1268" s="86">
        <v>0.8</v>
      </c>
      <c r="BL1268" s="86">
        <v>0.7</v>
      </c>
      <c r="BM1268" s="86">
        <v>0.6</v>
      </c>
      <c r="BN1268" s="86">
        <v>0.9</v>
      </c>
      <c r="BO1268" s="86">
        <v>0.7</v>
      </c>
    </row>
    <row r="1269" spans="1:67" s="58" customFormat="1" x14ac:dyDescent="0.2">
      <c r="A1269" s="49" t="s">
        <v>67</v>
      </c>
      <c r="B1269" s="50">
        <v>43390</v>
      </c>
      <c r="C1269" s="51">
        <v>0.53125</v>
      </c>
      <c r="D1269" s="49" t="s">
        <v>222</v>
      </c>
      <c r="E1269" s="49">
        <v>3</v>
      </c>
      <c r="F1269" s="52">
        <v>64.5</v>
      </c>
      <c r="G1269" s="53">
        <v>2</v>
      </c>
      <c r="H1269" s="54">
        <v>3.1007751937984496E-2</v>
      </c>
      <c r="I1269" s="55">
        <v>6.9746499000000003E-2</v>
      </c>
      <c r="J1269" s="53">
        <v>314.15899999999999</v>
      </c>
      <c r="K1269" s="53">
        <v>0.41847899399999999</v>
      </c>
      <c r="L1269" s="53">
        <v>6</v>
      </c>
      <c r="M1269" s="56">
        <v>375.35814760632883</v>
      </c>
      <c r="N1269" s="53">
        <v>1037</v>
      </c>
      <c r="O1269" s="57" t="s">
        <v>86</v>
      </c>
      <c r="P1269" s="57" t="s">
        <v>82</v>
      </c>
      <c r="Q1269" s="53" t="s">
        <v>87</v>
      </c>
      <c r="R1269" s="53" t="s">
        <v>84</v>
      </c>
      <c r="S1269" s="53"/>
      <c r="T1269" s="59">
        <v>26</v>
      </c>
      <c r="U1269" s="59">
        <v>26</v>
      </c>
      <c r="V1269" s="53">
        <v>3.1</v>
      </c>
      <c r="W1269" s="53"/>
      <c r="X1269" s="53"/>
      <c r="Y1269" s="9">
        <f t="shared" si="19"/>
        <v>9759.3118377645496</v>
      </c>
      <c r="Z1269" s="60" t="s">
        <v>73</v>
      </c>
      <c r="AA1269" s="58" t="s">
        <v>427</v>
      </c>
      <c r="AB1269" s="58" t="s">
        <v>386</v>
      </c>
      <c r="AC1269" s="61" t="s">
        <v>412</v>
      </c>
      <c r="AD1269" s="53" t="s">
        <v>85</v>
      </c>
      <c r="AE1269" s="56">
        <v>11.494030613333329</v>
      </c>
      <c r="AF1269" s="62"/>
      <c r="AG1269" s="63"/>
      <c r="AH1269" s="61"/>
      <c r="AO1269" s="64" t="s">
        <v>78</v>
      </c>
      <c r="AP1269" s="65">
        <v>2.78</v>
      </c>
      <c r="AQ1269" s="65">
        <v>2.8</v>
      </c>
      <c r="AR1269" s="65">
        <v>2.8</v>
      </c>
      <c r="AS1269" s="65">
        <v>2.8</v>
      </c>
      <c r="AT1269" s="65">
        <v>2.4</v>
      </c>
      <c r="AU1269" s="65">
        <v>3.1</v>
      </c>
      <c r="AV1269" s="65"/>
      <c r="AW1269" s="65"/>
      <c r="AX1269" s="65"/>
      <c r="AY1269" s="65"/>
      <c r="AZ1269" s="65"/>
      <c r="BA1269" s="65"/>
      <c r="BB1269" s="65"/>
      <c r="BC1269" s="65"/>
      <c r="BD1269" s="65"/>
      <c r="BE1269" s="65"/>
      <c r="BF1269" s="65"/>
      <c r="BG1269" s="65"/>
      <c r="BH1269" s="65"/>
      <c r="BI1269" s="65"/>
      <c r="BJ1269" s="65"/>
      <c r="BK1269" s="65"/>
      <c r="BL1269" s="65"/>
      <c r="BM1269" s="65"/>
      <c r="BN1269" s="65"/>
      <c r="BO1269" s="65"/>
    </row>
    <row r="1270" spans="1:67" s="58" customFormat="1" x14ac:dyDescent="0.2">
      <c r="A1270" s="49" t="s">
        <v>67</v>
      </c>
      <c r="B1270" s="50">
        <v>43390</v>
      </c>
      <c r="C1270" s="51">
        <v>0.53125</v>
      </c>
      <c r="D1270" s="49" t="s">
        <v>222</v>
      </c>
      <c r="E1270" s="49">
        <v>3</v>
      </c>
      <c r="F1270" s="52">
        <v>64.5</v>
      </c>
      <c r="G1270" s="53">
        <v>2</v>
      </c>
      <c r="H1270" s="54">
        <v>3.1007751937984496E-2</v>
      </c>
      <c r="I1270" s="55">
        <v>6.9746499000000003E-2</v>
      </c>
      <c r="J1270" s="53">
        <v>314.15899999999999</v>
      </c>
      <c r="K1270" s="53">
        <v>0.41847899399999999</v>
      </c>
      <c r="L1270" s="53">
        <v>6</v>
      </c>
      <c r="M1270" s="56">
        <v>375.35814760632883</v>
      </c>
      <c r="N1270" s="53">
        <v>1733</v>
      </c>
      <c r="O1270" s="57" t="s">
        <v>92</v>
      </c>
      <c r="P1270" s="57" t="s">
        <v>82</v>
      </c>
      <c r="Q1270" s="53" t="s">
        <v>89</v>
      </c>
      <c r="R1270" s="53" t="s">
        <v>93</v>
      </c>
      <c r="S1270" s="53"/>
      <c r="T1270" s="59">
        <v>3</v>
      </c>
      <c r="U1270" s="59">
        <v>3</v>
      </c>
      <c r="V1270" s="53">
        <v>6.5</v>
      </c>
      <c r="W1270" s="53"/>
      <c r="X1270" s="53"/>
      <c r="Y1270" s="9">
        <f t="shared" si="19"/>
        <v>1126.0744428189864</v>
      </c>
      <c r="Z1270" s="60" t="s">
        <v>73</v>
      </c>
      <c r="AA1270" s="58" t="s">
        <v>427</v>
      </c>
      <c r="AB1270" s="58" t="s">
        <v>386</v>
      </c>
      <c r="AC1270" s="61" t="s">
        <v>412</v>
      </c>
      <c r="AD1270" s="53" t="s">
        <v>91</v>
      </c>
      <c r="AE1270" s="56">
        <v>79.104450802499997</v>
      </c>
      <c r="AF1270" s="62"/>
      <c r="AG1270" s="63"/>
      <c r="AH1270" s="61"/>
      <c r="AO1270" s="64" t="s">
        <v>78</v>
      </c>
      <c r="AP1270" s="65">
        <v>5.7333333333333334</v>
      </c>
      <c r="AQ1270" s="65">
        <v>6.5</v>
      </c>
      <c r="AR1270" s="65">
        <v>4.5999999999999996</v>
      </c>
      <c r="AS1270" s="65">
        <v>6.1</v>
      </c>
      <c r="AT1270" s="65"/>
      <c r="AU1270" s="65"/>
      <c r="AV1270" s="65"/>
      <c r="AW1270" s="65"/>
      <c r="AX1270" s="65"/>
      <c r="AY1270" s="65"/>
      <c r="AZ1270" s="65"/>
      <c r="BA1270" s="65"/>
      <c r="BB1270" s="65"/>
      <c r="BC1270" s="65"/>
      <c r="BD1270" s="65"/>
      <c r="BE1270" s="65"/>
      <c r="BF1270" s="65"/>
      <c r="BG1270" s="65"/>
      <c r="BH1270" s="65"/>
      <c r="BI1270" s="65"/>
      <c r="BJ1270" s="65"/>
      <c r="BK1270" s="65"/>
      <c r="BL1270" s="65"/>
      <c r="BM1270" s="65"/>
      <c r="BN1270" s="65"/>
      <c r="BO1270" s="65"/>
    </row>
    <row r="1271" spans="1:67" s="58" customFormat="1" x14ac:dyDescent="0.2">
      <c r="A1271" s="49"/>
      <c r="B1271" s="50"/>
      <c r="C1271" s="51"/>
      <c r="D1271" s="49"/>
      <c r="E1271" s="49"/>
      <c r="F1271" s="52"/>
      <c r="G1271" s="53"/>
      <c r="H1271" s="54"/>
      <c r="I1271" s="55"/>
      <c r="J1271" s="53"/>
      <c r="K1271" s="53"/>
      <c r="L1271" s="53"/>
      <c r="M1271" s="56"/>
      <c r="N1271" s="53"/>
      <c r="O1271" s="57"/>
      <c r="P1271" s="57"/>
      <c r="Q1271" s="53"/>
      <c r="R1271" s="53"/>
      <c r="S1271" s="53"/>
      <c r="T1271" s="59"/>
      <c r="U1271" s="59"/>
      <c r="V1271" s="53"/>
      <c r="W1271" s="53"/>
      <c r="X1271" s="53"/>
      <c r="Y1271" s="9" t="e">
        <f t="shared" si="19"/>
        <v>#DIV/0!</v>
      </c>
      <c r="Z1271" s="60"/>
      <c r="AC1271" s="61"/>
      <c r="AD1271" s="53"/>
      <c r="AE1271" s="56"/>
      <c r="AF1271" s="62"/>
      <c r="AG1271" s="63"/>
      <c r="AH1271" s="61"/>
      <c r="AO1271" s="64" t="s">
        <v>79</v>
      </c>
      <c r="AP1271" s="65">
        <v>3.6</v>
      </c>
      <c r="AQ1271" s="65">
        <v>3.1</v>
      </c>
      <c r="AR1271" s="65">
        <v>3.1</v>
      </c>
      <c r="AS1271" s="65">
        <v>4.5999999999999996</v>
      </c>
      <c r="AT1271" s="65"/>
      <c r="AU1271" s="65"/>
      <c r="AV1271" s="65"/>
      <c r="AW1271" s="65"/>
      <c r="AX1271" s="65"/>
      <c r="AY1271" s="65"/>
      <c r="AZ1271" s="65"/>
      <c r="BA1271" s="65"/>
      <c r="BB1271" s="65"/>
      <c r="BC1271" s="65"/>
      <c r="BD1271" s="65"/>
      <c r="BE1271" s="65"/>
      <c r="BF1271" s="65"/>
      <c r="BG1271" s="65"/>
      <c r="BH1271" s="65"/>
      <c r="BI1271" s="65"/>
      <c r="BJ1271" s="65"/>
      <c r="BK1271" s="65"/>
      <c r="BL1271" s="65"/>
      <c r="BM1271" s="65"/>
      <c r="BN1271" s="65"/>
      <c r="BO1271" s="65"/>
    </row>
    <row r="1272" spans="1:67" s="58" customFormat="1" x14ac:dyDescent="0.2">
      <c r="A1272" s="49" t="s">
        <v>67</v>
      </c>
      <c r="B1272" s="50">
        <v>43390</v>
      </c>
      <c r="C1272" s="51">
        <v>0.53125</v>
      </c>
      <c r="D1272" s="49" t="s">
        <v>222</v>
      </c>
      <c r="E1272" s="49">
        <v>3</v>
      </c>
      <c r="F1272" s="52">
        <v>64.5</v>
      </c>
      <c r="G1272" s="53">
        <v>2</v>
      </c>
      <c r="H1272" s="54">
        <v>3.1007751937984496E-2</v>
      </c>
      <c r="I1272" s="55">
        <v>6.9746499000000003E-2</v>
      </c>
      <c r="J1272" s="53">
        <v>314.15899999999999</v>
      </c>
      <c r="K1272" s="53">
        <v>0.41847899399999999</v>
      </c>
      <c r="L1272" s="53">
        <v>6</v>
      </c>
      <c r="M1272" s="56">
        <v>375.35814760632883</v>
      </c>
      <c r="N1272" s="53">
        <v>1419</v>
      </c>
      <c r="O1272" s="57" t="s">
        <v>94</v>
      </c>
      <c r="P1272" s="57" t="s">
        <v>82</v>
      </c>
      <c r="Q1272" s="53" t="s">
        <v>95</v>
      </c>
      <c r="R1272" s="53" t="s">
        <v>96</v>
      </c>
      <c r="S1272" s="53"/>
      <c r="T1272" s="59">
        <v>418</v>
      </c>
      <c r="U1272" s="59">
        <v>841</v>
      </c>
      <c r="V1272" s="53">
        <v>0.9</v>
      </c>
      <c r="W1272" s="53">
        <v>0.9</v>
      </c>
      <c r="X1272" s="53">
        <v>0.9</v>
      </c>
      <c r="Y1272" s="9">
        <f t="shared" si="19"/>
        <v>156899.70569944545</v>
      </c>
      <c r="Z1272" s="60" t="s">
        <v>97</v>
      </c>
      <c r="AA1272" s="58" t="s">
        <v>427</v>
      </c>
      <c r="AB1272" s="58" t="s">
        <v>386</v>
      </c>
      <c r="AC1272" s="61" t="s">
        <v>412</v>
      </c>
      <c r="AD1272" s="53" t="s">
        <v>85</v>
      </c>
      <c r="AE1272" s="56">
        <v>0.11309723999999999</v>
      </c>
      <c r="AF1272" s="56">
        <v>0.17959422833333327</v>
      </c>
      <c r="AG1272" s="56">
        <v>0.11309723999999999</v>
      </c>
      <c r="AH1272" s="56">
        <v>0.26808234666666664</v>
      </c>
      <c r="AI1272" s="56">
        <v>0.381703185</v>
      </c>
      <c r="AJ1272" s="56">
        <v>0.17959422833333327</v>
      </c>
      <c r="AK1272" s="56">
        <v>0.26808234666666664</v>
      </c>
      <c r="AL1272" s="56">
        <v>0.11309723999999999</v>
      </c>
      <c r="AM1272" s="56">
        <v>0.11309723999999999</v>
      </c>
      <c r="AN1272" s="56">
        <v>0.17959422833333327</v>
      </c>
      <c r="AO1272" s="66" t="s">
        <v>78</v>
      </c>
      <c r="AP1272" s="65">
        <v>0.72399999999999987</v>
      </c>
      <c r="AQ1272" s="86">
        <v>0.6</v>
      </c>
      <c r="AR1272" s="86">
        <v>0.7</v>
      </c>
      <c r="AS1272" s="86">
        <v>0.6</v>
      </c>
      <c r="AT1272" s="86">
        <v>0.8</v>
      </c>
      <c r="AU1272" s="86">
        <v>0.9</v>
      </c>
      <c r="AV1272" s="86">
        <v>0.7</v>
      </c>
      <c r="AW1272" s="86">
        <v>0.8</v>
      </c>
      <c r="AX1272" s="86">
        <v>0.6</v>
      </c>
      <c r="AY1272" s="86">
        <v>0.6</v>
      </c>
      <c r="AZ1272" s="86">
        <v>0.7</v>
      </c>
      <c r="BA1272" s="86">
        <v>0.9</v>
      </c>
      <c r="BB1272" s="86">
        <v>0.7</v>
      </c>
      <c r="BC1272" s="86">
        <v>0.6</v>
      </c>
      <c r="BD1272" s="86">
        <v>0.7</v>
      </c>
      <c r="BE1272" s="86">
        <v>0.8</v>
      </c>
      <c r="BF1272" s="86">
        <v>0.9</v>
      </c>
      <c r="BG1272" s="86">
        <v>0.6</v>
      </c>
      <c r="BH1272" s="86">
        <v>0.7</v>
      </c>
      <c r="BI1272" s="86">
        <v>0.7</v>
      </c>
      <c r="BJ1272" s="86">
        <v>0.8</v>
      </c>
      <c r="BK1272" s="86">
        <v>0.8</v>
      </c>
      <c r="BL1272" s="86">
        <v>0.7</v>
      </c>
      <c r="BM1272" s="86">
        <v>0.6</v>
      </c>
      <c r="BN1272" s="86">
        <v>0.9</v>
      </c>
      <c r="BO1272" s="86">
        <v>0.7</v>
      </c>
    </row>
    <row r="1273" spans="1:67" s="58" customFormat="1" x14ac:dyDescent="0.2">
      <c r="A1273" s="49" t="s">
        <v>67</v>
      </c>
      <c r="B1273" s="50">
        <v>43171</v>
      </c>
      <c r="C1273" s="51">
        <v>0.61458333333333304</v>
      </c>
      <c r="D1273" s="49" t="s">
        <v>181</v>
      </c>
      <c r="E1273" s="49"/>
      <c r="F1273" s="52">
        <v>61</v>
      </c>
      <c r="G1273" s="53">
        <v>2</v>
      </c>
      <c r="H1273" s="54">
        <v>3.2786885245901641E-2</v>
      </c>
      <c r="I1273" s="55">
        <v>6.9746499000000003E-2</v>
      </c>
      <c r="J1273" s="53">
        <v>314.15899999999999</v>
      </c>
      <c r="K1273" s="53">
        <v>0.41847899399999999</v>
      </c>
      <c r="L1273" s="53">
        <v>6</v>
      </c>
      <c r="M1273" s="56">
        <v>375.35814760632883</v>
      </c>
      <c r="N1273" s="53">
        <v>749</v>
      </c>
      <c r="O1273" s="57" t="s">
        <v>261</v>
      </c>
      <c r="P1273" s="58" t="s">
        <v>70</v>
      </c>
      <c r="Q1273" s="53" t="s">
        <v>191</v>
      </c>
      <c r="R1273" s="53" t="s">
        <v>84</v>
      </c>
      <c r="S1273" s="53"/>
      <c r="T1273" s="59">
        <v>1</v>
      </c>
      <c r="U1273" s="59">
        <v>1</v>
      </c>
      <c r="V1273" s="53">
        <v>29.6</v>
      </c>
      <c r="W1273" s="53"/>
      <c r="X1273" s="53"/>
      <c r="Y1273" s="9">
        <f t="shared" si="19"/>
        <v>375.35814760632883</v>
      </c>
      <c r="Z1273" s="60" t="s">
        <v>73</v>
      </c>
      <c r="AA1273" s="58" t="s">
        <v>428</v>
      </c>
      <c r="AB1273" s="58" t="s">
        <v>386</v>
      </c>
      <c r="AC1273" s="61" t="s">
        <v>429</v>
      </c>
      <c r="AD1273" s="53" t="s">
        <v>193</v>
      </c>
      <c r="AE1273" s="56">
        <v>251.89600000000002</v>
      </c>
      <c r="AF1273" s="62"/>
      <c r="AG1273" s="63"/>
      <c r="AH1273" s="61"/>
      <c r="AO1273" s="64" t="s">
        <v>78</v>
      </c>
      <c r="AP1273" s="65">
        <v>29.6</v>
      </c>
      <c r="AQ1273" s="65">
        <v>29.6</v>
      </c>
      <c r="AR1273" s="65"/>
      <c r="AS1273" s="65"/>
      <c r="AT1273" s="65"/>
      <c r="AU1273" s="65"/>
      <c r="AV1273" s="65"/>
      <c r="AW1273" s="65"/>
      <c r="AX1273" s="65"/>
      <c r="AY1273" s="65"/>
      <c r="AZ1273" s="65"/>
      <c r="BA1273" s="65"/>
      <c r="BB1273" s="65"/>
      <c r="BC1273" s="65"/>
      <c r="BD1273" s="65"/>
      <c r="BE1273" s="65"/>
      <c r="BF1273" s="65"/>
      <c r="BG1273" s="65"/>
      <c r="BH1273" s="65"/>
      <c r="BI1273" s="65"/>
      <c r="BJ1273" s="65"/>
      <c r="BK1273" s="65"/>
      <c r="BL1273" s="65"/>
      <c r="BM1273" s="65"/>
      <c r="BN1273" s="65"/>
      <c r="BO1273" s="65"/>
    </row>
    <row r="1274" spans="1:67" s="58" customFormat="1" x14ac:dyDescent="0.2">
      <c r="A1274" s="49"/>
      <c r="B1274" s="50"/>
      <c r="C1274" s="51"/>
      <c r="D1274" s="49"/>
      <c r="E1274" s="49"/>
      <c r="F1274" s="52"/>
      <c r="G1274" s="53"/>
      <c r="H1274" s="54"/>
      <c r="I1274" s="55"/>
      <c r="J1274" s="53"/>
      <c r="K1274" s="53"/>
      <c r="L1274" s="53"/>
      <c r="M1274" s="56"/>
      <c r="N1274" s="53"/>
      <c r="O1274" s="57"/>
      <c r="Q1274" s="53"/>
      <c r="R1274" s="53"/>
      <c r="S1274" s="53"/>
      <c r="T1274" s="59"/>
      <c r="U1274" s="59"/>
      <c r="V1274" s="53"/>
      <c r="W1274" s="53"/>
      <c r="X1274" s="53"/>
      <c r="Y1274" s="9" t="e">
        <f t="shared" si="19"/>
        <v>#DIV/0!</v>
      </c>
      <c r="Z1274" s="60"/>
      <c r="AC1274" s="61"/>
      <c r="AD1274" s="53"/>
      <c r="AE1274" s="56"/>
      <c r="AF1274" s="62"/>
      <c r="AG1274" s="63"/>
      <c r="AH1274" s="61"/>
      <c r="AO1274" s="64" t="s">
        <v>79</v>
      </c>
      <c r="AP1274" s="65">
        <v>4.5999999999999996</v>
      </c>
      <c r="AQ1274" s="65">
        <v>4.5999999999999996</v>
      </c>
      <c r="AR1274" s="65"/>
      <c r="AS1274" s="65"/>
      <c r="AT1274" s="65"/>
      <c r="AU1274" s="65"/>
      <c r="AV1274" s="65"/>
      <c r="AW1274" s="65"/>
      <c r="AX1274" s="65"/>
      <c r="AY1274" s="65"/>
      <c r="AZ1274" s="65"/>
      <c r="BA1274" s="65"/>
      <c r="BB1274" s="65"/>
      <c r="BC1274" s="65"/>
      <c r="BD1274" s="65"/>
      <c r="BE1274" s="65"/>
      <c r="BF1274" s="65"/>
      <c r="BG1274" s="65"/>
      <c r="BH1274" s="65"/>
      <c r="BI1274" s="65"/>
      <c r="BJ1274" s="65"/>
      <c r="BK1274" s="65"/>
      <c r="BL1274" s="65"/>
      <c r="BM1274" s="65"/>
      <c r="BN1274" s="65"/>
      <c r="BO1274" s="65"/>
    </row>
    <row r="1275" spans="1:67" s="58" customFormat="1" x14ac:dyDescent="0.2">
      <c r="A1275" s="49"/>
      <c r="B1275" s="50"/>
      <c r="C1275" s="51"/>
      <c r="D1275" s="49"/>
      <c r="E1275" s="49"/>
      <c r="F1275" s="52"/>
      <c r="G1275" s="53"/>
      <c r="H1275" s="54"/>
      <c r="I1275" s="55"/>
      <c r="J1275" s="53"/>
      <c r="K1275" s="53"/>
      <c r="L1275" s="53"/>
      <c r="M1275" s="56"/>
      <c r="N1275" s="53"/>
      <c r="O1275" s="57"/>
      <c r="Q1275" s="53"/>
      <c r="R1275" s="53"/>
      <c r="S1275" s="53"/>
      <c r="T1275" s="59"/>
      <c r="U1275" s="59"/>
      <c r="V1275" s="53"/>
      <c r="W1275" s="53"/>
      <c r="X1275" s="53"/>
      <c r="Y1275" s="9" t="e">
        <f t="shared" si="19"/>
        <v>#DIV/0!</v>
      </c>
      <c r="Z1275" s="60"/>
      <c r="AC1275" s="61"/>
      <c r="AD1275" s="53"/>
      <c r="AE1275" s="56"/>
      <c r="AF1275" s="62"/>
      <c r="AG1275" s="63"/>
      <c r="AH1275" s="61"/>
      <c r="AO1275" s="64" t="s">
        <v>80</v>
      </c>
      <c r="AP1275" s="65">
        <v>3.7</v>
      </c>
      <c r="AQ1275" s="65">
        <v>3.7</v>
      </c>
      <c r="AR1275" s="65"/>
      <c r="AS1275" s="65"/>
      <c r="AT1275" s="65"/>
      <c r="AU1275" s="65"/>
      <c r="AV1275" s="65"/>
      <c r="AW1275" s="65"/>
      <c r="AX1275" s="65"/>
      <c r="AY1275" s="65"/>
      <c r="AZ1275" s="65"/>
      <c r="BA1275" s="65"/>
      <c r="BB1275" s="65"/>
      <c r="BC1275" s="65"/>
      <c r="BD1275" s="65"/>
      <c r="BE1275" s="65"/>
      <c r="BF1275" s="65"/>
      <c r="BG1275" s="65"/>
      <c r="BH1275" s="65"/>
      <c r="BI1275" s="65"/>
      <c r="BJ1275" s="65"/>
      <c r="BK1275" s="65"/>
      <c r="BL1275" s="65"/>
      <c r="BM1275" s="65"/>
      <c r="BN1275" s="65"/>
      <c r="BO1275" s="65"/>
    </row>
    <row r="1276" spans="1:67" s="58" customFormat="1" x14ac:dyDescent="0.2">
      <c r="A1276" s="49" t="s">
        <v>67</v>
      </c>
      <c r="B1276" s="50">
        <v>43171</v>
      </c>
      <c r="C1276" s="51">
        <v>0.61458333333333304</v>
      </c>
      <c r="D1276" s="49" t="s">
        <v>181</v>
      </c>
      <c r="E1276" s="49"/>
      <c r="F1276" s="52">
        <v>61</v>
      </c>
      <c r="G1276" s="53">
        <v>2</v>
      </c>
      <c r="H1276" s="54">
        <v>3.2786885245901641E-2</v>
      </c>
      <c r="I1276" s="55">
        <v>6.9746499000000003E-2</v>
      </c>
      <c r="J1276" s="53">
        <v>314.15899999999999</v>
      </c>
      <c r="K1276" s="53">
        <v>0.41847899399999999</v>
      </c>
      <c r="L1276" s="53">
        <v>6</v>
      </c>
      <c r="M1276" s="56">
        <v>375.35814760632883</v>
      </c>
      <c r="N1276" s="53">
        <v>1037</v>
      </c>
      <c r="O1276" s="57" t="s">
        <v>86</v>
      </c>
      <c r="P1276" s="57" t="s">
        <v>82</v>
      </c>
      <c r="Q1276" s="53" t="s">
        <v>87</v>
      </c>
      <c r="R1276" s="53" t="s">
        <v>84</v>
      </c>
      <c r="S1276" s="53"/>
      <c r="T1276" s="59">
        <v>27</v>
      </c>
      <c r="U1276" s="59">
        <v>27</v>
      </c>
      <c r="V1276" s="53">
        <v>3.7</v>
      </c>
      <c r="W1276" s="53"/>
      <c r="X1276" s="53"/>
      <c r="Y1276" s="9">
        <f t="shared" si="19"/>
        <v>10134.669985370878</v>
      </c>
      <c r="Z1276" s="60" t="s">
        <v>73</v>
      </c>
      <c r="AA1276" s="58" t="s">
        <v>428</v>
      </c>
      <c r="AB1276" s="58" t="s">
        <v>386</v>
      </c>
      <c r="AC1276" s="61"/>
      <c r="AD1276" s="53" t="s">
        <v>85</v>
      </c>
      <c r="AE1276" s="56">
        <v>15.598517948333333</v>
      </c>
      <c r="AF1276" s="62"/>
      <c r="AG1276" s="63"/>
      <c r="AH1276" s="61"/>
      <c r="AO1276" s="64" t="s">
        <v>78</v>
      </c>
      <c r="AP1276" s="65">
        <v>3.0800000000000005</v>
      </c>
      <c r="AQ1276" s="65">
        <v>3.7</v>
      </c>
      <c r="AR1276" s="65">
        <v>2.8</v>
      </c>
      <c r="AS1276" s="65">
        <v>2.4</v>
      </c>
      <c r="AT1276" s="65">
        <v>3.7</v>
      </c>
      <c r="AU1276" s="65">
        <v>2.8</v>
      </c>
      <c r="AV1276" s="65"/>
      <c r="AW1276" s="65"/>
      <c r="AX1276" s="65"/>
      <c r="AY1276" s="65"/>
      <c r="AZ1276" s="65"/>
      <c r="BA1276" s="65"/>
      <c r="BB1276" s="65"/>
      <c r="BC1276" s="65"/>
      <c r="BD1276" s="65"/>
      <c r="BE1276" s="65"/>
      <c r="BF1276" s="65"/>
      <c r="BG1276" s="65"/>
      <c r="BH1276" s="65"/>
      <c r="BI1276" s="65"/>
      <c r="BJ1276" s="65"/>
      <c r="BK1276" s="65"/>
      <c r="BL1276" s="65"/>
      <c r="BM1276" s="65"/>
      <c r="BN1276" s="65"/>
      <c r="BO1276" s="65"/>
    </row>
    <row r="1277" spans="1:67" s="58" customFormat="1" x14ac:dyDescent="0.2">
      <c r="A1277" s="49" t="s">
        <v>67</v>
      </c>
      <c r="B1277" s="50">
        <v>43171</v>
      </c>
      <c r="C1277" s="51">
        <v>0.61458333333333304</v>
      </c>
      <c r="D1277" s="49" t="s">
        <v>181</v>
      </c>
      <c r="E1277" s="49"/>
      <c r="F1277" s="52">
        <v>61</v>
      </c>
      <c r="G1277" s="53">
        <v>2</v>
      </c>
      <c r="H1277" s="54">
        <v>3.2786885245901641E-2</v>
      </c>
      <c r="I1277" s="55">
        <v>6.9746499000000003E-2</v>
      </c>
      <c r="J1277" s="53">
        <v>314.15899999999999</v>
      </c>
      <c r="K1277" s="53">
        <v>0.41847899399999999</v>
      </c>
      <c r="L1277" s="53">
        <v>6</v>
      </c>
      <c r="M1277" s="56">
        <v>375.35814760632883</v>
      </c>
      <c r="N1277" s="53">
        <v>1324</v>
      </c>
      <c r="O1277" s="57" t="s">
        <v>232</v>
      </c>
      <c r="P1277" s="57" t="s">
        <v>82</v>
      </c>
      <c r="Q1277" s="53" t="s">
        <v>233</v>
      </c>
      <c r="R1277" s="53" t="s">
        <v>84</v>
      </c>
      <c r="S1277" s="53"/>
      <c r="T1277" s="59">
        <v>1</v>
      </c>
      <c r="U1277" s="59">
        <v>1</v>
      </c>
      <c r="V1277" s="53">
        <v>6.1</v>
      </c>
      <c r="W1277" s="53"/>
      <c r="X1277" s="53"/>
      <c r="Y1277" s="9">
        <f t="shared" si="19"/>
        <v>375.35814760632883</v>
      </c>
      <c r="Z1277" s="60" t="s">
        <v>73</v>
      </c>
      <c r="AA1277" s="58" t="s">
        <v>428</v>
      </c>
      <c r="AB1277" s="58" t="s">
        <v>386</v>
      </c>
      <c r="AC1277" s="61"/>
      <c r="AD1277" s="53" t="s">
        <v>91</v>
      </c>
      <c r="AE1277" s="56">
        <v>113.97609980249997</v>
      </c>
      <c r="AF1277" s="62"/>
      <c r="AG1277" s="63"/>
      <c r="AH1277" s="61"/>
      <c r="AO1277" s="64" t="s">
        <v>78</v>
      </c>
      <c r="AP1277" s="65">
        <v>6.1</v>
      </c>
      <c r="AQ1277" s="65">
        <v>6.1</v>
      </c>
      <c r="AR1277" s="65"/>
      <c r="AS1277" s="65"/>
      <c r="AT1277" s="65"/>
      <c r="AU1277" s="65"/>
      <c r="AV1277" s="65"/>
      <c r="AW1277" s="65"/>
      <c r="AX1277" s="65"/>
      <c r="AY1277" s="65"/>
      <c r="AZ1277" s="65"/>
      <c r="BA1277" s="65"/>
      <c r="BB1277" s="65"/>
      <c r="BC1277" s="65"/>
      <c r="BD1277" s="65"/>
      <c r="BE1277" s="65"/>
      <c r="BF1277" s="65"/>
      <c r="BG1277" s="65"/>
      <c r="BH1277" s="65"/>
      <c r="BI1277" s="65"/>
      <c r="BJ1277" s="65"/>
      <c r="BK1277" s="65"/>
      <c r="BL1277" s="65"/>
      <c r="BM1277" s="65"/>
      <c r="BN1277" s="65"/>
      <c r="BO1277" s="65"/>
    </row>
    <row r="1278" spans="1:67" s="58" customFormat="1" x14ac:dyDescent="0.2">
      <c r="A1278" s="49"/>
      <c r="B1278" s="50"/>
      <c r="C1278" s="51"/>
      <c r="D1278" s="49"/>
      <c r="E1278" s="49"/>
      <c r="F1278" s="52"/>
      <c r="G1278" s="53"/>
      <c r="H1278" s="54"/>
      <c r="I1278" s="55"/>
      <c r="J1278" s="53"/>
      <c r="K1278" s="53"/>
      <c r="L1278" s="53"/>
      <c r="M1278" s="56"/>
      <c r="N1278" s="53"/>
      <c r="O1278" s="57"/>
      <c r="P1278" s="57"/>
      <c r="Q1278" s="53"/>
      <c r="R1278" s="53"/>
      <c r="S1278" s="53"/>
      <c r="T1278" s="59"/>
      <c r="U1278" s="59"/>
      <c r="V1278" s="53"/>
      <c r="W1278" s="53"/>
      <c r="X1278" s="53"/>
      <c r="Y1278" s="9" t="e">
        <f t="shared" si="19"/>
        <v>#DIV/0!</v>
      </c>
      <c r="Z1278" s="60"/>
      <c r="AC1278" s="61"/>
      <c r="AD1278" s="53"/>
      <c r="AE1278" s="56"/>
      <c r="AF1278" s="62"/>
      <c r="AG1278" s="63"/>
      <c r="AH1278" s="61"/>
      <c r="AO1278" s="64" t="s">
        <v>79</v>
      </c>
      <c r="AP1278" s="65">
        <v>5.6</v>
      </c>
      <c r="AQ1278" s="65">
        <v>5.6</v>
      </c>
      <c r="AR1278" s="65"/>
      <c r="AS1278" s="65"/>
      <c r="AT1278" s="65"/>
      <c r="AU1278" s="65"/>
      <c r="AV1278" s="65"/>
      <c r="AW1278" s="65"/>
      <c r="AX1278" s="65"/>
      <c r="AY1278" s="65"/>
      <c r="AZ1278" s="65"/>
      <c r="BA1278" s="65"/>
      <c r="BB1278" s="65"/>
      <c r="BC1278" s="65"/>
      <c r="BD1278" s="65"/>
      <c r="BE1278" s="65"/>
      <c r="BF1278" s="65"/>
      <c r="BG1278" s="65"/>
      <c r="BH1278" s="65"/>
      <c r="BI1278" s="65"/>
      <c r="BJ1278" s="65"/>
      <c r="BK1278" s="65"/>
      <c r="BL1278" s="65"/>
      <c r="BM1278" s="65"/>
      <c r="BN1278" s="65"/>
      <c r="BO1278" s="65"/>
    </row>
    <row r="1279" spans="1:67" s="58" customFormat="1" x14ac:dyDescent="0.2">
      <c r="A1279" s="49" t="s">
        <v>67</v>
      </c>
      <c r="B1279" s="50">
        <v>43171</v>
      </c>
      <c r="C1279" s="51">
        <v>0.61458333333333304</v>
      </c>
      <c r="D1279" s="49" t="s">
        <v>181</v>
      </c>
      <c r="E1279" s="49"/>
      <c r="F1279" s="52">
        <v>61</v>
      </c>
      <c r="G1279" s="53">
        <v>2</v>
      </c>
      <c r="H1279" s="54">
        <v>3.2786885245901641E-2</v>
      </c>
      <c r="I1279" s="55">
        <v>6.9746499000000003E-2</v>
      </c>
      <c r="J1279" s="53">
        <v>314.15899999999999</v>
      </c>
      <c r="K1279" s="53">
        <v>0.41847899399999999</v>
      </c>
      <c r="L1279" s="53">
        <v>6</v>
      </c>
      <c r="M1279" s="56">
        <v>375.35814760632883</v>
      </c>
      <c r="N1279" s="53">
        <v>1352</v>
      </c>
      <c r="O1279" s="57" t="s">
        <v>403</v>
      </c>
      <c r="P1279" s="57" t="s">
        <v>82</v>
      </c>
      <c r="Q1279" s="53" t="s">
        <v>119</v>
      </c>
      <c r="R1279" s="53" t="s">
        <v>84</v>
      </c>
      <c r="S1279" s="53"/>
      <c r="T1279" s="59">
        <v>1</v>
      </c>
      <c r="U1279" s="59">
        <v>1</v>
      </c>
      <c r="V1279" s="53">
        <v>10.5</v>
      </c>
      <c r="W1279" s="53"/>
      <c r="X1279" s="53"/>
      <c r="Y1279" s="9">
        <f t="shared" si="19"/>
        <v>375.35814760632883</v>
      </c>
      <c r="Z1279" s="60" t="s">
        <v>73</v>
      </c>
      <c r="AA1279" s="58" t="s">
        <v>428</v>
      </c>
      <c r="AB1279" s="58" t="s">
        <v>386</v>
      </c>
      <c r="AC1279" s="61" t="s">
        <v>404</v>
      </c>
      <c r="AD1279" s="53" t="s">
        <v>120</v>
      </c>
      <c r="AE1279" s="56">
        <v>254.21746279999996</v>
      </c>
      <c r="AF1279" s="62"/>
      <c r="AG1279" s="63"/>
      <c r="AH1279" s="61"/>
      <c r="AO1279" s="64" t="s">
        <v>78</v>
      </c>
      <c r="AP1279" s="65">
        <v>10.5</v>
      </c>
      <c r="AQ1279" s="65">
        <v>10.5</v>
      </c>
      <c r="AR1279" s="65"/>
      <c r="AS1279" s="65"/>
      <c r="AT1279" s="65"/>
      <c r="AU1279" s="65"/>
      <c r="AV1279" s="65"/>
      <c r="AW1279" s="65"/>
      <c r="AX1279" s="65"/>
      <c r="AY1279" s="65"/>
      <c r="AZ1279" s="65"/>
      <c r="BA1279" s="65"/>
      <c r="BB1279" s="65"/>
      <c r="BC1279" s="65"/>
      <c r="BD1279" s="65"/>
      <c r="BE1279" s="65"/>
      <c r="BF1279" s="65"/>
      <c r="BG1279" s="65"/>
      <c r="BH1279" s="65"/>
      <c r="BI1279" s="65"/>
      <c r="BJ1279" s="65"/>
      <c r="BK1279" s="65"/>
      <c r="BL1279" s="65"/>
      <c r="BM1279" s="65"/>
      <c r="BN1279" s="65"/>
      <c r="BO1279" s="65"/>
    </row>
    <row r="1280" spans="1:67" s="58" customFormat="1" x14ac:dyDescent="0.2">
      <c r="A1280" s="49"/>
      <c r="B1280" s="50"/>
      <c r="C1280" s="51"/>
      <c r="D1280" s="49"/>
      <c r="E1280" s="49"/>
      <c r="F1280" s="52"/>
      <c r="G1280" s="53"/>
      <c r="H1280" s="54"/>
      <c r="I1280" s="55"/>
      <c r="J1280" s="53"/>
      <c r="K1280" s="53"/>
      <c r="L1280" s="53"/>
      <c r="M1280" s="56"/>
      <c r="N1280" s="53"/>
      <c r="O1280" s="57"/>
      <c r="P1280" s="57"/>
      <c r="Q1280" s="53"/>
      <c r="R1280" s="53"/>
      <c r="S1280" s="53"/>
      <c r="T1280" s="59"/>
      <c r="U1280" s="59"/>
      <c r="V1280" s="53"/>
      <c r="W1280" s="53"/>
      <c r="X1280" s="53"/>
      <c r="Y1280" s="9" t="e">
        <f t="shared" si="19"/>
        <v>#DIV/0!</v>
      </c>
      <c r="Z1280" s="60"/>
      <c r="AC1280" s="61"/>
      <c r="AD1280" s="53"/>
      <c r="AE1280" s="56"/>
      <c r="AF1280" s="62"/>
      <c r="AG1280" s="63"/>
      <c r="AH1280" s="61"/>
      <c r="AO1280" s="64" t="s">
        <v>79</v>
      </c>
      <c r="AP1280" s="65">
        <v>6.8</v>
      </c>
      <c r="AQ1280" s="65">
        <v>6.8</v>
      </c>
      <c r="AR1280" s="65"/>
      <c r="AS1280" s="65"/>
      <c r="AT1280" s="65"/>
      <c r="AU1280" s="65"/>
      <c r="AV1280" s="65"/>
      <c r="AW1280" s="65"/>
      <c r="AX1280" s="65"/>
      <c r="AY1280" s="65"/>
      <c r="AZ1280" s="65"/>
      <c r="BA1280" s="65"/>
      <c r="BB1280" s="65"/>
      <c r="BC1280" s="65"/>
      <c r="BD1280" s="65"/>
      <c r="BE1280" s="65"/>
      <c r="BF1280" s="65"/>
      <c r="BG1280" s="65"/>
      <c r="BH1280" s="65"/>
      <c r="BI1280" s="65"/>
      <c r="BJ1280" s="65"/>
      <c r="BK1280" s="65"/>
      <c r="BL1280" s="65"/>
      <c r="BM1280" s="65"/>
      <c r="BN1280" s="65"/>
      <c r="BO1280" s="65"/>
    </row>
    <row r="1281" spans="1:67" s="58" customFormat="1" x14ac:dyDescent="0.2">
      <c r="A1281" s="49" t="s">
        <v>67</v>
      </c>
      <c r="B1281" s="50">
        <v>43171</v>
      </c>
      <c r="C1281" s="51">
        <v>0.61458333333333304</v>
      </c>
      <c r="D1281" s="49" t="s">
        <v>181</v>
      </c>
      <c r="E1281" s="49"/>
      <c r="F1281" s="52">
        <v>61</v>
      </c>
      <c r="G1281" s="53">
        <v>2</v>
      </c>
      <c r="H1281" s="54">
        <v>3.2786885245901641E-2</v>
      </c>
      <c r="I1281" s="55">
        <v>6.9746499000000003E-2</v>
      </c>
      <c r="J1281" s="53">
        <v>314.15899999999999</v>
      </c>
      <c r="K1281" s="53">
        <v>0.41847899399999999</v>
      </c>
      <c r="L1281" s="53">
        <v>6</v>
      </c>
      <c r="M1281" s="56">
        <v>375.35814760632883</v>
      </c>
      <c r="N1281" s="53">
        <v>1733</v>
      </c>
      <c r="O1281" s="57" t="s">
        <v>391</v>
      </c>
      <c r="P1281" s="57" t="s">
        <v>82</v>
      </c>
      <c r="Q1281" s="53" t="s">
        <v>89</v>
      </c>
      <c r="R1281" s="53" t="s">
        <v>93</v>
      </c>
      <c r="S1281" s="53"/>
      <c r="T1281" s="59">
        <v>5</v>
      </c>
      <c r="U1281" s="59">
        <v>5</v>
      </c>
      <c r="V1281" s="53">
        <v>7.4</v>
      </c>
      <c r="W1281" s="53"/>
      <c r="X1281" s="53"/>
      <c r="Y1281" s="9">
        <f t="shared" si="19"/>
        <v>1876.7907380316442</v>
      </c>
      <c r="Z1281" s="60" t="s">
        <v>73</v>
      </c>
      <c r="AA1281" s="58" t="s">
        <v>428</v>
      </c>
      <c r="AB1281" s="58" t="s">
        <v>386</v>
      </c>
      <c r="AC1281" s="61"/>
      <c r="AD1281" s="53" t="s">
        <v>91</v>
      </c>
      <c r="AE1281" s="56">
        <v>89.309644118333338</v>
      </c>
      <c r="AF1281" s="62"/>
      <c r="AG1281" s="63"/>
      <c r="AH1281" s="61"/>
      <c r="AO1281" s="64" t="s">
        <v>78</v>
      </c>
      <c r="AP1281" s="65">
        <v>5.9399999999999995</v>
      </c>
      <c r="AQ1281" s="65">
        <v>5.6</v>
      </c>
      <c r="AR1281" s="65">
        <v>5.6</v>
      </c>
      <c r="AS1281" s="65">
        <v>4.5999999999999996</v>
      </c>
      <c r="AT1281" s="65">
        <v>7.4</v>
      </c>
      <c r="AU1281" s="65">
        <v>6.5</v>
      </c>
      <c r="AV1281" s="65"/>
      <c r="AW1281" s="65"/>
      <c r="AX1281" s="65"/>
      <c r="AY1281" s="65"/>
      <c r="AZ1281" s="65"/>
      <c r="BA1281" s="65"/>
      <c r="BB1281" s="65"/>
      <c r="BC1281" s="65"/>
      <c r="BD1281" s="65"/>
      <c r="BE1281" s="65"/>
      <c r="BF1281" s="65"/>
      <c r="BG1281" s="65"/>
      <c r="BH1281" s="65"/>
      <c r="BI1281" s="65"/>
      <c r="BJ1281" s="65"/>
      <c r="BK1281" s="65"/>
      <c r="BL1281" s="65"/>
      <c r="BM1281" s="65"/>
      <c r="BN1281" s="65"/>
      <c r="BO1281" s="65"/>
    </row>
    <row r="1282" spans="1:67" s="58" customFormat="1" x14ac:dyDescent="0.2">
      <c r="A1282" s="49"/>
      <c r="B1282" s="50"/>
      <c r="C1282" s="51"/>
      <c r="D1282" s="49"/>
      <c r="E1282" s="49"/>
      <c r="F1282" s="52"/>
      <c r="G1282" s="53"/>
      <c r="H1282" s="54"/>
      <c r="I1282" s="55"/>
      <c r="J1282" s="53"/>
      <c r="K1282" s="53"/>
      <c r="L1282" s="53"/>
      <c r="M1282" s="56"/>
      <c r="N1282" s="53"/>
      <c r="O1282" s="57"/>
      <c r="P1282" s="57"/>
      <c r="Q1282" s="53"/>
      <c r="R1282" s="53"/>
      <c r="S1282" s="53"/>
      <c r="T1282" s="59"/>
      <c r="U1282" s="59"/>
      <c r="V1282" s="53"/>
      <c r="W1282" s="53"/>
      <c r="X1282" s="53"/>
      <c r="Y1282" s="9" t="e">
        <f t="shared" si="19"/>
        <v>#DIV/0!</v>
      </c>
      <c r="Z1282" s="60"/>
      <c r="AC1282" s="61"/>
      <c r="AD1282" s="53"/>
      <c r="AE1282" s="56"/>
      <c r="AF1282" s="62"/>
      <c r="AG1282" s="63"/>
      <c r="AH1282" s="61"/>
      <c r="AO1282" s="64" t="s">
        <v>79</v>
      </c>
      <c r="AP1282" s="65">
        <v>3.88</v>
      </c>
      <c r="AQ1282" s="65">
        <v>3.7</v>
      </c>
      <c r="AR1282" s="65">
        <v>3.7</v>
      </c>
      <c r="AS1282" s="65">
        <v>3.7</v>
      </c>
      <c r="AT1282" s="65">
        <v>3.7</v>
      </c>
      <c r="AU1282" s="65">
        <v>4.5999999999999996</v>
      </c>
      <c r="AV1282" s="65"/>
      <c r="AW1282" s="65"/>
      <c r="AX1282" s="65"/>
      <c r="AY1282" s="65"/>
      <c r="AZ1282" s="65"/>
      <c r="BA1282" s="65"/>
      <c r="BB1282" s="65"/>
      <c r="BC1282" s="65"/>
      <c r="BD1282" s="65"/>
      <c r="BE1282" s="65"/>
      <c r="BF1282" s="65"/>
      <c r="BG1282" s="65"/>
      <c r="BH1282" s="65"/>
      <c r="BI1282" s="65"/>
      <c r="BJ1282" s="65"/>
      <c r="BK1282" s="65"/>
      <c r="BL1282" s="65"/>
      <c r="BM1282" s="65"/>
      <c r="BN1282" s="65"/>
      <c r="BO1282" s="65"/>
    </row>
    <row r="1283" spans="1:67" s="58" customFormat="1" x14ac:dyDescent="0.2">
      <c r="A1283" s="49" t="s">
        <v>67</v>
      </c>
      <c r="B1283" s="50">
        <v>43171</v>
      </c>
      <c r="C1283" s="51">
        <v>0.61458333333333304</v>
      </c>
      <c r="D1283" s="49" t="s">
        <v>181</v>
      </c>
      <c r="E1283" s="49"/>
      <c r="F1283" s="52">
        <v>61</v>
      </c>
      <c r="G1283" s="53">
        <v>2</v>
      </c>
      <c r="H1283" s="54">
        <v>3.2786885245901641E-2</v>
      </c>
      <c r="I1283" s="55">
        <v>6.9746499000000003E-2</v>
      </c>
      <c r="J1283" s="53">
        <v>314.15899999999999</v>
      </c>
      <c r="K1283" s="53">
        <v>0.41847899399999999</v>
      </c>
      <c r="L1283" s="53">
        <v>6</v>
      </c>
      <c r="M1283" s="56">
        <v>375.35814760632883</v>
      </c>
      <c r="N1283" s="53">
        <v>1419</v>
      </c>
      <c r="O1283" s="57" t="s">
        <v>94</v>
      </c>
      <c r="P1283" s="57" t="s">
        <v>82</v>
      </c>
      <c r="Q1283" s="53" t="s">
        <v>95</v>
      </c>
      <c r="R1283" s="53" t="s">
        <v>96</v>
      </c>
      <c r="S1283" s="53"/>
      <c r="T1283" s="59">
        <v>387</v>
      </c>
      <c r="U1283" s="59">
        <v>787</v>
      </c>
      <c r="V1283" s="53">
        <v>0.9</v>
      </c>
      <c r="W1283" s="53">
        <v>0.9</v>
      </c>
      <c r="X1283" s="53">
        <v>0.9</v>
      </c>
      <c r="Y1283" s="9">
        <f t="shared" ref="Y1283" si="20">(T1283*J1283)/(G1283*I1283*L1283)</f>
        <v>145263.60312364926</v>
      </c>
      <c r="Z1283" s="60" t="s">
        <v>97</v>
      </c>
      <c r="AA1283" s="58" t="s">
        <v>428</v>
      </c>
      <c r="AB1283" s="58" t="s">
        <v>386</v>
      </c>
      <c r="AC1283" s="61"/>
      <c r="AD1283" s="53" t="s">
        <v>85</v>
      </c>
      <c r="AE1283" s="56">
        <v>0.11309723999999999</v>
      </c>
      <c r="AF1283" s="56">
        <v>0.17959422833333327</v>
      </c>
      <c r="AG1283" s="56">
        <v>0.11309723999999999</v>
      </c>
      <c r="AH1283" s="56">
        <v>0.26808234666666664</v>
      </c>
      <c r="AI1283" s="56">
        <v>0.381703185</v>
      </c>
      <c r="AJ1283" s="56">
        <v>0.17959422833333327</v>
      </c>
      <c r="AK1283" s="56">
        <v>0.26808234666666664</v>
      </c>
      <c r="AL1283" s="56">
        <v>0.11309723999999999</v>
      </c>
      <c r="AM1283" s="56">
        <v>0.11309723999999999</v>
      </c>
      <c r="AN1283" s="56">
        <v>0.17959422833333327</v>
      </c>
      <c r="AO1283" s="66" t="s">
        <v>78</v>
      </c>
      <c r="AP1283" s="65">
        <v>0.72399999999999987</v>
      </c>
      <c r="AQ1283" s="65">
        <v>0.6</v>
      </c>
      <c r="AR1283" s="65">
        <v>0.7</v>
      </c>
      <c r="AS1283" s="65">
        <v>0.6</v>
      </c>
      <c r="AT1283" s="65">
        <v>0.8</v>
      </c>
      <c r="AU1283" s="65">
        <v>0.9</v>
      </c>
      <c r="AV1283" s="65">
        <v>0.7</v>
      </c>
      <c r="AW1283" s="65">
        <v>0.8</v>
      </c>
      <c r="AX1283" s="65">
        <v>0.6</v>
      </c>
      <c r="AY1283" s="65">
        <v>0.6</v>
      </c>
      <c r="AZ1283" s="65">
        <v>0.7</v>
      </c>
      <c r="BA1283" s="65">
        <v>0.9</v>
      </c>
      <c r="BB1283" s="65">
        <v>0.7</v>
      </c>
      <c r="BC1283" s="65">
        <v>0.6</v>
      </c>
      <c r="BD1283" s="65">
        <v>0.7</v>
      </c>
      <c r="BE1283" s="65">
        <v>0.8</v>
      </c>
      <c r="BF1283" s="65">
        <v>0.9</v>
      </c>
      <c r="BG1283" s="65">
        <v>0.6</v>
      </c>
      <c r="BH1283" s="65">
        <v>0.7</v>
      </c>
      <c r="BI1283" s="65">
        <v>0.7</v>
      </c>
      <c r="BJ1283" s="65">
        <v>0.8</v>
      </c>
      <c r="BK1283" s="65">
        <v>0.8</v>
      </c>
      <c r="BL1283" s="65">
        <v>0.7</v>
      </c>
      <c r="BM1283" s="65">
        <v>0.6</v>
      </c>
      <c r="BN1283" s="65">
        <v>0.9</v>
      </c>
      <c r="BO1283" s="65">
        <v>0.7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B2D6-D456-418E-A02B-77F53157F963}">
  <dimension ref="A1:AO1283"/>
  <sheetViews>
    <sheetView workbookViewId="0">
      <selection activeCell="E702" sqref="E702"/>
    </sheetView>
  </sheetViews>
  <sheetFormatPr defaultRowHeight="12.75" x14ac:dyDescent="0.2"/>
  <cols>
    <col min="1" max="1" width="17.28515625" style="11" bestFit="1" customWidth="1"/>
    <col min="2" max="2" width="13.140625" style="23" bestFit="1" customWidth="1"/>
    <col min="3" max="3" width="8" style="11" bestFit="1" customWidth="1"/>
    <col min="4" max="4" width="17.28515625" style="9" bestFit="1" customWidth="1"/>
    <col min="5" max="5" width="9.7109375" style="9" bestFit="1" customWidth="1"/>
    <col min="6" max="6" width="11.42578125" style="33" customWidth="1"/>
    <col min="7" max="7" width="13.28515625" style="11" customWidth="1"/>
    <col min="8" max="8" width="15.140625" style="11" customWidth="1"/>
    <col min="9" max="9" width="13.5703125" style="11" customWidth="1"/>
    <col min="10" max="10" width="14.7109375" style="11" customWidth="1"/>
    <col min="11" max="11" width="9.85546875" style="9" bestFit="1" customWidth="1"/>
    <col min="12" max="12" width="12.5703125" style="9" customWidth="1"/>
    <col min="13" max="13" width="12.28515625" style="14" bestFit="1" customWidth="1"/>
    <col min="14" max="14" width="12.140625" style="8" customWidth="1"/>
    <col min="15" max="15" width="38" style="8" bestFit="1" customWidth="1"/>
    <col min="16" max="16" width="12.42578125" style="8" customWidth="1"/>
    <col min="17" max="17" width="19.140625" style="9" customWidth="1"/>
    <col min="18" max="18" width="28.5703125" style="9" customWidth="1"/>
    <col min="19" max="19" width="10.85546875" style="17" customWidth="1"/>
    <col min="20" max="20" width="11.5703125" style="17" customWidth="1"/>
    <col min="21" max="21" width="9.140625" style="5" customWidth="1"/>
    <col min="22" max="24" width="10.42578125" style="9" customWidth="1"/>
    <col min="26" max="26" width="16.5703125" style="17" customWidth="1"/>
    <col min="27" max="27" width="14.28515625" style="8" customWidth="1"/>
    <col min="28" max="28" width="12.140625" style="8" customWidth="1"/>
    <col min="29" max="29" width="59.140625" style="21" bestFit="1" customWidth="1"/>
    <col min="30" max="30" width="21.42578125" style="10" customWidth="1"/>
    <col min="31" max="31" width="21.42578125" style="14" customWidth="1"/>
    <col min="32" max="33" width="10.7109375" style="22" customWidth="1"/>
    <col min="34" max="34" width="10.7109375" style="21" customWidth="1"/>
    <col min="35" max="35" width="10.7109375" style="11" customWidth="1"/>
    <col min="36" max="40" width="10.7109375" style="8" customWidth="1"/>
    <col min="41" max="41" width="10.85546875" style="8" customWidth="1"/>
  </cols>
  <sheetData>
    <row r="1" spans="1:41" ht="39" thickBot="1" x14ac:dyDescent="0.25">
      <c r="A1" s="16" t="s">
        <v>0</v>
      </c>
      <c r="B1" s="91" t="s">
        <v>1</v>
      </c>
      <c r="C1" s="91" t="s">
        <v>2</v>
      </c>
      <c r="D1" s="91" t="s">
        <v>3</v>
      </c>
      <c r="E1" s="16" t="s">
        <v>4</v>
      </c>
      <c r="F1" s="89" t="s">
        <v>5</v>
      </c>
      <c r="G1" s="15" t="s">
        <v>6</v>
      </c>
      <c r="H1" s="3" t="s">
        <v>7</v>
      </c>
      <c r="I1" s="15" t="s">
        <v>8</v>
      </c>
      <c r="J1" s="1" t="s">
        <v>9</v>
      </c>
      <c r="K1" s="2" t="s">
        <v>10</v>
      </c>
      <c r="L1" s="15" t="s">
        <v>11</v>
      </c>
      <c r="M1" s="2" t="s">
        <v>12</v>
      </c>
      <c r="N1" s="4" t="s">
        <v>13</v>
      </c>
      <c r="O1" s="91" t="s">
        <v>14</v>
      </c>
      <c r="P1" s="1" t="s">
        <v>15</v>
      </c>
      <c r="Q1" s="91" t="s">
        <v>16</v>
      </c>
      <c r="R1" s="1" t="s">
        <v>17</v>
      </c>
      <c r="S1" s="1" t="s">
        <v>18</v>
      </c>
      <c r="T1" s="1" t="s">
        <v>19</v>
      </c>
      <c r="U1" s="20" t="s">
        <v>20</v>
      </c>
      <c r="V1" s="24" t="s">
        <v>21</v>
      </c>
      <c r="W1" s="24" t="s">
        <v>22</v>
      </c>
      <c r="X1" s="24" t="s">
        <v>23</v>
      </c>
      <c r="Y1" s="91" t="s">
        <v>24</v>
      </c>
      <c r="Z1" s="91" t="s">
        <v>25</v>
      </c>
      <c r="AA1" s="4" t="s">
        <v>26</v>
      </c>
      <c r="AB1" s="4" t="s">
        <v>27</v>
      </c>
      <c r="AC1" s="1" t="s">
        <v>28</v>
      </c>
      <c r="AD1" s="16" t="s">
        <v>29</v>
      </c>
      <c r="AE1" s="91" t="s">
        <v>430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</row>
    <row r="2" spans="1:41" ht="13.5" thickTop="1" x14ac:dyDescent="0.2">
      <c r="A2" s="53" t="s">
        <v>67</v>
      </c>
      <c r="B2" s="87">
        <v>43171</v>
      </c>
      <c r="C2" s="51">
        <v>0.56597222222222221</v>
      </c>
      <c r="D2" s="53" t="s">
        <v>187</v>
      </c>
      <c r="E2" s="53"/>
      <c r="F2" s="52">
        <v>58.5</v>
      </c>
      <c r="G2" s="53">
        <v>2</v>
      </c>
      <c r="H2" s="53">
        <v>3.4188034188034191E-2</v>
      </c>
      <c r="I2" s="53">
        <v>6.9746499000000003E-2</v>
      </c>
      <c r="J2" s="53">
        <v>314.15899999999999</v>
      </c>
      <c r="K2" s="53">
        <v>0.41847899399999999</v>
      </c>
      <c r="L2" s="53">
        <v>6</v>
      </c>
      <c r="M2" s="56">
        <v>375.35814760632883</v>
      </c>
      <c r="N2" s="53">
        <v>975</v>
      </c>
      <c r="O2" s="53" t="s">
        <v>415</v>
      </c>
      <c r="P2" s="53" t="s">
        <v>70</v>
      </c>
      <c r="Q2" s="53" t="s">
        <v>416</v>
      </c>
      <c r="R2" s="53" t="s">
        <v>417</v>
      </c>
      <c r="S2" s="69"/>
      <c r="T2" s="69">
        <v>1</v>
      </c>
      <c r="U2" s="49">
        <v>1</v>
      </c>
      <c r="V2" s="53">
        <v>80.5</v>
      </c>
      <c r="W2" s="53"/>
      <c r="X2" s="53"/>
      <c r="Y2" s="9">
        <f>(T2*J2)/(G2*I2*L2)</f>
        <v>375.35814760632883</v>
      </c>
      <c r="Z2" s="69" t="s">
        <v>73</v>
      </c>
      <c r="AA2" s="58" t="s">
        <v>418</v>
      </c>
      <c r="AB2" s="53" t="s">
        <v>386</v>
      </c>
      <c r="AC2" s="70"/>
      <c r="AD2" s="70" t="s">
        <v>77</v>
      </c>
      <c r="AE2" s="56">
        <f>AVERAGE(AF2:AO2)</f>
        <v>607.58743298749994</v>
      </c>
      <c r="AF2" s="56">
        <v>607.58743298749994</v>
      </c>
      <c r="AG2" s="56"/>
      <c r="AH2" s="70"/>
      <c r="AI2" s="53"/>
      <c r="AJ2" s="53"/>
      <c r="AK2" s="53"/>
      <c r="AL2" s="53"/>
      <c r="AM2" s="53"/>
      <c r="AN2" s="53"/>
      <c r="AO2" s="53"/>
    </row>
    <row r="3" spans="1:41" x14ac:dyDescent="0.2">
      <c r="A3" s="53" t="s">
        <v>67</v>
      </c>
      <c r="B3" s="87">
        <v>43171</v>
      </c>
      <c r="C3" s="51">
        <v>0.56597222222222221</v>
      </c>
      <c r="D3" s="53" t="s">
        <v>187</v>
      </c>
      <c r="E3" s="53"/>
      <c r="F3" s="52">
        <v>58.5</v>
      </c>
      <c r="G3" s="53">
        <v>2</v>
      </c>
      <c r="H3" s="53">
        <v>3.4188034188034191E-2</v>
      </c>
      <c r="I3" s="53">
        <v>6.9746499000000003E-2</v>
      </c>
      <c r="J3" s="53">
        <v>314.15899999999999</v>
      </c>
      <c r="K3" s="53">
        <v>0.41847899399999999</v>
      </c>
      <c r="L3" s="53">
        <v>6</v>
      </c>
      <c r="M3" s="56">
        <v>375.35814760632883</v>
      </c>
      <c r="N3" s="53">
        <v>1037</v>
      </c>
      <c r="O3" s="53" t="s">
        <v>86</v>
      </c>
      <c r="P3" s="53" t="s">
        <v>82</v>
      </c>
      <c r="Q3" s="53" t="s">
        <v>87</v>
      </c>
      <c r="R3" s="53" t="s">
        <v>84</v>
      </c>
      <c r="S3" s="69"/>
      <c r="T3" s="69">
        <v>33</v>
      </c>
      <c r="U3" s="49">
        <v>33</v>
      </c>
      <c r="V3" s="53">
        <v>3.7</v>
      </c>
      <c r="W3" s="53"/>
      <c r="X3" s="53"/>
      <c r="Y3" s="9">
        <f t="shared" ref="Y3:Y66" si="0">(T3*J3)/(G3*I3*L3)</f>
        <v>12386.818871008851</v>
      </c>
      <c r="Z3" s="69" t="s">
        <v>73</v>
      </c>
      <c r="AA3" s="58" t="s">
        <v>418</v>
      </c>
      <c r="AB3" s="53" t="s">
        <v>386</v>
      </c>
      <c r="AC3" s="70"/>
      <c r="AD3" s="70" t="s">
        <v>85</v>
      </c>
      <c r="AE3" s="56">
        <f t="shared" ref="AE3:AE66" si="1">AVERAGE(AF3:AO3)</f>
        <v>14.137154999999998</v>
      </c>
      <c r="AF3" s="56">
        <v>14.137154999999998</v>
      </c>
      <c r="AG3" s="56"/>
      <c r="AH3" s="70"/>
      <c r="AI3" s="53"/>
      <c r="AJ3" s="53"/>
      <c r="AK3" s="53"/>
      <c r="AL3" s="53"/>
      <c r="AM3" s="53"/>
      <c r="AN3" s="53"/>
      <c r="AO3" s="53"/>
    </row>
    <row r="4" spans="1:41" x14ac:dyDescent="0.2">
      <c r="A4" s="53" t="s">
        <v>67</v>
      </c>
      <c r="B4" s="87">
        <v>43171</v>
      </c>
      <c r="C4" s="51">
        <v>0.56597222222222221</v>
      </c>
      <c r="D4" s="53" t="s">
        <v>187</v>
      </c>
      <c r="E4" s="53"/>
      <c r="F4" s="52">
        <v>58.5</v>
      </c>
      <c r="G4" s="53">
        <v>2</v>
      </c>
      <c r="H4" s="53">
        <v>3.4188034188034191E-2</v>
      </c>
      <c r="I4" s="53">
        <v>6.9746499000000003E-2</v>
      </c>
      <c r="J4" s="53">
        <v>314.15899999999999</v>
      </c>
      <c r="K4" s="53">
        <v>0.41847899399999999</v>
      </c>
      <c r="L4" s="53">
        <v>6</v>
      </c>
      <c r="M4" s="56">
        <v>375.35814760632883</v>
      </c>
      <c r="N4" s="53">
        <v>1733</v>
      </c>
      <c r="O4" s="53" t="s">
        <v>391</v>
      </c>
      <c r="P4" s="53" t="s">
        <v>82</v>
      </c>
      <c r="Q4" s="53" t="s">
        <v>89</v>
      </c>
      <c r="R4" s="53" t="s">
        <v>93</v>
      </c>
      <c r="S4" s="69"/>
      <c r="T4" s="69">
        <v>1</v>
      </c>
      <c r="U4" s="49">
        <v>1</v>
      </c>
      <c r="V4" s="53">
        <v>6.1</v>
      </c>
      <c r="W4" s="53"/>
      <c r="X4" s="53"/>
      <c r="Y4" s="9">
        <f t="shared" si="0"/>
        <v>375.35814760632883</v>
      </c>
      <c r="Z4" s="69" t="s">
        <v>73</v>
      </c>
      <c r="AA4" s="58" t="s">
        <v>418</v>
      </c>
      <c r="AB4" s="53" t="s">
        <v>386</v>
      </c>
      <c r="AC4" s="70"/>
      <c r="AD4" s="70" t="s">
        <v>91</v>
      </c>
      <c r="AE4" s="56">
        <f t="shared" si="1"/>
        <v>95.467160518333316</v>
      </c>
      <c r="AF4" s="56">
        <v>95.467160518333316</v>
      </c>
      <c r="AG4" s="56"/>
      <c r="AH4" s="70"/>
      <c r="AI4" s="53"/>
      <c r="AJ4" s="53"/>
      <c r="AK4" s="53"/>
      <c r="AL4" s="53"/>
      <c r="AM4" s="53"/>
      <c r="AN4" s="53"/>
      <c r="AO4" s="53"/>
    </row>
    <row r="5" spans="1:41" x14ac:dyDescent="0.2">
      <c r="A5" s="53" t="s">
        <v>67</v>
      </c>
      <c r="B5" s="87">
        <v>43171</v>
      </c>
      <c r="C5" s="51">
        <v>0.56597222222222221</v>
      </c>
      <c r="D5" s="53" t="s">
        <v>187</v>
      </c>
      <c r="E5" s="53"/>
      <c r="F5" s="52">
        <v>58.5</v>
      </c>
      <c r="G5" s="53">
        <v>2</v>
      </c>
      <c r="H5" s="53">
        <v>3.4188034188034191E-2</v>
      </c>
      <c r="I5" s="53">
        <v>6.9746499000000003E-2</v>
      </c>
      <c r="J5" s="53">
        <v>314.15899999999999</v>
      </c>
      <c r="K5" s="53">
        <v>0.41847899399999999</v>
      </c>
      <c r="L5" s="53">
        <v>6</v>
      </c>
      <c r="M5" s="56">
        <v>375.35814760632883</v>
      </c>
      <c r="N5" s="53">
        <v>1419</v>
      </c>
      <c r="O5" s="53" t="s">
        <v>94</v>
      </c>
      <c r="P5" s="53" t="s">
        <v>82</v>
      </c>
      <c r="Q5" s="53" t="s">
        <v>95</v>
      </c>
      <c r="R5" s="53" t="s">
        <v>96</v>
      </c>
      <c r="S5" s="69"/>
      <c r="T5" s="69">
        <v>367</v>
      </c>
      <c r="U5" s="49">
        <v>747</v>
      </c>
      <c r="V5" s="53">
        <v>0.9</v>
      </c>
      <c r="W5" s="53">
        <v>0.9</v>
      </c>
      <c r="X5" s="53">
        <v>0.9</v>
      </c>
      <c r="Y5" s="9">
        <f t="shared" si="0"/>
        <v>137756.4401715227</v>
      </c>
      <c r="Z5" s="69" t="s">
        <v>97</v>
      </c>
      <c r="AA5" s="58" t="s">
        <v>418</v>
      </c>
      <c r="AB5" s="53" t="s">
        <v>386</v>
      </c>
      <c r="AC5" s="70"/>
      <c r="AD5" s="70" t="s">
        <v>85</v>
      </c>
      <c r="AE5" s="56">
        <f t="shared" si="1"/>
        <v>0.19090395233333335</v>
      </c>
      <c r="AF5" s="56">
        <v>0.11309723999999999</v>
      </c>
      <c r="AG5" s="56">
        <v>0.17959422833333327</v>
      </c>
      <c r="AH5" s="56">
        <v>0.11309723999999999</v>
      </c>
      <c r="AI5" s="56">
        <v>0.26808234666666664</v>
      </c>
      <c r="AJ5" s="56">
        <v>0.381703185</v>
      </c>
      <c r="AK5" s="56">
        <v>0.17959422833333327</v>
      </c>
      <c r="AL5" s="56">
        <v>0.26808234666666664</v>
      </c>
      <c r="AM5" s="56">
        <v>0.11309723999999999</v>
      </c>
      <c r="AN5" s="56">
        <v>0.11309723999999999</v>
      </c>
      <c r="AO5" s="56">
        <v>0.17959422833333327</v>
      </c>
    </row>
    <row r="6" spans="1:41" x14ac:dyDescent="0.2">
      <c r="A6" s="69" t="s">
        <v>67</v>
      </c>
      <c r="B6" s="74">
        <v>43171</v>
      </c>
      <c r="C6" s="75">
        <v>0.59375</v>
      </c>
      <c r="D6" s="69" t="s">
        <v>108</v>
      </c>
      <c r="E6" s="69"/>
      <c r="F6" s="76">
        <v>59.5</v>
      </c>
      <c r="G6" s="69">
        <v>2</v>
      </c>
      <c r="H6" s="77">
        <v>3.3613445378151259E-2</v>
      </c>
      <c r="I6" s="78">
        <v>6.9746499000000003E-2</v>
      </c>
      <c r="J6" s="69">
        <v>314.15899999999999</v>
      </c>
      <c r="K6" s="69">
        <v>0.34873249500000003</v>
      </c>
      <c r="L6" s="69">
        <v>5</v>
      </c>
      <c r="M6" s="79">
        <v>450.42977712759455</v>
      </c>
      <c r="N6" s="69">
        <v>631</v>
      </c>
      <c r="O6" s="80" t="s">
        <v>393</v>
      </c>
      <c r="P6" s="81" t="s">
        <v>70</v>
      </c>
      <c r="Q6" s="69" t="s">
        <v>147</v>
      </c>
      <c r="R6" s="69" t="s">
        <v>84</v>
      </c>
      <c r="S6" s="69"/>
      <c r="T6" s="60">
        <v>1</v>
      </c>
      <c r="U6" s="60">
        <v>1</v>
      </c>
      <c r="V6" s="69">
        <v>11.1</v>
      </c>
      <c r="W6" s="69"/>
      <c r="X6" s="69"/>
      <c r="Y6" s="9">
        <f t="shared" si="0"/>
        <v>450.42977712759455</v>
      </c>
      <c r="Z6" s="60" t="s">
        <v>73</v>
      </c>
      <c r="AA6" s="58" t="s">
        <v>394</v>
      </c>
      <c r="AB6" s="81" t="s">
        <v>386</v>
      </c>
      <c r="AC6" s="82" t="s">
        <v>395</v>
      </c>
      <c r="AD6" s="69" t="s">
        <v>77</v>
      </c>
      <c r="AE6" s="56">
        <f t="shared" si="1"/>
        <v>187.43511337499999</v>
      </c>
      <c r="AF6" s="79">
        <v>187.43511337499999</v>
      </c>
      <c r="AG6" s="83"/>
      <c r="AH6" s="84"/>
      <c r="AI6" s="82"/>
      <c r="AJ6" s="81"/>
      <c r="AK6" s="81"/>
      <c r="AL6" s="81"/>
      <c r="AM6" s="81"/>
      <c r="AN6" s="81"/>
      <c r="AO6" s="81"/>
    </row>
    <row r="7" spans="1:41" x14ac:dyDescent="0.2">
      <c r="A7" s="69" t="s">
        <v>67</v>
      </c>
      <c r="B7" s="74">
        <v>43171</v>
      </c>
      <c r="C7" s="75">
        <v>0.59375</v>
      </c>
      <c r="D7" s="69" t="s">
        <v>108</v>
      </c>
      <c r="E7" s="69"/>
      <c r="F7" s="76">
        <v>59.5</v>
      </c>
      <c r="G7" s="69">
        <v>2</v>
      </c>
      <c r="H7" s="77">
        <v>3.3613445378151259E-2</v>
      </c>
      <c r="I7" s="78">
        <v>6.9746499000000003E-2</v>
      </c>
      <c r="J7" s="69">
        <v>314.15899999999999</v>
      </c>
      <c r="K7" s="69">
        <v>0.34873249500000003</v>
      </c>
      <c r="L7" s="69">
        <v>5</v>
      </c>
      <c r="M7" s="79">
        <v>450.42977712759455</v>
      </c>
      <c r="N7" s="69">
        <v>1037</v>
      </c>
      <c r="O7" s="80" t="s">
        <v>86</v>
      </c>
      <c r="P7" s="80" t="s">
        <v>82</v>
      </c>
      <c r="Q7" s="69" t="s">
        <v>87</v>
      </c>
      <c r="R7" s="69" t="s">
        <v>84</v>
      </c>
      <c r="S7" s="69"/>
      <c r="T7" s="60">
        <v>28</v>
      </c>
      <c r="U7" s="60">
        <v>28</v>
      </c>
      <c r="V7" s="69">
        <v>3.7</v>
      </c>
      <c r="W7" s="69"/>
      <c r="X7" s="69"/>
      <c r="Y7" s="9">
        <f t="shared" si="0"/>
        <v>12612.033759572647</v>
      </c>
      <c r="Z7" s="60" t="s">
        <v>73</v>
      </c>
      <c r="AA7" s="58" t="s">
        <v>394</v>
      </c>
      <c r="AB7" s="81" t="s">
        <v>386</v>
      </c>
      <c r="AC7" s="82" t="s">
        <v>390</v>
      </c>
      <c r="AD7" s="69" t="s">
        <v>85</v>
      </c>
      <c r="AE7" s="56">
        <f t="shared" si="1"/>
        <v>17.157270186666665</v>
      </c>
      <c r="AF7" s="79">
        <v>17.157270186666665</v>
      </c>
      <c r="AG7" s="83"/>
      <c r="AH7" s="84"/>
      <c r="AI7" s="82"/>
      <c r="AJ7" s="81"/>
      <c r="AK7" s="81"/>
      <c r="AL7" s="81"/>
      <c r="AM7" s="81"/>
      <c r="AN7" s="81"/>
      <c r="AO7" s="81"/>
    </row>
    <row r="8" spans="1:41" x14ac:dyDescent="0.2">
      <c r="A8" s="69" t="s">
        <v>67</v>
      </c>
      <c r="B8" s="74">
        <v>43171</v>
      </c>
      <c r="C8" s="75">
        <v>0.59375</v>
      </c>
      <c r="D8" s="69" t="s">
        <v>108</v>
      </c>
      <c r="E8" s="69"/>
      <c r="F8" s="76">
        <v>59.5</v>
      </c>
      <c r="G8" s="69">
        <v>2</v>
      </c>
      <c r="H8" s="77">
        <v>3.3613445378151259E-2</v>
      </c>
      <c r="I8" s="78">
        <v>6.9746499000000003E-2</v>
      </c>
      <c r="J8" s="69">
        <v>314.15899999999999</v>
      </c>
      <c r="K8" s="69">
        <v>0.34873249500000003</v>
      </c>
      <c r="L8" s="69">
        <v>5</v>
      </c>
      <c r="M8" s="79">
        <v>450.42977712759455</v>
      </c>
      <c r="N8" s="69">
        <v>1419</v>
      </c>
      <c r="O8" s="80" t="s">
        <v>94</v>
      </c>
      <c r="P8" s="80" t="s">
        <v>82</v>
      </c>
      <c r="Q8" s="69" t="s">
        <v>95</v>
      </c>
      <c r="R8" s="69" t="s">
        <v>96</v>
      </c>
      <c r="S8" s="69"/>
      <c r="T8" s="60">
        <v>392</v>
      </c>
      <c r="U8" s="60">
        <v>791</v>
      </c>
      <c r="V8" s="69">
        <v>0.9</v>
      </c>
      <c r="W8" s="69">
        <v>0.9</v>
      </c>
      <c r="X8" s="69">
        <v>0.9</v>
      </c>
      <c r="Y8" s="9">
        <f t="shared" si="0"/>
        <v>176568.47263401706</v>
      </c>
      <c r="Z8" s="60" t="s">
        <v>97</v>
      </c>
      <c r="AA8" s="58" t="s">
        <v>394</v>
      </c>
      <c r="AB8" s="81" t="s">
        <v>386</v>
      </c>
      <c r="AC8" s="82" t="s">
        <v>390</v>
      </c>
      <c r="AD8" s="69" t="s">
        <v>85</v>
      </c>
      <c r="AE8" s="56">
        <f t="shared" si="1"/>
        <v>0.19090395233333335</v>
      </c>
      <c r="AF8" s="79">
        <v>0.11309723999999999</v>
      </c>
      <c r="AG8" s="79">
        <v>0.17959422833333327</v>
      </c>
      <c r="AH8" s="79">
        <v>0.11309723999999999</v>
      </c>
      <c r="AI8" s="79">
        <v>0.26808234666666664</v>
      </c>
      <c r="AJ8" s="79">
        <v>0.381703185</v>
      </c>
      <c r="AK8" s="79">
        <v>0.17959422833333327</v>
      </c>
      <c r="AL8" s="79">
        <v>0.26808234666666664</v>
      </c>
      <c r="AM8" s="79">
        <v>0.11309723999999999</v>
      </c>
      <c r="AN8" s="79">
        <v>0.11309723999999999</v>
      </c>
      <c r="AO8" s="79">
        <v>0.17959422833333327</v>
      </c>
    </row>
    <row r="9" spans="1:41" x14ac:dyDescent="0.2">
      <c r="A9" s="49" t="s">
        <v>67</v>
      </c>
      <c r="B9" s="50">
        <v>43171</v>
      </c>
      <c r="C9" s="51">
        <v>0.61458333333333304</v>
      </c>
      <c r="D9" s="49" t="s">
        <v>181</v>
      </c>
      <c r="E9" s="49"/>
      <c r="F9" s="52">
        <v>61</v>
      </c>
      <c r="G9" s="53">
        <v>2</v>
      </c>
      <c r="H9" s="54">
        <v>3.2786885245901641E-2</v>
      </c>
      <c r="I9" s="55">
        <v>6.9746499000000003E-2</v>
      </c>
      <c r="J9" s="53">
        <v>314.15899999999999</v>
      </c>
      <c r="K9" s="53">
        <v>0.41847899399999999</v>
      </c>
      <c r="L9" s="53">
        <v>6</v>
      </c>
      <c r="M9" s="56">
        <v>375.35814760632883</v>
      </c>
      <c r="N9" s="53">
        <v>749</v>
      </c>
      <c r="O9" s="57" t="s">
        <v>261</v>
      </c>
      <c r="P9" s="58" t="s">
        <v>70</v>
      </c>
      <c r="Q9" s="53" t="s">
        <v>191</v>
      </c>
      <c r="R9" s="53" t="s">
        <v>84</v>
      </c>
      <c r="S9" s="53"/>
      <c r="T9" s="59">
        <v>1</v>
      </c>
      <c r="U9" s="59">
        <v>1</v>
      </c>
      <c r="V9" s="53">
        <v>29.6</v>
      </c>
      <c r="W9" s="53"/>
      <c r="X9" s="53"/>
      <c r="Y9" s="9">
        <f t="shared" si="0"/>
        <v>375.35814760632883</v>
      </c>
      <c r="Z9" s="60" t="s">
        <v>73</v>
      </c>
      <c r="AA9" s="58" t="s">
        <v>428</v>
      </c>
      <c r="AB9" s="58" t="s">
        <v>386</v>
      </c>
      <c r="AC9" s="61" t="s">
        <v>429</v>
      </c>
      <c r="AD9" s="53" t="s">
        <v>193</v>
      </c>
      <c r="AE9" s="56">
        <f t="shared" si="1"/>
        <v>251.89600000000002</v>
      </c>
      <c r="AF9" s="56">
        <v>251.89600000000002</v>
      </c>
      <c r="AG9" s="62"/>
      <c r="AH9" s="63"/>
      <c r="AI9" s="61"/>
      <c r="AJ9" s="58"/>
      <c r="AK9" s="58"/>
      <c r="AL9" s="58"/>
      <c r="AM9" s="58"/>
      <c r="AN9" s="58"/>
      <c r="AO9" s="58"/>
    </row>
    <row r="10" spans="1:41" x14ac:dyDescent="0.2">
      <c r="A10" s="49" t="s">
        <v>67</v>
      </c>
      <c r="B10" s="50">
        <v>43171</v>
      </c>
      <c r="C10" s="51">
        <v>0.61458333333333304</v>
      </c>
      <c r="D10" s="49" t="s">
        <v>181</v>
      </c>
      <c r="E10" s="49"/>
      <c r="F10" s="52">
        <v>61</v>
      </c>
      <c r="G10" s="53">
        <v>2</v>
      </c>
      <c r="H10" s="54">
        <v>3.2786885245901641E-2</v>
      </c>
      <c r="I10" s="55">
        <v>6.9746499000000003E-2</v>
      </c>
      <c r="J10" s="53">
        <v>314.15899999999999</v>
      </c>
      <c r="K10" s="53">
        <v>0.41847899399999999</v>
      </c>
      <c r="L10" s="53">
        <v>6</v>
      </c>
      <c r="M10" s="56">
        <v>375.35814760632883</v>
      </c>
      <c r="N10" s="53">
        <v>1037</v>
      </c>
      <c r="O10" s="57" t="s">
        <v>86</v>
      </c>
      <c r="P10" s="57" t="s">
        <v>82</v>
      </c>
      <c r="Q10" s="53" t="s">
        <v>87</v>
      </c>
      <c r="R10" s="53" t="s">
        <v>84</v>
      </c>
      <c r="S10" s="53"/>
      <c r="T10" s="59">
        <v>27</v>
      </c>
      <c r="U10" s="59">
        <v>27</v>
      </c>
      <c r="V10" s="53">
        <v>3.7</v>
      </c>
      <c r="W10" s="53"/>
      <c r="X10" s="53"/>
      <c r="Y10" s="9">
        <f t="shared" si="0"/>
        <v>10134.669985370878</v>
      </c>
      <c r="Z10" s="60" t="s">
        <v>73</v>
      </c>
      <c r="AA10" s="58" t="s">
        <v>428</v>
      </c>
      <c r="AB10" s="58" t="s">
        <v>386</v>
      </c>
      <c r="AC10" s="61"/>
      <c r="AD10" s="53" t="s">
        <v>85</v>
      </c>
      <c r="AE10" s="56">
        <f t="shared" si="1"/>
        <v>15.598517948333333</v>
      </c>
      <c r="AF10" s="56">
        <v>15.598517948333333</v>
      </c>
      <c r="AG10" s="62"/>
      <c r="AH10" s="63"/>
      <c r="AI10" s="61"/>
      <c r="AJ10" s="58"/>
      <c r="AK10" s="58"/>
      <c r="AL10" s="58"/>
      <c r="AM10" s="58"/>
      <c r="AN10" s="58"/>
      <c r="AO10" s="58"/>
    </row>
    <row r="11" spans="1:41" x14ac:dyDescent="0.2">
      <c r="A11" s="49" t="s">
        <v>67</v>
      </c>
      <c r="B11" s="50">
        <v>43171</v>
      </c>
      <c r="C11" s="51">
        <v>0.61458333333333304</v>
      </c>
      <c r="D11" s="49" t="s">
        <v>181</v>
      </c>
      <c r="E11" s="49"/>
      <c r="F11" s="52">
        <v>61</v>
      </c>
      <c r="G11" s="53">
        <v>2</v>
      </c>
      <c r="H11" s="54">
        <v>3.2786885245901641E-2</v>
      </c>
      <c r="I11" s="55">
        <v>6.9746499000000003E-2</v>
      </c>
      <c r="J11" s="53">
        <v>314.15899999999999</v>
      </c>
      <c r="K11" s="53">
        <v>0.41847899399999999</v>
      </c>
      <c r="L11" s="53">
        <v>6</v>
      </c>
      <c r="M11" s="56">
        <v>375.35814760632883</v>
      </c>
      <c r="N11" s="53">
        <v>1324</v>
      </c>
      <c r="O11" s="57" t="s">
        <v>232</v>
      </c>
      <c r="P11" s="57" t="s">
        <v>82</v>
      </c>
      <c r="Q11" s="53" t="s">
        <v>233</v>
      </c>
      <c r="R11" s="53" t="s">
        <v>84</v>
      </c>
      <c r="S11" s="53"/>
      <c r="T11" s="59">
        <v>1</v>
      </c>
      <c r="U11" s="59">
        <v>1</v>
      </c>
      <c r="V11" s="53">
        <v>6.1</v>
      </c>
      <c r="W11" s="53"/>
      <c r="X11" s="53"/>
      <c r="Y11" s="9">
        <f t="shared" si="0"/>
        <v>375.35814760632883</v>
      </c>
      <c r="Z11" s="60" t="s">
        <v>73</v>
      </c>
      <c r="AA11" s="58" t="s">
        <v>428</v>
      </c>
      <c r="AB11" s="58" t="s">
        <v>386</v>
      </c>
      <c r="AC11" s="61"/>
      <c r="AD11" s="53" t="s">
        <v>91</v>
      </c>
      <c r="AE11" s="56">
        <f t="shared" si="1"/>
        <v>113.97609980249997</v>
      </c>
      <c r="AF11" s="56">
        <v>113.97609980249997</v>
      </c>
      <c r="AG11" s="62"/>
      <c r="AH11" s="63"/>
      <c r="AI11" s="61"/>
      <c r="AJ11" s="58"/>
      <c r="AK11" s="58"/>
      <c r="AL11" s="58"/>
      <c r="AM11" s="58"/>
      <c r="AN11" s="58"/>
      <c r="AO11" s="58"/>
    </row>
    <row r="12" spans="1:41" x14ac:dyDescent="0.2">
      <c r="A12" s="49" t="s">
        <v>67</v>
      </c>
      <c r="B12" s="50">
        <v>43171</v>
      </c>
      <c r="C12" s="51">
        <v>0.61458333333333304</v>
      </c>
      <c r="D12" s="49" t="s">
        <v>181</v>
      </c>
      <c r="E12" s="49"/>
      <c r="F12" s="52">
        <v>61</v>
      </c>
      <c r="G12" s="53">
        <v>2</v>
      </c>
      <c r="H12" s="54">
        <v>3.2786885245901641E-2</v>
      </c>
      <c r="I12" s="55">
        <v>6.9746499000000003E-2</v>
      </c>
      <c r="J12" s="53">
        <v>314.15899999999999</v>
      </c>
      <c r="K12" s="53">
        <v>0.41847899399999999</v>
      </c>
      <c r="L12" s="53">
        <v>6</v>
      </c>
      <c r="M12" s="56">
        <v>375.35814760632883</v>
      </c>
      <c r="N12" s="53">
        <v>1352</v>
      </c>
      <c r="O12" s="57" t="s">
        <v>403</v>
      </c>
      <c r="P12" s="57" t="s">
        <v>82</v>
      </c>
      <c r="Q12" s="53" t="s">
        <v>119</v>
      </c>
      <c r="R12" s="53" t="s">
        <v>84</v>
      </c>
      <c r="S12" s="53"/>
      <c r="T12" s="59">
        <v>1</v>
      </c>
      <c r="U12" s="59">
        <v>1</v>
      </c>
      <c r="V12" s="53">
        <v>10.5</v>
      </c>
      <c r="W12" s="53"/>
      <c r="X12" s="53"/>
      <c r="Y12" s="9">
        <f t="shared" si="0"/>
        <v>375.35814760632883</v>
      </c>
      <c r="Z12" s="60" t="s">
        <v>73</v>
      </c>
      <c r="AA12" s="58" t="s">
        <v>428</v>
      </c>
      <c r="AB12" s="58" t="s">
        <v>386</v>
      </c>
      <c r="AC12" s="61" t="s">
        <v>404</v>
      </c>
      <c r="AD12" s="53" t="s">
        <v>120</v>
      </c>
      <c r="AE12" s="56">
        <f t="shared" si="1"/>
        <v>254.21746279999996</v>
      </c>
      <c r="AF12" s="56">
        <v>254.21746279999996</v>
      </c>
      <c r="AG12" s="62"/>
      <c r="AH12" s="63"/>
      <c r="AI12" s="61"/>
      <c r="AJ12" s="58"/>
      <c r="AK12" s="58"/>
      <c r="AL12" s="58"/>
      <c r="AM12" s="58"/>
      <c r="AN12" s="58"/>
      <c r="AO12" s="58"/>
    </row>
    <row r="13" spans="1:41" x14ac:dyDescent="0.2">
      <c r="A13" s="49" t="s">
        <v>67</v>
      </c>
      <c r="B13" s="50">
        <v>43171</v>
      </c>
      <c r="C13" s="51">
        <v>0.61458333333333304</v>
      </c>
      <c r="D13" s="49" t="s">
        <v>181</v>
      </c>
      <c r="E13" s="49"/>
      <c r="F13" s="52">
        <v>61</v>
      </c>
      <c r="G13" s="53">
        <v>2</v>
      </c>
      <c r="H13" s="54">
        <v>3.2786885245901641E-2</v>
      </c>
      <c r="I13" s="55">
        <v>6.9746499000000003E-2</v>
      </c>
      <c r="J13" s="53">
        <v>314.15899999999999</v>
      </c>
      <c r="K13" s="53">
        <v>0.41847899399999999</v>
      </c>
      <c r="L13" s="53">
        <v>6</v>
      </c>
      <c r="M13" s="56">
        <v>375.35814760632883</v>
      </c>
      <c r="N13" s="53">
        <v>1733</v>
      </c>
      <c r="O13" s="57" t="s">
        <v>391</v>
      </c>
      <c r="P13" s="57" t="s">
        <v>82</v>
      </c>
      <c r="Q13" s="53" t="s">
        <v>89</v>
      </c>
      <c r="R13" s="53" t="s">
        <v>93</v>
      </c>
      <c r="S13" s="53"/>
      <c r="T13" s="59">
        <v>5</v>
      </c>
      <c r="U13" s="59">
        <v>5</v>
      </c>
      <c r="V13" s="53">
        <v>7.4</v>
      </c>
      <c r="W13" s="53"/>
      <c r="X13" s="53"/>
      <c r="Y13" s="9">
        <f t="shared" si="0"/>
        <v>1876.7907380316442</v>
      </c>
      <c r="Z13" s="60" t="s">
        <v>73</v>
      </c>
      <c r="AA13" s="58" t="s">
        <v>428</v>
      </c>
      <c r="AB13" s="58" t="s">
        <v>386</v>
      </c>
      <c r="AC13" s="61"/>
      <c r="AD13" s="53" t="s">
        <v>91</v>
      </c>
      <c r="AE13" s="56">
        <f t="shared" si="1"/>
        <v>89.309644118333338</v>
      </c>
      <c r="AF13" s="56">
        <v>89.309644118333338</v>
      </c>
      <c r="AG13" s="62"/>
      <c r="AH13" s="63"/>
      <c r="AI13" s="61"/>
      <c r="AJ13" s="58"/>
      <c r="AK13" s="58"/>
      <c r="AL13" s="58"/>
      <c r="AM13" s="58"/>
      <c r="AN13" s="58"/>
      <c r="AO13" s="58"/>
    </row>
    <row r="14" spans="1:41" x14ac:dyDescent="0.2">
      <c r="A14" s="49" t="s">
        <v>67</v>
      </c>
      <c r="B14" s="50">
        <v>43171</v>
      </c>
      <c r="C14" s="51">
        <v>0.61458333333333304</v>
      </c>
      <c r="D14" s="49" t="s">
        <v>181</v>
      </c>
      <c r="E14" s="49"/>
      <c r="F14" s="52">
        <v>61</v>
      </c>
      <c r="G14" s="53">
        <v>2</v>
      </c>
      <c r="H14" s="54">
        <v>3.2786885245901641E-2</v>
      </c>
      <c r="I14" s="55">
        <v>6.9746499000000003E-2</v>
      </c>
      <c r="J14" s="53">
        <v>314.15899999999999</v>
      </c>
      <c r="K14" s="53">
        <v>0.41847899399999999</v>
      </c>
      <c r="L14" s="53">
        <v>6</v>
      </c>
      <c r="M14" s="56">
        <v>375.35814760632883</v>
      </c>
      <c r="N14" s="53">
        <v>1419</v>
      </c>
      <c r="O14" s="57" t="s">
        <v>94</v>
      </c>
      <c r="P14" s="57" t="s">
        <v>82</v>
      </c>
      <c r="Q14" s="53" t="s">
        <v>95</v>
      </c>
      <c r="R14" s="53" t="s">
        <v>96</v>
      </c>
      <c r="S14" s="53"/>
      <c r="T14" s="59">
        <v>387</v>
      </c>
      <c r="U14" s="59">
        <v>787</v>
      </c>
      <c r="V14" s="53">
        <v>0.9</v>
      </c>
      <c r="W14" s="53">
        <v>0.9</v>
      </c>
      <c r="X14" s="53">
        <v>0.9</v>
      </c>
      <c r="Y14" s="9">
        <f t="shared" si="0"/>
        <v>145263.60312364926</v>
      </c>
      <c r="Z14" s="60" t="s">
        <v>97</v>
      </c>
      <c r="AA14" s="58" t="s">
        <v>428</v>
      </c>
      <c r="AB14" s="58" t="s">
        <v>386</v>
      </c>
      <c r="AC14" s="61"/>
      <c r="AD14" s="53" t="s">
        <v>85</v>
      </c>
      <c r="AE14" s="56">
        <f t="shared" si="1"/>
        <v>0.19090395233333335</v>
      </c>
      <c r="AF14" s="56">
        <v>0.11309723999999999</v>
      </c>
      <c r="AG14" s="56">
        <v>0.17959422833333327</v>
      </c>
      <c r="AH14" s="56">
        <v>0.11309723999999999</v>
      </c>
      <c r="AI14" s="56">
        <v>0.26808234666666664</v>
      </c>
      <c r="AJ14" s="56">
        <v>0.381703185</v>
      </c>
      <c r="AK14" s="56">
        <v>0.17959422833333327</v>
      </c>
      <c r="AL14" s="56">
        <v>0.26808234666666664</v>
      </c>
      <c r="AM14" s="56">
        <v>0.11309723999999999</v>
      </c>
      <c r="AN14" s="56">
        <v>0.11309723999999999</v>
      </c>
      <c r="AO14" s="56">
        <v>0.17959422833333327</v>
      </c>
    </row>
    <row r="15" spans="1:41" x14ac:dyDescent="0.2">
      <c r="A15" s="69" t="s">
        <v>67</v>
      </c>
      <c r="B15" s="74">
        <v>43171</v>
      </c>
      <c r="C15" s="75">
        <v>0.62152777777777801</v>
      </c>
      <c r="D15" s="69" t="s">
        <v>144</v>
      </c>
      <c r="E15" s="69"/>
      <c r="F15" s="76">
        <v>61</v>
      </c>
      <c r="G15" s="69">
        <v>2</v>
      </c>
      <c r="H15" s="77">
        <v>3.2786885245901641E-2</v>
      </c>
      <c r="I15" s="78">
        <v>6.9746499000000003E-2</v>
      </c>
      <c r="J15" s="69">
        <v>314.15899999999999</v>
      </c>
      <c r="K15" s="69">
        <v>0.41847899399999999</v>
      </c>
      <c r="L15" s="69">
        <v>6</v>
      </c>
      <c r="M15" s="79">
        <v>375.35814760632883</v>
      </c>
      <c r="N15" s="69">
        <v>190</v>
      </c>
      <c r="O15" s="80" t="s">
        <v>296</v>
      </c>
      <c r="P15" s="81" t="s">
        <v>70</v>
      </c>
      <c r="Q15" s="69" t="s">
        <v>103</v>
      </c>
      <c r="R15" s="69" t="s">
        <v>84</v>
      </c>
      <c r="S15" s="69"/>
      <c r="T15" s="60">
        <v>1</v>
      </c>
      <c r="U15" s="60">
        <v>1</v>
      </c>
      <c r="V15" s="69">
        <v>11.1</v>
      </c>
      <c r="W15" s="69"/>
      <c r="X15" s="69"/>
      <c r="Y15" s="9">
        <f t="shared" si="0"/>
        <v>375.35814760632883</v>
      </c>
      <c r="Z15" s="60" t="s">
        <v>73</v>
      </c>
      <c r="AA15" s="58" t="s">
        <v>402</v>
      </c>
      <c r="AB15" s="81" t="s">
        <v>386</v>
      </c>
      <c r="AC15" s="82"/>
      <c r="AD15" s="69" t="s">
        <v>104</v>
      </c>
      <c r="AE15" s="56">
        <f t="shared" si="1"/>
        <v>899.95008156749998</v>
      </c>
      <c r="AF15" s="79">
        <v>899.95008156749998</v>
      </c>
      <c r="AG15" s="83"/>
      <c r="AH15" s="84"/>
      <c r="AI15" s="82"/>
      <c r="AJ15" s="81"/>
      <c r="AK15" s="81"/>
      <c r="AL15" s="81"/>
      <c r="AM15" s="81"/>
      <c r="AN15" s="81"/>
      <c r="AO15" s="81"/>
    </row>
    <row r="16" spans="1:41" x14ac:dyDescent="0.2">
      <c r="A16" s="69" t="s">
        <v>67</v>
      </c>
      <c r="B16" s="74">
        <v>43171</v>
      </c>
      <c r="C16" s="75">
        <v>0.62152777777777801</v>
      </c>
      <c r="D16" s="69" t="s">
        <v>144</v>
      </c>
      <c r="E16" s="69"/>
      <c r="F16" s="76">
        <v>61</v>
      </c>
      <c r="G16" s="69">
        <v>2</v>
      </c>
      <c r="H16" s="77">
        <v>3.2786885245901641E-2</v>
      </c>
      <c r="I16" s="78">
        <v>6.9746499000000003E-2</v>
      </c>
      <c r="J16" s="69">
        <v>314.15899999999999</v>
      </c>
      <c r="K16" s="69">
        <v>0.41847899399999999</v>
      </c>
      <c r="L16" s="69">
        <v>6</v>
      </c>
      <c r="M16" s="79">
        <v>375.35814760632883</v>
      </c>
      <c r="N16" s="69">
        <v>1037</v>
      </c>
      <c r="O16" s="80" t="s">
        <v>86</v>
      </c>
      <c r="P16" s="80" t="s">
        <v>82</v>
      </c>
      <c r="Q16" s="69" t="s">
        <v>87</v>
      </c>
      <c r="R16" s="69" t="s">
        <v>84</v>
      </c>
      <c r="S16" s="69"/>
      <c r="T16" s="60">
        <v>30</v>
      </c>
      <c r="U16" s="60">
        <v>30</v>
      </c>
      <c r="V16" s="69">
        <v>2.8</v>
      </c>
      <c r="W16" s="69"/>
      <c r="X16" s="69"/>
      <c r="Y16" s="9">
        <f t="shared" si="0"/>
        <v>11260.744428189866</v>
      </c>
      <c r="Z16" s="60" t="s">
        <v>73</v>
      </c>
      <c r="AA16" s="58" t="s">
        <v>402</v>
      </c>
      <c r="AB16" s="81" t="s">
        <v>386</v>
      </c>
      <c r="AC16" s="82"/>
      <c r="AD16" s="69" t="s">
        <v>85</v>
      </c>
      <c r="AE16" s="56">
        <f t="shared" si="1"/>
        <v>11.494030613333329</v>
      </c>
      <c r="AF16" s="79">
        <v>11.494030613333329</v>
      </c>
      <c r="AG16" s="83"/>
      <c r="AH16" s="84"/>
      <c r="AI16" s="82"/>
      <c r="AJ16" s="81"/>
      <c r="AK16" s="81"/>
      <c r="AL16" s="81"/>
      <c r="AM16" s="81"/>
      <c r="AN16" s="81"/>
      <c r="AO16" s="81"/>
    </row>
    <row r="17" spans="1:41" x14ac:dyDescent="0.2">
      <c r="A17" s="69" t="s">
        <v>67</v>
      </c>
      <c r="B17" s="74">
        <v>43171</v>
      </c>
      <c r="C17" s="75">
        <v>0.62152777777777801</v>
      </c>
      <c r="D17" s="69" t="s">
        <v>144</v>
      </c>
      <c r="E17" s="69"/>
      <c r="F17" s="76">
        <v>61</v>
      </c>
      <c r="G17" s="69">
        <v>2</v>
      </c>
      <c r="H17" s="77">
        <v>3.2786885245901641E-2</v>
      </c>
      <c r="I17" s="78">
        <v>6.9746499000000003E-2</v>
      </c>
      <c r="J17" s="69">
        <v>314.15899999999999</v>
      </c>
      <c r="K17" s="69">
        <v>0.41847899399999999</v>
      </c>
      <c r="L17" s="69">
        <v>6</v>
      </c>
      <c r="M17" s="79">
        <v>375.35814760632883</v>
      </c>
      <c r="N17" s="69">
        <v>1352</v>
      </c>
      <c r="O17" s="80" t="s">
        <v>403</v>
      </c>
      <c r="P17" s="80" t="s">
        <v>82</v>
      </c>
      <c r="Q17" s="69" t="s">
        <v>119</v>
      </c>
      <c r="R17" s="69" t="s">
        <v>84</v>
      </c>
      <c r="S17" s="69"/>
      <c r="T17" s="60">
        <v>1</v>
      </c>
      <c r="U17" s="60">
        <v>1</v>
      </c>
      <c r="V17" s="69">
        <v>12</v>
      </c>
      <c r="W17" s="69"/>
      <c r="X17" s="69"/>
      <c r="Y17" s="9">
        <f t="shared" si="0"/>
        <v>375.35814760632883</v>
      </c>
      <c r="Z17" s="60" t="s">
        <v>73</v>
      </c>
      <c r="AA17" s="58" t="s">
        <v>402</v>
      </c>
      <c r="AB17" s="81" t="s">
        <v>386</v>
      </c>
      <c r="AC17" s="82" t="s">
        <v>404</v>
      </c>
      <c r="AD17" s="69" t="s">
        <v>120</v>
      </c>
      <c r="AE17" s="56">
        <f t="shared" si="1"/>
        <v>543.43223819999992</v>
      </c>
      <c r="AF17" s="79">
        <v>543.43223819999992</v>
      </c>
      <c r="AG17" s="83"/>
      <c r="AH17" s="84"/>
      <c r="AI17" s="82"/>
      <c r="AJ17" s="81"/>
      <c r="AK17" s="81"/>
      <c r="AL17" s="81"/>
      <c r="AM17" s="81"/>
      <c r="AN17" s="81"/>
      <c r="AO17" s="81"/>
    </row>
    <row r="18" spans="1:41" x14ac:dyDescent="0.2">
      <c r="A18" s="69" t="s">
        <v>67</v>
      </c>
      <c r="B18" s="74">
        <v>43171</v>
      </c>
      <c r="C18" s="75">
        <v>0.62152777777777801</v>
      </c>
      <c r="D18" s="69" t="s">
        <v>144</v>
      </c>
      <c r="E18" s="69"/>
      <c r="F18" s="76">
        <v>61</v>
      </c>
      <c r="G18" s="69">
        <v>2</v>
      </c>
      <c r="H18" s="77">
        <v>3.2786885245901641E-2</v>
      </c>
      <c r="I18" s="78">
        <v>6.9746499000000003E-2</v>
      </c>
      <c r="J18" s="69">
        <v>314.15899999999999</v>
      </c>
      <c r="K18" s="69">
        <v>0.41847899399999999</v>
      </c>
      <c r="L18" s="69">
        <v>6</v>
      </c>
      <c r="M18" s="79">
        <v>375.35814760632883</v>
      </c>
      <c r="N18" s="69">
        <v>1733</v>
      </c>
      <c r="O18" s="80" t="s">
        <v>391</v>
      </c>
      <c r="P18" s="80" t="s">
        <v>82</v>
      </c>
      <c r="Q18" s="69" t="s">
        <v>89</v>
      </c>
      <c r="R18" s="69" t="s">
        <v>93</v>
      </c>
      <c r="S18" s="69"/>
      <c r="T18" s="60">
        <v>8</v>
      </c>
      <c r="U18" s="60">
        <v>8</v>
      </c>
      <c r="V18" s="69">
        <v>6.3</v>
      </c>
      <c r="W18" s="69"/>
      <c r="X18" s="69"/>
      <c r="Y18" s="9">
        <f t="shared" si="0"/>
        <v>3002.8651808506306</v>
      </c>
      <c r="Z18" s="60" t="s">
        <v>73</v>
      </c>
      <c r="AA18" s="58" t="s">
        <v>402</v>
      </c>
      <c r="AB18" s="81" t="s">
        <v>386</v>
      </c>
      <c r="AC18" s="82"/>
      <c r="AD18" s="69" t="s">
        <v>91</v>
      </c>
      <c r="AE18" s="56">
        <f t="shared" si="1"/>
        <v>100.79084657249997</v>
      </c>
      <c r="AF18" s="79">
        <v>100.79084657249997</v>
      </c>
      <c r="AG18" s="83"/>
      <c r="AH18" s="84"/>
      <c r="AI18" s="82"/>
      <c r="AJ18" s="81"/>
      <c r="AK18" s="81"/>
      <c r="AL18" s="81"/>
      <c r="AM18" s="81"/>
      <c r="AN18" s="81"/>
      <c r="AO18" s="81"/>
    </row>
    <row r="19" spans="1:41" x14ac:dyDescent="0.2">
      <c r="A19" s="69" t="s">
        <v>67</v>
      </c>
      <c r="B19" s="74">
        <v>43171</v>
      </c>
      <c r="C19" s="75">
        <v>0.62152777777777801</v>
      </c>
      <c r="D19" s="69" t="s">
        <v>144</v>
      </c>
      <c r="E19" s="69"/>
      <c r="F19" s="76">
        <v>61</v>
      </c>
      <c r="G19" s="69">
        <v>2</v>
      </c>
      <c r="H19" s="77">
        <v>3.2786885245901641E-2</v>
      </c>
      <c r="I19" s="78">
        <v>6.9746499000000003E-2</v>
      </c>
      <c r="J19" s="69">
        <v>314.15899999999999</v>
      </c>
      <c r="K19" s="69">
        <v>0.41847899399999999</v>
      </c>
      <c r="L19" s="69">
        <v>6</v>
      </c>
      <c r="M19" s="79">
        <v>375.35814760632883</v>
      </c>
      <c r="N19" s="69">
        <v>1419</v>
      </c>
      <c r="O19" s="80" t="s">
        <v>94</v>
      </c>
      <c r="P19" s="80" t="s">
        <v>82</v>
      </c>
      <c r="Q19" s="69" t="s">
        <v>95</v>
      </c>
      <c r="R19" s="69" t="s">
        <v>96</v>
      </c>
      <c r="S19" s="69"/>
      <c r="T19" s="60">
        <v>400</v>
      </c>
      <c r="U19" s="60">
        <v>813</v>
      </c>
      <c r="V19" s="69">
        <v>0.9</v>
      </c>
      <c r="W19" s="69">
        <v>0.9</v>
      </c>
      <c r="X19" s="69">
        <v>0.9</v>
      </c>
      <c r="Y19" s="9">
        <f t="shared" si="0"/>
        <v>150143.25904253151</v>
      </c>
      <c r="Z19" s="60" t="s">
        <v>97</v>
      </c>
      <c r="AA19" s="58" t="s">
        <v>402</v>
      </c>
      <c r="AB19" s="81" t="s">
        <v>386</v>
      </c>
      <c r="AC19" s="82"/>
      <c r="AD19" s="69" t="s">
        <v>85</v>
      </c>
      <c r="AE19" s="56">
        <f t="shared" si="1"/>
        <v>0.19090395233333335</v>
      </c>
      <c r="AF19" s="79">
        <v>0.11309723999999999</v>
      </c>
      <c r="AG19" s="79">
        <v>0.17959422833333327</v>
      </c>
      <c r="AH19" s="79">
        <v>0.11309723999999999</v>
      </c>
      <c r="AI19" s="79">
        <v>0.26808234666666664</v>
      </c>
      <c r="AJ19" s="79">
        <v>0.381703185</v>
      </c>
      <c r="AK19" s="79">
        <v>0.17959422833333327</v>
      </c>
      <c r="AL19" s="79">
        <v>0.26808234666666664</v>
      </c>
      <c r="AM19" s="79">
        <v>0.11309723999999999</v>
      </c>
      <c r="AN19" s="79">
        <v>0.11309723999999999</v>
      </c>
      <c r="AO19" s="79">
        <v>0.17959422833333327</v>
      </c>
    </row>
    <row r="20" spans="1:41" x14ac:dyDescent="0.2">
      <c r="A20" s="49" t="s">
        <v>67</v>
      </c>
      <c r="B20" s="50">
        <v>43171</v>
      </c>
      <c r="C20" s="51">
        <v>0.63541666666666696</v>
      </c>
      <c r="D20" s="49" t="s">
        <v>189</v>
      </c>
      <c r="E20" s="49"/>
      <c r="F20" s="52">
        <v>62.5</v>
      </c>
      <c r="G20" s="53">
        <v>4</v>
      </c>
      <c r="H20" s="54">
        <v>6.4000000000000001E-2</v>
      </c>
      <c r="I20" s="55">
        <v>6.9746499000000003E-2</v>
      </c>
      <c r="J20" s="53">
        <v>314.15899999999999</v>
      </c>
      <c r="K20" s="53">
        <v>0.41847899399999999</v>
      </c>
      <c r="L20" s="53">
        <v>6</v>
      </c>
      <c r="M20" s="56">
        <v>187.67907380316441</v>
      </c>
      <c r="N20" s="53">
        <v>44</v>
      </c>
      <c r="O20" s="57" t="s">
        <v>266</v>
      </c>
      <c r="P20" s="58" t="s">
        <v>70</v>
      </c>
      <c r="Q20" s="53" t="s">
        <v>110</v>
      </c>
      <c r="R20" s="53" t="s">
        <v>267</v>
      </c>
      <c r="S20" s="53"/>
      <c r="T20" s="59">
        <v>1</v>
      </c>
      <c r="U20" s="59">
        <v>1</v>
      </c>
      <c r="V20" s="53">
        <v>8.3000000000000007</v>
      </c>
      <c r="W20" s="53"/>
      <c r="X20" s="53"/>
      <c r="Y20" s="9">
        <f t="shared" si="0"/>
        <v>187.67907380316441</v>
      </c>
      <c r="Z20" s="60" t="s">
        <v>73</v>
      </c>
      <c r="AA20" s="58" t="s">
        <v>385</v>
      </c>
      <c r="AB20" s="58" t="s">
        <v>386</v>
      </c>
      <c r="AC20" s="61" t="s">
        <v>387</v>
      </c>
      <c r="AD20" s="53" t="s">
        <v>77</v>
      </c>
      <c r="AE20" s="56">
        <f t="shared" si="1"/>
        <v>37.548283679999997</v>
      </c>
      <c r="AF20" s="56">
        <v>37.548283679999997</v>
      </c>
      <c r="AG20" s="62"/>
      <c r="AH20" s="63"/>
      <c r="AI20" s="61"/>
      <c r="AJ20" s="58"/>
      <c r="AK20" s="58"/>
      <c r="AL20" s="58"/>
      <c r="AM20" s="58"/>
      <c r="AN20" s="58"/>
      <c r="AO20" s="58"/>
    </row>
    <row r="21" spans="1:41" x14ac:dyDescent="0.2">
      <c r="A21" s="49" t="s">
        <v>67</v>
      </c>
      <c r="B21" s="50">
        <v>43171</v>
      </c>
      <c r="C21" s="51">
        <v>0.63541666666666696</v>
      </c>
      <c r="D21" s="49" t="s">
        <v>189</v>
      </c>
      <c r="E21" s="49"/>
      <c r="F21" s="52">
        <v>62.5</v>
      </c>
      <c r="G21" s="53">
        <v>4</v>
      </c>
      <c r="H21" s="54">
        <v>6.4000000000000001E-2</v>
      </c>
      <c r="I21" s="55">
        <v>6.9746499000000003E-2</v>
      </c>
      <c r="J21" s="53">
        <v>314.15899999999999</v>
      </c>
      <c r="K21" s="53">
        <v>0.41847899399999999</v>
      </c>
      <c r="L21" s="53">
        <v>6</v>
      </c>
      <c r="M21" s="56">
        <v>187.67907380316441</v>
      </c>
      <c r="N21" s="53">
        <v>190</v>
      </c>
      <c r="O21" s="57" t="s">
        <v>296</v>
      </c>
      <c r="P21" s="58" t="s">
        <v>70</v>
      </c>
      <c r="Q21" s="53" t="s">
        <v>103</v>
      </c>
      <c r="R21" s="53" t="s">
        <v>84</v>
      </c>
      <c r="S21" s="53"/>
      <c r="T21" s="59">
        <v>2</v>
      </c>
      <c r="U21" s="59">
        <v>2</v>
      </c>
      <c r="V21" s="53">
        <v>11.1</v>
      </c>
      <c r="W21" s="53"/>
      <c r="X21" s="53"/>
      <c r="Y21" s="9">
        <f t="shared" si="0"/>
        <v>375.35814760632883</v>
      </c>
      <c r="Z21" s="60" t="s">
        <v>73</v>
      </c>
      <c r="AA21" s="58" t="s">
        <v>385</v>
      </c>
      <c r="AB21" s="58" t="s">
        <v>386</v>
      </c>
      <c r="AC21" s="61" t="s">
        <v>387</v>
      </c>
      <c r="AD21" s="53" t="s">
        <v>104</v>
      </c>
      <c r="AE21" s="56">
        <f t="shared" si="1"/>
        <v>364.92709440000004</v>
      </c>
      <c r="AF21" s="56">
        <v>364.92709440000004</v>
      </c>
      <c r="AG21" s="62"/>
      <c r="AH21" s="63"/>
      <c r="AI21" s="61"/>
      <c r="AJ21" s="58"/>
      <c r="AK21" s="58"/>
      <c r="AL21" s="58"/>
      <c r="AM21" s="58"/>
      <c r="AN21" s="58"/>
      <c r="AO21" s="58"/>
    </row>
    <row r="22" spans="1:41" x14ac:dyDescent="0.2">
      <c r="A22" s="49" t="s">
        <v>67</v>
      </c>
      <c r="B22" s="50">
        <v>43171</v>
      </c>
      <c r="C22" s="51">
        <v>0.63541666666666696</v>
      </c>
      <c r="D22" s="49" t="s">
        <v>189</v>
      </c>
      <c r="E22" s="49"/>
      <c r="F22" s="52">
        <v>62.5</v>
      </c>
      <c r="G22" s="53">
        <v>4</v>
      </c>
      <c r="H22" s="54">
        <v>6.4000000000000001E-2</v>
      </c>
      <c r="I22" s="55">
        <v>6.9746499000000003E-2</v>
      </c>
      <c r="J22" s="53">
        <v>314.15899999999999</v>
      </c>
      <c r="K22" s="53">
        <v>0.41847899399999999</v>
      </c>
      <c r="L22" s="53">
        <v>6</v>
      </c>
      <c r="M22" s="56">
        <v>187.67907380316441</v>
      </c>
      <c r="N22" s="53">
        <v>1037</v>
      </c>
      <c r="O22" s="57" t="s">
        <v>86</v>
      </c>
      <c r="P22" s="57" t="s">
        <v>82</v>
      </c>
      <c r="Q22" s="53" t="s">
        <v>87</v>
      </c>
      <c r="R22" s="53" t="s">
        <v>84</v>
      </c>
      <c r="S22" s="53"/>
      <c r="T22" s="59">
        <v>29</v>
      </c>
      <c r="U22" s="59">
        <v>29</v>
      </c>
      <c r="V22" s="53">
        <v>4.3</v>
      </c>
      <c r="W22" s="53"/>
      <c r="X22" s="53"/>
      <c r="Y22" s="9">
        <f t="shared" si="0"/>
        <v>5442.693140291768</v>
      </c>
      <c r="Z22" s="60" t="s">
        <v>73</v>
      </c>
      <c r="AA22" s="58" t="s">
        <v>385</v>
      </c>
      <c r="AB22" s="58" t="s">
        <v>386</v>
      </c>
      <c r="AC22" s="61" t="s">
        <v>387</v>
      </c>
      <c r="AD22" s="53" t="s">
        <v>85</v>
      </c>
      <c r="AE22" s="56">
        <f t="shared" si="1"/>
        <v>17.157270186666665</v>
      </c>
      <c r="AF22" s="56">
        <v>17.157270186666665</v>
      </c>
      <c r="AG22" s="62"/>
      <c r="AH22" s="63"/>
      <c r="AI22" s="61"/>
      <c r="AJ22" s="58"/>
      <c r="AK22" s="58"/>
      <c r="AL22" s="58"/>
      <c r="AM22" s="58"/>
      <c r="AN22" s="58"/>
      <c r="AO22" s="58"/>
    </row>
    <row r="23" spans="1:41" x14ac:dyDescent="0.2">
      <c r="A23" s="49" t="s">
        <v>67</v>
      </c>
      <c r="B23" s="50">
        <v>43171</v>
      </c>
      <c r="C23" s="51">
        <v>0.63541666666666696</v>
      </c>
      <c r="D23" s="49" t="s">
        <v>189</v>
      </c>
      <c r="E23" s="49"/>
      <c r="F23" s="52">
        <v>62.5</v>
      </c>
      <c r="G23" s="53">
        <v>4</v>
      </c>
      <c r="H23" s="54">
        <v>6.4000000000000001E-2</v>
      </c>
      <c r="I23" s="55">
        <v>6.9746499000000003E-2</v>
      </c>
      <c r="J23" s="53">
        <v>314.15899999999999</v>
      </c>
      <c r="K23" s="53">
        <v>0.41847899399999999</v>
      </c>
      <c r="L23" s="53">
        <v>6</v>
      </c>
      <c r="M23" s="56">
        <v>187.67907380316441</v>
      </c>
      <c r="N23" s="53">
        <v>1364</v>
      </c>
      <c r="O23" s="57" t="s">
        <v>88</v>
      </c>
      <c r="P23" s="57" t="s">
        <v>82</v>
      </c>
      <c r="Q23" s="53" t="s">
        <v>89</v>
      </c>
      <c r="R23" s="53" t="s">
        <v>90</v>
      </c>
      <c r="S23" s="53"/>
      <c r="T23" s="59">
        <v>1</v>
      </c>
      <c r="U23" s="59">
        <v>1</v>
      </c>
      <c r="V23" s="53">
        <v>11.1</v>
      </c>
      <c r="W23" s="53"/>
      <c r="X23" s="53"/>
      <c r="Y23" s="9">
        <f t="shared" si="0"/>
        <v>187.67907380316441</v>
      </c>
      <c r="Z23" s="60" t="s">
        <v>73</v>
      </c>
      <c r="AA23" s="58" t="s">
        <v>385</v>
      </c>
      <c r="AB23" s="58" t="s">
        <v>386</v>
      </c>
      <c r="AC23" s="61" t="s">
        <v>387</v>
      </c>
      <c r="AD23" s="53" t="s">
        <v>91</v>
      </c>
      <c r="AE23" s="56">
        <f t="shared" si="1"/>
        <v>596.74109351249979</v>
      </c>
      <c r="AF23" s="56">
        <v>596.74109351249979</v>
      </c>
      <c r="AG23" s="62"/>
      <c r="AH23" s="63"/>
      <c r="AI23" s="61"/>
      <c r="AJ23" s="58"/>
      <c r="AK23" s="58"/>
      <c r="AL23" s="58"/>
      <c r="AM23" s="58"/>
      <c r="AN23" s="58"/>
      <c r="AO23" s="58"/>
    </row>
    <row r="24" spans="1:41" x14ac:dyDescent="0.2">
      <c r="A24" s="49" t="s">
        <v>67</v>
      </c>
      <c r="B24" s="50">
        <v>43171</v>
      </c>
      <c r="C24" s="51">
        <v>0.63541666666666696</v>
      </c>
      <c r="D24" s="49" t="s">
        <v>189</v>
      </c>
      <c r="E24" s="49"/>
      <c r="F24" s="52">
        <v>62.5</v>
      </c>
      <c r="G24" s="53">
        <v>4</v>
      </c>
      <c r="H24" s="54">
        <v>6.4000000000000001E-2</v>
      </c>
      <c r="I24" s="55">
        <v>6.9746499000000003E-2</v>
      </c>
      <c r="J24" s="53">
        <v>314.15899999999999</v>
      </c>
      <c r="K24" s="53">
        <v>0.41847899399999999</v>
      </c>
      <c r="L24" s="53">
        <v>6</v>
      </c>
      <c r="M24" s="56">
        <v>187.67907380316441</v>
      </c>
      <c r="N24" s="53">
        <v>1733</v>
      </c>
      <c r="O24" s="57" t="s">
        <v>92</v>
      </c>
      <c r="P24" s="57" t="s">
        <v>82</v>
      </c>
      <c r="Q24" s="53" t="s">
        <v>89</v>
      </c>
      <c r="R24" s="53" t="s">
        <v>93</v>
      </c>
      <c r="S24" s="53"/>
      <c r="T24" s="59">
        <v>8</v>
      </c>
      <c r="U24" s="59">
        <v>8</v>
      </c>
      <c r="V24" s="53">
        <v>7.4</v>
      </c>
      <c r="W24" s="53"/>
      <c r="X24" s="53"/>
      <c r="Y24" s="9">
        <f t="shared" si="0"/>
        <v>1501.4325904253153</v>
      </c>
      <c r="Z24" s="60" t="s">
        <v>73</v>
      </c>
      <c r="AA24" s="58" t="s">
        <v>385</v>
      </c>
      <c r="AB24" s="58" t="s">
        <v>386</v>
      </c>
      <c r="AC24" s="61" t="s">
        <v>387</v>
      </c>
      <c r="AD24" s="53" t="s">
        <v>91</v>
      </c>
      <c r="AE24" s="56">
        <f t="shared" si="1"/>
        <v>104.94717014249998</v>
      </c>
      <c r="AF24" s="56">
        <v>104.94717014249998</v>
      </c>
      <c r="AG24" s="62"/>
      <c r="AH24" s="63"/>
      <c r="AI24" s="61"/>
      <c r="AJ24" s="58"/>
      <c r="AK24" s="58"/>
      <c r="AL24" s="58"/>
      <c r="AM24" s="58"/>
      <c r="AN24" s="58"/>
      <c r="AO24" s="58"/>
    </row>
    <row r="25" spans="1:41" x14ac:dyDescent="0.2">
      <c r="A25" s="49" t="s">
        <v>67</v>
      </c>
      <c r="B25" s="50">
        <v>43171</v>
      </c>
      <c r="C25" s="51">
        <v>0.63541666666666696</v>
      </c>
      <c r="D25" s="49" t="s">
        <v>189</v>
      </c>
      <c r="E25" s="49"/>
      <c r="F25" s="52">
        <v>62.5</v>
      </c>
      <c r="G25" s="53">
        <v>4</v>
      </c>
      <c r="H25" s="54">
        <v>6.4000000000000001E-2</v>
      </c>
      <c r="I25" s="55">
        <v>6.9746499000000003E-2</v>
      </c>
      <c r="J25" s="53">
        <v>314.15899999999999</v>
      </c>
      <c r="K25" s="53">
        <v>0.41847899399999999</v>
      </c>
      <c r="L25" s="53">
        <v>6</v>
      </c>
      <c r="M25" s="56">
        <v>187.67907380316441</v>
      </c>
      <c r="N25" s="53">
        <v>1419</v>
      </c>
      <c r="O25" s="57" t="s">
        <v>94</v>
      </c>
      <c r="P25" s="57" t="s">
        <v>82</v>
      </c>
      <c r="Q25" s="53" t="s">
        <v>95</v>
      </c>
      <c r="R25" s="53" t="s">
        <v>96</v>
      </c>
      <c r="S25" s="53"/>
      <c r="T25" s="59">
        <v>392</v>
      </c>
      <c r="U25" s="59">
        <v>795</v>
      </c>
      <c r="V25" s="53">
        <v>0.9</v>
      </c>
      <c r="W25" s="53">
        <v>0.9</v>
      </c>
      <c r="X25" s="53">
        <v>0.9</v>
      </c>
      <c r="Y25" s="9">
        <f t="shared" si="0"/>
        <v>73570.196930840451</v>
      </c>
      <c r="Z25" s="60" t="s">
        <v>97</v>
      </c>
      <c r="AA25" s="58" t="s">
        <v>385</v>
      </c>
      <c r="AB25" s="58" t="s">
        <v>386</v>
      </c>
      <c r="AC25" s="61" t="s">
        <v>387</v>
      </c>
      <c r="AD25" s="53" t="s">
        <v>85</v>
      </c>
      <c r="AE25" s="56">
        <f t="shared" si="1"/>
        <v>0.19090395233333335</v>
      </c>
      <c r="AF25" s="56">
        <v>0.11309723999999999</v>
      </c>
      <c r="AG25" s="56">
        <v>0.17959422833333327</v>
      </c>
      <c r="AH25" s="56">
        <v>0.11309723999999999</v>
      </c>
      <c r="AI25" s="56">
        <v>0.26808234666666664</v>
      </c>
      <c r="AJ25" s="56">
        <v>0.381703185</v>
      </c>
      <c r="AK25" s="56">
        <v>0.17959422833333327</v>
      </c>
      <c r="AL25" s="56">
        <v>0.26808234666666664</v>
      </c>
      <c r="AM25" s="56">
        <v>0.11309723999999999</v>
      </c>
      <c r="AN25" s="56">
        <v>0.11309723999999999</v>
      </c>
      <c r="AO25" s="56">
        <v>0.17959422833333327</v>
      </c>
    </row>
    <row r="26" spans="1:41" x14ac:dyDescent="0.2">
      <c r="A26" s="49" t="s">
        <v>67</v>
      </c>
      <c r="B26" s="50">
        <v>43171</v>
      </c>
      <c r="C26" s="51">
        <v>0.65277777777777801</v>
      </c>
      <c r="D26" s="49" t="s">
        <v>202</v>
      </c>
      <c r="E26" s="49"/>
      <c r="F26" s="52">
        <v>62.5</v>
      </c>
      <c r="G26" s="53">
        <v>3</v>
      </c>
      <c r="H26" s="54">
        <v>4.8000000000000001E-2</v>
      </c>
      <c r="I26" s="55">
        <v>6.9746499000000003E-2</v>
      </c>
      <c r="J26" s="53">
        <v>314.15899999999999</v>
      </c>
      <c r="K26" s="53">
        <v>0.41847899399999999</v>
      </c>
      <c r="L26" s="53">
        <v>6</v>
      </c>
      <c r="M26" s="56">
        <v>250.23876507088588</v>
      </c>
      <c r="N26" s="53">
        <v>44</v>
      </c>
      <c r="O26" s="57" t="s">
        <v>266</v>
      </c>
      <c r="P26" s="58" t="s">
        <v>70</v>
      </c>
      <c r="Q26" s="53" t="s">
        <v>110</v>
      </c>
      <c r="R26" s="53" t="s">
        <v>267</v>
      </c>
      <c r="S26" s="53"/>
      <c r="T26" s="59">
        <v>1</v>
      </c>
      <c r="U26" s="59">
        <v>1</v>
      </c>
      <c r="V26" s="53">
        <v>8.3000000000000007</v>
      </c>
      <c r="W26" s="53"/>
      <c r="X26" s="53"/>
      <c r="Y26" s="9">
        <f t="shared" si="0"/>
        <v>250.23876507088588</v>
      </c>
      <c r="Z26" s="60" t="s">
        <v>73</v>
      </c>
      <c r="AA26" s="58" t="s">
        <v>389</v>
      </c>
      <c r="AB26" s="58" t="s">
        <v>386</v>
      </c>
      <c r="AC26" s="61" t="s">
        <v>390</v>
      </c>
      <c r="AD26" s="53" t="s">
        <v>77</v>
      </c>
      <c r="AE26" s="56">
        <f t="shared" si="1"/>
        <v>67.534760230000003</v>
      </c>
      <c r="AF26" s="56">
        <v>67.534760230000003</v>
      </c>
      <c r="AG26" s="62"/>
      <c r="AH26" s="63"/>
      <c r="AI26" s="61"/>
      <c r="AJ26" s="58"/>
      <c r="AK26" s="58"/>
      <c r="AL26" s="58"/>
      <c r="AM26" s="58"/>
      <c r="AN26" s="58"/>
      <c r="AO26" s="58"/>
    </row>
    <row r="27" spans="1:41" x14ac:dyDescent="0.2">
      <c r="A27" s="49" t="s">
        <v>67</v>
      </c>
      <c r="B27" s="50">
        <v>43171</v>
      </c>
      <c r="C27" s="51">
        <v>0.65277777777777801</v>
      </c>
      <c r="D27" s="49" t="s">
        <v>202</v>
      </c>
      <c r="E27" s="49"/>
      <c r="F27" s="52">
        <v>62.5</v>
      </c>
      <c r="G27" s="53">
        <v>3</v>
      </c>
      <c r="H27" s="54">
        <v>4.8000000000000001E-2</v>
      </c>
      <c r="I27" s="55">
        <v>6.9746499000000003E-2</v>
      </c>
      <c r="J27" s="53">
        <v>314.15899999999999</v>
      </c>
      <c r="K27" s="53">
        <v>0.41847899399999999</v>
      </c>
      <c r="L27" s="53">
        <v>6</v>
      </c>
      <c r="M27" s="56">
        <v>250.23876507088588</v>
      </c>
      <c r="N27" s="53">
        <v>1037</v>
      </c>
      <c r="O27" s="57" t="s">
        <v>86</v>
      </c>
      <c r="P27" s="57" t="s">
        <v>82</v>
      </c>
      <c r="Q27" s="53" t="s">
        <v>87</v>
      </c>
      <c r="R27" s="53" t="s">
        <v>84</v>
      </c>
      <c r="S27" s="53"/>
      <c r="T27" s="59">
        <v>26</v>
      </c>
      <c r="U27" s="59">
        <v>26</v>
      </c>
      <c r="V27" s="53">
        <v>4.3</v>
      </c>
      <c r="W27" s="53"/>
      <c r="X27" s="53"/>
      <c r="Y27" s="9">
        <f t="shared" si="0"/>
        <v>6506.2078918430334</v>
      </c>
      <c r="Z27" s="60" t="s">
        <v>73</v>
      </c>
      <c r="AA27" s="58" t="s">
        <v>389</v>
      </c>
      <c r="AB27" s="58" t="s">
        <v>386</v>
      </c>
      <c r="AC27" s="61" t="s">
        <v>390</v>
      </c>
      <c r="AD27" s="53" t="s">
        <v>85</v>
      </c>
      <c r="AE27" s="56">
        <f t="shared" si="1"/>
        <v>11.494030613333329</v>
      </c>
      <c r="AF27" s="56">
        <v>11.494030613333329</v>
      </c>
      <c r="AG27" s="62"/>
      <c r="AH27" s="63"/>
      <c r="AI27" s="61"/>
      <c r="AJ27" s="58"/>
      <c r="AK27" s="58"/>
      <c r="AL27" s="58"/>
      <c r="AM27" s="58"/>
      <c r="AN27" s="58"/>
      <c r="AO27" s="58"/>
    </row>
    <row r="28" spans="1:41" x14ac:dyDescent="0.2">
      <c r="A28" s="49" t="s">
        <v>67</v>
      </c>
      <c r="B28" s="50">
        <v>43171</v>
      </c>
      <c r="C28" s="51">
        <v>0.65277777777777801</v>
      </c>
      <c r="D28" s="49" t="s">
        <v>202</v>
      </c>
      <c r="E28" s="49"/>
      <c r="F28" s="52">
        <v>62.5</v>
      </c>
      <c r="G28" s="53">
        <v>3</v>
      </c>
      <c r="H28" s="54">
        <v>4.8000000000000001E-2</v>
      </c>
      <c r="I28" s="55">
        <v>6.9746499000000003E-2</v>
      </c>
      <c r="J28" s="53">
        <v>314.15899999999999</v>
      </c>
      <c r="K28" s="53">
        <v>0.41847899399999999</v>
      </c>
      <c r="L28" s="53">
        <v>6</v>
      </c>
      <c r="M28" s="56">
        <v>250.23876507088588</v>
      </c>
      <c r="N28" s="53">
        <v>1733</v>
      </c>
      <c r="O28" s="57" t="s">
        <v>391</v>
      </c>
      <c r="P28" s="57" t="s">
        <v>82</v>
      </c>
      <c r="Q28" s="53" t="s">
        <v>89</v>
      </c>
      <c r="R28" s="53" t="s">
        <v>93</v>
      </c>
      <c r="S28" s="53"/>
      <c r="T28" s="59">
        <v>6</v>
      </c>
      <c r="U28" s="59">
        <v>6</v>
      </c>
      <c r="V28" s="53">
        <v>7.4</v>
      </c>
      <c r="W28" s="53"/>
      <c r="X28" s="53"/>
      <c r="Y28" s="9">
        <f t="shared" si="0"/>
        <v>1501.4325904253153</v>
      </c>
      <c r="Z28" s="60" t="s">
        <v>73</v>
      </c>
      <c r="AA28" s="58" t="s">
        <v>389</v>
      </c>
      <c r="AB28" s="58" t="s">
        <v>386</v>
      </c>
      <c r="AC28" s="61" t="s">
        <v>390</v>
      </c>
      <c r="AD28" s="53" t="s">
        <v>91</v>
      </c>
      <c r="AE28" s="56">
        <f t="shared" si="1"/>
        <v>94.49300581916664</v>
      </c>
      <c r="AF28" s="56">
        <v>94.49300581916664</v>
      </c>
      <c r="AG28" s="62"/>
      <c r="AH28" s="63"/>
      <c r="AI28" s="61"/>
      <c r="AJ28" s="58"/>
      <c r="AK28" s="58"/>
      <c r="AL28" s="58"/>
      <c r="AM28" s="58"/>
      <c r="AN28" s="58"/>
      <c r="AO28" s="58"/>
    </row>
    <row r="29" spans="1:41" x14ac:dyDescent="0.2">
      <c r="A29" s="49" t="s">
        <v>67</v>
      </c>
      <c r="B29" s="50">
        <v>43171</v>
      </c>
      <c r="C29" s="51">
        <v>0.65277777777777801</v>
      </c>
      <c r="D29" s="49" t="s">
        <v>202</v>
      </c>
      <c r="E29" s="49"/>
      <c r="F29" s="52">
        <v>62.5</v>
      </c>
      <c r="G29" s="53">
        <v>3</v>
      </c>
      <c r="H29" s="54">
        <v>4.8000000000000001E-2</v>
      </c>
      <c r="I29" s="55">
        <v>6.9746499000000003E-2</v>
      </c>
      <c r="J29" s="53">
        <v>314.15899999999999</v>
      </c>
      <c r="K29" s="53">
        <v>0.41847899399999999</v>
      </c>
      <c r="L29" s="53">
        <v>6</v>
      </c>
      <c r="M29" s="56">
        <v>250.23876507088588</v>
      </c>
      <c r="N29" s="53">
        <v>1419</v>
      </c>
      <c r="O29" s="57" t="s">
        <v>94</v>
      </c>
      <c r="P29" s="57" t="s">
        <v>82</v>
      </c>
      <c r="Q29" s="53" t="s">
        <v>95</v>
      </c>
      <c r="R29" s="53" t="s">
        <v>96</v>
      </c>
      <c r="S29" s="53"/>
      <c r="T29" s="59">
        <v>398</v>
      </c>
      <c r="U29" s="59">
        <v>816</v>
      </c>
      <c r="V29" s="53">
        <v>0.9</v>
      </c>
      <c r="W29" s="53">
        <v>0.9</v>
      </c>
      <c r="X29" s="53">
        <v>0.9</v>
      </c>
      <c r="Y29" s="9">
        <f t="shared" si="0"/>
        <v>99595.028498212574</v>
      </c>
      <c r="Z29" s="60" t="s">
        <v>97</v>
      </c>
      <c r="AA29" s="58" t="s">
        <v>389</v>
      </c>
      <c r="AB29" s="58" t="s">
        <v>386</v>
      </c>
      <c r="AC29" s="61" t="s">
        <v>390</v>
      </c>
      <c r="AD29" s="53" t="s">
        <v>85</v>
      </c>
      <c r="AE29" s="56">
        <f t="shared" si="1"/>
        <v>0.19090395233333335</v>
      </c>
      <c r="AF29" s="56">
        <v>0.11309723999999999</v>
      </c>
      <c r="AG29" s="56">
        <v>0.17959422833333327</v>
      </c>
      <c r="AH29" s="56">
        <v>0.11309723999999999</v>
      </c>
      <c r="AI29" s="56">
        <v>0.26808234666666664</v>
      </c>
      <c r="AJ29" s="56">
        <v>0.381703185</v>
      </c>
      <c r="AK29" s="56">
        <v>0.17959422833333327</v>
      </c>
      <c r="AL29" s="56">
        <v>0.26808234666666664</v>
      </c>
      <c r="AM29" s="56">
        <v>0.11309723999999999</v>
      </c>
      <c r="AN29" s="56">
        <v>0.11309723999999999</v>
      </c>
      <c r="AO29" s="56">
        <v>0.17959422833333327</v>
      </c>
    </row>
    <row r="30" spans="1:41" x14ac:dyDescent="0.2">
      <c r="A30" s="49" t="s">
        <v>67</v>
      </c>
      <c r="B30" s="50">
        <v>43171</v>
      </c>
      <c r="C30" s="51">
        <v>0.66319444444444398</v>
      </c>
      <c r="D30" s="49" t="s">
        <v>173</v>
      </c>
      <c r="E30" s="49"/>
      <c r="F30" s="52">
        <v>61.5</v>
      </c>
      <c r="G30" s="53">
        <v>4</v>
      </c>
      <c r="H30" s="54">
        <v>6.5040650406504072E-2</v>
      </c>
      <c r="I30" s="55">
        <v>6.9746499000000003E-2</v>
      </c>
      <c r="J30" s="53">
        <v>314.15899999999999</v>
      </c>
      <c r="K30" s="53">
        <v>0.34873249500000003</v>
      </c>
      <c r="L30" s="53">
        <v>5</v>
      </c>
      <c r="M30" s="56">
        <v>225.21488856379727</v>
      </c>
      <c r="N30" s="53">
        <v>190</v>
      </c>
      <c r="O30" s="57" t="s">
        <v>296</v>
      </c>
      <c r="P30" s="58" t="s">
        <v>70</v>
      </c>
      <c r="Q30" s="53" t="s">
        <v>103</v>
      </c>
      <c r="R30" s="53" t="s">
        <v>84</v>
      </c>
      <c r="S30" s="53"/>
      <c r="T30" s="59">
        <v>1</v>
      </c>
      <c r="U30" s="59">
        <v>1</v>
      </c>
      <c r="V30" s="53">
        <v>9.8000000000000007</v>
      </c>
      <c r="W30" s="53"/>
      <c r="X30" s="53"/>
      <c r="Y30" s="9">
        <f t="shared" si="0"/>
        <v>225.21488856379727</v>
      </c>
      <c r="Z30" s="60" t="s">
        <v>73</v>
      </c>
      <c r="AA30" s="58" t="s">
        <v>396</v>
      </c>
      <c r="AB30" s="58" t="s">
        <v>386</v>
      </c>
      <c r="AC30" s="61"/>
      <c r="AD30" s="53" t="s">
        <v>104</v>
      </c>
      <c r="AE30" s="56">
        <f t="shared" si="1"/>
        <v>460.12041298999998</v>
      </c>
      <c r="AF30" s="56">
        <v>460.12041298999998</v>
      </c>
      <c r="AG30" s="62"/>
      <c r="AH30" s="63"/>
      <c r="AI30" s="61"/>
      <c r="AJ30" s="58"/>
      <c r="AK30" s="58"/>
      <c r="AL30" s="58"/>
      <c r="AM30" s="58"/>
      <c r="AN30" s="58"/>
      <c r="AO30" s="58"/>
    </row>
    <row r="31" spans="1:41" x14ac:dyDescent="0.2">
      <c r="A31" s="49" t="s">
        <v>67</v>
      </c>
      <c r="B31" s="50">
        <v>43171</v>
      </c>
      <c r="C31" s="51">
        <v>0.66319444444444398</v>
      </c>
      <c r="D31" s="49" t="s">
        <v>173</v>
      </c>
      <c r="E31" s="49"/>
      <c r="F31" s="52">
        <v>61.5</v>
      </c>
      <c r="G31" s="53">
        <v>4</v>
      </c>
      <c r="H31" s="54">
        <v>6.5040650406504072E-2</v>
      </c>
      <c r="I31" s="55">
        <v>6.9746499000000003E-2</v>
      </c>
      <c r="J31" s="53">
        <v>314.15899999999999</v>
      </c>
      <c r="K31" s="53">
        <v>0.34873249500000003</v>
      </c>
      <c r="L31" s="53">
        <v>5</v>
      </c>
      <c r="M31" s="56">
        <v>225.21488856379727</v>
      </c>
      <c r="N31" s="53">
        <v>1037</v>
      </c>
      <c r="O31" s="57" t="s">
        <v>86</v>
      </c>
      <c r="P31" s="57" t="s">
        <v>82</v>
      </c>
      <c r="Q31" s="53" t="s">
        <v>87</v>
      </c>
      <c r="R31" s="53" t="s">
        <v>84</v>
      </c>
      <c r="S31" s="53"/>
      <c r="T31" s="59">
        <v>23</v>
      </c>
      <c r="U31" s="59">
        <v>23</v>
      </c>
      <c r="V31" s="53">
        <v>4.3</v>
      </c>
      <c r="W31" s="53"/>
      <c r="X31" s="53"/>
      <c r="Y31" s="9">
        <f t="shared" si="0"/>
        <v>5179.9424369673379</v>
      </c>
      <c r="Z31" s="60" t="s">
        <v>73</v>
      </c>
      <c r="AA31" s="58" t="s">
        <v>396</v>
      </c>
      <c r="AB31" s="58" t="s">
        <v>386</v>
      </c>
      <c r="AC31" s="61"/>
      <c r="AD31" s="53" t="s">
        <v>85</v>
      </c>
      <c r="AE31" s="56">
        <f t="shared" si="1"/>
        <v>14.137154999999998</v>
      </c>
      <c r="AF31" s="56">
        <v>14.137154999999998</v>
      </c>
      <c r="AG31" s="62"/>
      <c r="AH31" s="63"/>
      <c r="AI31" s="61"/>
      <c r="AJ31" s="58"/>
      <c r="AK31" s="58"/>
      <c r="AL31" s="58"/>
      <c r="AM31" s="58"/>
      <c r="AN31" s="58"/>
      <c r="AO31" s="58"/>
    </row>
    <row r="32" spans="1:41" x14ac:dyDescent="0.2">
      <c r="A32" s="49" t="s">
        <v>67</v>
      </c>
      <c r="B32" s="50">
        <v>43171</v>
      </c>
      <c r="C32" s="51">
        <v>0.66319444444444398</v>
      </c>
      <c r="D32" s="49" t="s">
        <v>173</v>
      </c>
      <c r="E32" s="49"/>
      <c r="F32" s="52">
        <v>61.5</v>
      </c>
      <c r="G32" s="53">
        <v>4</v>
      </c>
      <c r="H32" s="54">
        <v>6.5040650406504072E-2</v>
      </c>
      <c r="I32" s="55">
        <v>6.9746499000000003E-2</v>
      </c>
      <c r="J32" s="53">
        <v>314.15899999999999</v>
      </c>
      <c r="K32" s="53">
        <v>0.34873249500000003</v>
      </c>
      <c r="L32" s="53">
        <v>5</v>
      </c>
      <c r="M32" s="56">
        <v>225.21488856379727</v>
      </c>
      <c r="N32" s="53">
        <v>1761</v>
      </c>
      <c r="O32" s="57" t="s">
        <v>287</v>
      </c>
      <c r="P32" s="57" t="s">
        <v>82</v>
      </c>
      <c r="Q32" s="53" t="s">
        <v>288</v>
      </c>
      <c r="R32" s="53" t="s">
        <v>289</v>
      </c>
      <c r="S32" s="53"/>
      <c r="T32" s="59">
        <v>1</v>
      </c>
      <c r="U32" s="59">
        <v>1</v>
      </c>
      <c r="V32" s="53">
        <v>3.1</v>
      </c>
      <c r="W32" s="53"/>
      <c r="X32" s="53"/>
      <c r="Y32" s="9">
        <f t="shared" si="0"/>
        <v>225.21488856379727</v>
      </c>
      <c r="Z32" s="60" t="s">
        <v>73</v>
      </c>
      <c r="AA32" s="58" t="s">
        <v>396</v>
      </c>
      <c r="AB32" s="58" t="s">
        <v>386</v>
      </c>
      <c r="AC32" s="61"/>
      <c r="AD32" s="53" t="s">
        <v>215</v>
      </c>
      <c r="AE32" s="56">
        <f t="shared" si="1"/>
        <v>2.2584105112500001</v>
      </c>
      <c r="AF32" s="56">
        <v>2.2584105112500001</v>
      </c>
      <c r="AG32" s="62"/>
      <c r="AH32" s="63"/>
      <c r="AI32" s="61"/>
      <c r="AJ32" s="58"/>
      <c r="AK32" s="58"/>
      <c r="AL32" s="58"/>
      <c r="AM32" s="58"/>
      <c r="AN32" s="58"/>
      <c r="AO32" s="58"/>
    </row>
    <row r="33" spans="1:41" x14ac:dyDescent="0.2">
      <c r="A33" s="49" t="s">
        <v>67</v>
      </c>
      <c r="B33" s="50">
        <v>43171</v>
      </c>
      <c r="C33" s="51">
        <v>0.66319444444444398</v>
      </c>
      <c r="D33" s="49" t="s">
        <v>173</v>
      </c>
      <c r="E33" s="49"/>
      <c r="F33" s="52">
        <v>61.5</v>
      </c>
      <c r="G33" s="53">
        <v>4</v>
      </c>
      <c r="H33" s="54">
        <v>6.5040650406504072E-2</v>
      </c>
      <c r="I33" s="55">
        <v>6.9746499000000003E-2</v>
      </c>
      <c r="J33" s="53">
        <v>314.15899999999999</v>
      </c>
      <c r="K33" s="53">
        <v>0.34873249500000003</v>
      </c>
      <c r="L33" s="53">
        <v>5</v>
      </c>
      <c r="M33" s="56">
        <v>225.21488856379727</v>
      </c>
      <c r="N33" s="53">
        <v>1305</v>
      </c>
      <c r="O33" s="57" t="s">
        <v>397</v>
      </c>
      <c r="P33" s="57" t="s">
        <v>82</v>
      </c>
      <c r="Q33" s="57" t="s">
        <v>398</v>
      </c>
      <c r="R33" s="53" t="s">
        <v>84</v>
      </c>
      <c r="S33" s="53"/>
      <c r="T33" s="59">
        <v>1</v>
      </c>
      <c r="U33" s="59">
        <v>1</v>
      </c>
      <c r="V33" s="53">
        <v>4.5999999999999996</v>
      </c>
      <c r="W33" s="53"/>
      <c r="X33" s="53"/>
      <c r="Y33" s="9">
        <f t="shared" si="0"/>
        <v>225.21488856379727</v>
      </c>
      <c r="Z33" s="60" t="s">
        <v>73</v>
      </c>
      <c r="AA33" s="58" t="s">
        <v>396</v>
      </c>
      <c r="AB33" s="58" t="s">
        <v>386</v>
      </c>
      <c r="AC33" s="61"/>
      <c r="AD33" s="53" t="s">
        <v>120</v>
      </c>
      <c r="AE33" s="56">
        <f t="shared" si="1"/>
        <v>50.964967373333316</v>
      </c>
      <c r="AF33" s="56">
        <v>50.964967373333316</v>
      </c>
      <c r="AG33" s="62"/>
      <c r="AH33" s="63"/>
      <c r="AI33" s="61"/>
      <c r="AJ33" s="58"/>
      <c r="AK33" s="58"/>
      <c r="AL33" s="58"/>
      <c r="AM33" s="58"/>
      <c r="AN33" s="58"/>
      <c r="AO33" s="58"/>
    </row>
    <row r="34" spans="1:41" x14ac:dyDescent="0.2">
      <c r="A34" s="49" t="s">
        <v>67</v>
      </c>
      <c r="B34" s="50">
        <v>43171</v>
      </c>
      <c r="C34" s="51">
        <v>0.66319444444444398</v>
      </c>
      <c r="D34" s="49" t="s">
        <v>173</v>
      </c>
      <c r="E34" s="49"/>
      <c r="F34" s="52">
        <v>61.5</v>
      </c>
      <c r="G34" s="53">
        <v>4</v>
      </c>
      <c r="H34" s="54">
        <v>6.5040650406504072E-2</v>
      </c>
      <c r="I34" s="55">
        <v>6.9746499000000003E-2</v>
      </c>
      <c r="J34" s="53">
        <v>314.15899999999999</v>
      </c>
      <c r="K34" s="53">
        <v>0.34873249500000003</v>
      </c>
      <c r="L34" s="53">
        <v>5</v>
      </c>
      <c r="M34" s="56">
        <v>225.21488856379727</v>
      </c>
      <c r="N34" s="53">
        <v>1324</v>
      </c>
      <c r="O34" s="57" t="s">
        <v>399</v>
      </c>
      <c r="P34" s="57" t="s">
        <v>82</v>
      </c>
      <c r="Q34" s="53" t="s">
        <v>233</v>
      </c>
      <c r="R34" s="53" t="s">
        <v>84</v>
      </c>
      <c r="S34" s="53"/>
      <c r="T34" s="59">
        <v>1</v>
      </c>
      <c r="U34" s="59">
        <v>1</v>
      </c>
      <c r="V34" s="53">
        <v>7.4</v>
      </c>
      <c r="W34" s="53"/>
      <c r="X34" s="53"/>
      <c r="Y34" s="9">
        <f t="shared" si="0"/>
        <v>225.21488856379727</v>
      </c>
      <c r="Z34" s="60" t="s">
        <v>73</v>
      </c>
      <c r="AA34" s="58" t="s">
        <v>396</v>
      </c>
      <c r="AB34" s="58" t="s">
        <v>386</v>
      </c>
      <c r="AC34" s="61"/>
      <c r="AD34" s="53" t="s">
        <v>91</v>
      </c>
      <c r="AE34" s="56">
        <f t="shared" si="1"/>
        <v>212.17461102666667</v>
      </c>
      <c r="AF34" s="56">
        <v>212.17461102666667</v>
      </c>
      <c r="AG34" s="62"/>
      <c r="AH34" s="63"/>
      <c r="AI34" s="61"/>
      <c r="AJ34" s="58"/>
      <c r="AK34" s="58"/>
      <c r="AL34" s="58"/>
      <c r="AM34" s="58"/>
      <c r="AN34" s="58"/>
      <c r="AO34" s="58"/>
    </row>
    <row r="35" spans="1:41" x14ac:dyDescent="0.2">
      <c r="A35" s="49" t="s">
        <v>67</v>
      </c>
      <c r="B35" s="50">
        <v>43171</v>
      </c>
      <c r="C35" s="51">
        <v>0.66319444444444398</v>
      </c>
      <c r="D35" s="49" t="s">
        <v>173</v>
      </c>
      <c r="E35" s="49"/>
      <c r="F35" s="52">
        <v>61.5</v>
      </c>
      <c r="G35" s="53">
        <v>4</v>
      </c>
      <c r="H35" s="54">
        <v>6.5040650406504072E-2</v>
      </c>
      <c r="I35" s="55">
        <v>6.9746499000000003E-2</v>
      </c>
      <c r="J35" s="53">
        <v>314.15899999999999</v>
      </c>
      <c r="K35" s="53">
        <v>0.34873249500000003</v>
      </c>
      <c r="L35" s="53">
        <v>5</v>
      </c>
      <c r="M35" s="56">
        <v>225.21488856379727</v>
      </c>
      <c r="N35" s="53">
        <v>1346</v>
      </c>
      <c r="O35" s="57" t="s">
        <v>400</v>
      </c>
      <c r="P35" s="57" t="s">
        <v>82</v>
      </c>
      <c r="Q35" s="53" t="s">
        <v>119</v>
      </c>
      <c r="R35" s="53" t="s">
        <v>401</v>
      </c>
      <c r="S35" s="53"/>
      <c r="T35" s="59">
        <v>2</v>
      </c>
      <c r="U35" s="59">
        <v>2</v>
      </c>
      <c r="V35" s="53">
        <v>13.5</v>
      </c>
      <c r="W35" s="53"/>
      <c r="X35" s="53"/>
      <c r="Y35" s="9">
        <f t="shared" si="0"/>
        <v>450.42977712759455</v>
      </c>
      <c r="Z35" s="60" t="s">
        <v>73</v>
      </c>
      <c r="AA35" s="58" t="s">
        <v>396</v>
      </c>
      <c r="AB35" s="58" t="s">
        <v>386</v>
      </c>
      <c r="AC35" s="61"/>
      <c r="AD35" s="53" t="s">
        <v>120</v>
      </c>
      <c r="AE35" s="56">
        <f t="shared" si="1"/>
        <v>468.24980071333323</v>
      </c>
      <c r="AF35" s="56">
        <v>468.24980071333323</v>
      </c>
      <c r="AG35" s="62"/>
      <c r="AH35" s="63"/>
      <c r="AI35" s="61"/>
      <c r="AJ35" s="58"/>
      <c r="AK35" s="58"/>
      <c r="AL35" s="58"/>
      <c r="AM35" s="58"/>
      <c r="AN35" s="58"/>
      <c r="AO35" s="58"/>
    </row>
    <row r="36" spans="1:41" x14ac:dyDescent="0.2">
      <c r="A36" s="49" t="s">
        <v>67</v>
      </c>
      <c r="B36" s="50">
        <v>43171</v>
      </c>
      <c r="C36" s="51">
        <v>0.66319444444444398</v>
      </c>
      <c r="D36" s="49" t="s">
        <v>173</v>
      </c>
      <c r="E36" s="49"/>
      <c r="F36" s="52">
        <v>61.5</v>
      </c>
      <c r="G36" s="53">
        <v>4</v>
      </c>
      <c r="H36" s="54">
        <v>6.5040650406504072E-2</v>
      </c>
      <c r="I36" s="55">
        <v>6.9746499000000003E-2</v>
      </c>
      <c r="J36" s="53">
        <v>314.15899999999999</v>
      </c>
      <c r="K36" s="53">
        <v>0.34873249500000003</v>
      </c>
      <c r="L36" s="53">
        <v>5</v>
      </c>
      <c r="M36" s="56">
        <v>225.21488856379727</v>
      </c>
      <c r="N36" s="53">
        <v>1733</v>
      </c>
      <c r="O36" s="57" t="s">
        <v>391</v>
      </c>
      <c r="P36" s="57" t="s">
        <v>82</v>
      </c>
      <c r="Q36" s="53" t="s">
        <v>89</v>
      </c>
      <c r="R36" s="53" t="s">
        <v>93</v>
      </c>
      <c r="S36" s="53"/>
      <c r="T36" s="59">
        <v>4</v>
      </c>
      <c r="U36" s="59">
        <v>4</v>
      </c>
      <c r="V36" s="53">
        <v>6.8</v>
      </c>
      <c r="W36" s="53"/>
      <c r="X36" s="53"/>
      <c r="Y36" s="9">
        <f t="shared" si="0"/>
        <v>900.8595542551891</v>
      </c>
      <c r="Z36" s="60" t="s">
        <v>73</v>
      </c>
      <c r="AA36" s="58" t="s">
        <v>396</v>
      </c>
      <c r="AB36" s="58" t="s">
        <v>386</v>
      </c>
      <c r="AC36" s="61"/>
      <c r="AD36" s="53" t="s">
        <v>91</v>
      </c>
      <c r="AE36" s="56">
        <f t="shared" si="1"/>
        <v>82.930383824166682</v>
      </c>
      <c r="AF36" s="56">
        <v>82.930383824166682</v>
      </c>
      <c r="AG36" s="62"/>
      <c r="AH36" s="63"/>
      <c r="AI36" s="61"/>
      <c r="AJ36" s="58"/>
      <c r="AK36" s="58"/>
      <c r="AL36" s="58"/>
      <c r="AM36" s="58"/>
      <c r="AN36" s="58"/>
      <c r="AO36" s="58"/>
    </row>
    <row r="37" spans="1:41" x14ac:dyDescent="0.2">
      <c r="A37" s="49" t="s">
        <v>67</v>
      </c>
      <c r="B37" s="50">
        <v>43171</v>
      </c>
      <c r="C37" s="51">
        <v>0.66319444444444398</v>
      </c>
      <c r="D37" s="49" t="s">
        <v>173</v>
      </c>
      <c r="E37" s="49"/>
      <c r="F37" s="52">
        <v>61.5</v>
      </c>
      <c r="G37" s="53">
        <v>4</v>
      </c>
      <c r="H37" s="54">
        <v>6.5040650406504072E-2</v>
      </c>
      <c r="I37" s="55">
        <v>6.9746499000000003E-2</v>
      </c>
      <c r="J37" s="53">
        <v>314.15899999999999</v>
      </c>
      <c r="K37" s="53">
        <v>0.34873249500000003</v>
      </c>
      <c r="L37" s="53">
        <v>5</v>
      </c>
      <c r="M37" s="56">
        <v>225.21488856379727</v>
      </c>
      <c r="N37" s="53">
        <v>1419</v>
      </c>
      <c r="O37" s="57" t="s">
        <v>94</v>
      </c>
      <c r="P37" s="57" t="s">
        <v>82</v>
      </c>
      <c r="Q37" s="53" t="s">
        <v>95</v>
      </c>
      <c r="R37" s="53" t="s">
        <v>96</v>
      </c>
      <c r="S37" s="53"/>
      <c r="T37" s="59">
        <v>387</v>
      </c>
      <c r="U37" s="59">
        <v>785</v>
      </c>
      <c r="V37" s="53">
        <v>0.9</v>
      </c>
      <c r="W37" s="53">
        <v>0.9</v>
      </c>
      <c r="X37" s="53">
        <v>0.9</v>
      </c>
      <c r="Y37" s="9">
        <f t="shared" si="0"/>
        <v>87158.161874189551</v>
      </c>
      <c r="Z37" s="60" t="s">
        <v>97</v>
      </c>
      <c r="AA37" s="58" t="s">
        <v>396</v>
      </c>
      <c r="AB37" s="58" t="s">
        <v>386</v>
      </c>
      <c r="AC37" s="61"/>
      <c r="AD37" s="53" t="s">
        <v>85</v>
      </c>
      <c r="AE37" s="56">
        <f t="shared" si="1"/>
        <v>0.19090395233333335</v>
      </c>
      <c r="AF37" s="56">
        <v>0.11309723999999999</v>
      </c>
      <c r="AG37" s="56">
        <v>0.17959422833333327</v>
      </c>
      <c r="AH37" s="56">
        <v>0.11309723999999999</v>
      </c>
      <c r="AI37" s="56">
        <v>0.26808234666666664</v>
      </c>
      <c r="AJ37" s="56">
        <v>0.381703185</v>
      </c>
      <c r="AK37" s="56">
        <v>0.17959422833333327</v>
      </c>
      <c r="AL37" s="56">
        <v>0.26808234666666664</v>
      </c>
      <c r="AM37" s="56">
        <v>0.11309723999999999</v>
      </c>
      <c r="AN37" s="56">
        <v>0.11309723999999999</v>
      </c>
      <c r="AO37" s="56">
        <v>0.17959422833333327</v>
      </c>
    </row>
    <row r="38" spans="1:41" x14ac:dyDescent="0.2">
      <c r="A38" s="49" t="s">
        <v>67</v>
      </c>
      <c r="B38" s="50">
        <v>43171</v>
      </c>
      <c r="C38" s="51">
        <v>0.67013888888888895</v>
      </c>
      <c r="D38" s="49" t="s">
        <v>194</v>
      </c>
      <c r="E38" s="49"/>
      <c r="F38" s="52">
        <v>64</v>
      </c>
      <c r="G38" s="53">
        <v>3</v>
      </c>
      <c r="H38" s="54">
        <v>4.6875E-2</v>
      </c>
      <c r="I38" s="55">
        <v>6.9746499000000003E-2</v>
      </c>
      <c r="J38" s="53">
        <v>314.15899999999999</v>
      </c>
      <c r="K38" s="53">
        <v>0.41847899399999999</v>
      </c>
      <c r="L38" s="53">
        <v>6</v>
      </c>
      <c r="M38" s="56">
        <v>250.23876507088588</v>
      </c>
      <c r="N38" s="53">
        <v>190</v>
      </c>
      <c r="O38" s="57" t="s">
        <v>296</v>
      </c>
      <c r="P38" s="58" t="s">
        <v>70</v>
      </c>
      <c r="Q38" s="53" t="s">
        <v>103</v>
      </c>
      <c r="R38" s="53" t="s">
        <v>84</v>
      </c>
      <c r="S38" s="53"/>
      <c r="T38" s="59">
        <v>3</v>
      </c>
      <c r="U38" s="59">
        <v>3</v>
      </c>
      <c r="V38" s="53">
        <v>13</v>
      </c>
      <c r="W38" s="53"/>
      <c r="X38" s="53"/>
      <c r="Y38" s="9">
        <f t="shared" si="0"/>
        <v>750.71629521265766</v>
      </c>
      <c r="Z38" s="60" t="s">
        <v>73</v>
      </c>
      <c r="AA38" s="58" t="s">
        <v>407</v>
      </c>
      <c r="AB38" s="58" t="s">
        <v>386</v>
      </c>
      <c r="AC38" s="61"/>
      <c r="AD38" s="53" t="s">
        <v>104</v>
      </c>
      <c r="AE38" s="56">
        <f t="shared" si="1"/>
        <v>857.41530915999999</v>
      </c>
      <c r="AF38" s="56">
        <v>857.41530915999999</v>
      </c>
      <c r="AG38" s="62"/>
      <c r="AH38" s="63"/>
      <c r="AI38" s="61"/>
      <c r="AJ38" s="58"/>
      <c r="AK38" s="58"/>
      <c r="AL38" s="58"/>
      <c r="AM38" s="58"/>
      <c r="AN38" s="58"/>
      <c r="AO38" s="58"/>
    </row>
    <row r="39" spans="1:41" x14ac:dyDescent="0.2">
      <c r="A39" s="49" t="s">
        <v>67</v>
      </c>
      <c r="B39" s="50">
        <v>43171</v>
      </c>
      <c r="C39" s="51">
        <v>0.67013888888888895</v>
      </c>
      <c r="D39" s="49" t="s">
        <v>194</v>
      </c>
      <c r="E39" s="49"/>
      <c r="F39" s="52">
        <v>64</v>
      </c>
      <c r="G39" s="53">
        <v>3</v>
      </c>
      <c r="H39" s="54">
        <v>4.6875E-2</v>
      </c>
      <c r="I39" s="55">
        <v>6.9746499000000003E-2</v>
      </c>
      <c r="J39" s="53">
        <v>314.15899999999999</v>
      </c>
      <c r="K39" s="53">
        <v>0.41847899399999999</v>
      </c>
      <c r="L39" s="53">
        <v>6</v>
      </c>
      <c r="M39" s="56">
        <v>250.23876507088588</v>
      </c>
      <c r="N39" s="53">
        <v>720</v>
      </c>
      <c r="O39" s="57" t="s">
        <v>408</v>
      </c>
      <c r="P39" s="58" t="s">
        <v>70</v>
      </c>
      <c r="Q39" s="53" t="s">
        <v>191</v>
      </c>
      <c r="R39" s="53" t="s">
        <v>409</v>
      </c>
      <c r="S39" s="53"/>
      <c r="T39" s="59">
        <v>1</v>
      </c>
      <c r="U39" s="59">
        <v>1</v>
      </c>
      <c r="V39" s="53">
        <v>87</v>
      </c>
      <c r="W39" s="53"/>
      <c r="X39" s="53"/>
      <c r="Y39" s="9">
        <f t="shared" si="0"/>
        <v>250.23876507088588</v>
      </c>
      <c r="Z39" s="60" t="s">
        <v>73</v>
      </c>
      <c r="AA39" s="58" t="s">
        <v>407</v>
      </c>
      <c r="AB39" s="58" t="s">
        <v>386</v>
      </c>
      <c r="AC39" s="61"/>
      <c r="AD39" s="53" t="s">
        <v>193</v>
      </c>
      <c r="AE39" s="56">
        <f t="shared" si="1"/>
        <v>1837.875</v>
      </c>
      <c r="AF39" s="56">
        <v>1837.875</v>
      </c>
      <c r="AG39" s="62"/>
      <c r="AH39" s="63"/>
      <c r="AI39" s="61"/>
      <c r="AJ39" s="58"/>
      <c r="AK39" s="58"/>
      <c r="AL39" s="58"/>
      <c r="AM39" s="58"/>
      <c r="AN39" s="58"/>
      <c r="AO39" s="58"/>
    </row>
    <row r="40" spans="1:41" x14ac:dyDescent="0.2">
      <c r="A40" s="49" t="s">
        <v>67</v>
      </c>
      <c r="B40" s="50">
        <v>43171</v>
      </c>
      <c r="C40" s="51">
        <v>0.67013888888888895</v>
      </c>
      <c r="D40" s="49" t="s">
        <v>194</v>
      </c>
      <c r="E40" s="49"/>
      <c r="F40" s="52">
        <v>64</v>
      </c>
      <c r="G40" s="53">
        <v>3</v>
      </c>
      <c r="H40" s="54">
        <v>4.6875E-2</v>
      </c>
      <c r="I40" s="55">
        <v>6.9746499000000003E-2</v>
      </c>
      <c r="J40" s="53">
        <v>314.15899999999999</v>
      </c>
      <c r="K40" s="53">
        <v>0.41847899399999999</v>
      </c>
      <c r="L40" s="53">
        <v>6</v>
      </c>
      <c r="M40" s="56">
        <v>250.23876507088588</v>
      </c>
      <c r="N40" s="53">
        <v>1037</v>
      </c>
      <c r="O40" s="57" t="s">
        <v>86</v>
      </c>
      <c r="P40" s="57" t="s">
        <v>82</v>
      </c>
      <c r="Q40" s="53" t="s">
        <v>87</v>
      </c>
      <c r="R40" s="53" t="s">
        <v>84</v>
      </c>
      <c r="S40" s="53"/>
      <c r="T40" s="59">
        <v>19</v>
      </c>
      <c r="U40" s="59">
        <v>19</v>
      </c>
      <c r="V40" s="53">
        <v>4.3</v>
      </c>
      <c r="W40" s="53"/>
      <c r="X40" s="53"/>
      <c r="Y40" s="9">
        <f t="shared" si="0"/>
        <v>4754.5365363468318</v>
      </c>
      <c r="Z40" s="60" t="s">
        <v>73</v>
      </c>
      <c r="AA40" s="58" t="s">
        <v>407</v>
      </c>
      <c r="AB40" s="58" t="s">
        <v>386</v>
      </c>
      <c r="AC40" s="61"/>
      <c r="AD40" s="53" t="s">
        <v>85</v>
      </c>
      <c r="AE40" s="56">
        <f t="shared" si="1"/>
        <v>12.770039751666664</v>
      </c>
      <c r="AF40" s="56">
        <v>12.770039751666664</v>
      </c>
      <c r="AG40" s="62"/>
      <c r="AH40" s="63"/>
      <c r="AI40" s="61"/>
      <c r="AJ40" s="58"/>
      <c r="AK40" s="58"/>
      <c r="AL40" s="58"/>
      <c r="AM40" s="58"/>
      <c r="AN40" s="58"/>
      <c r="AO40" s="58"/>
    </row>
    <row r="41" spans="1:41" x14ac:dyDescent="0.2">
      <c r="A41" s="49" t="s">
        <v>67</v>
      </c>
      <c r="B41" s="50">
        <v>43171</v>
      </c>
      <c r="C41" s="51">
        <v>0.67013888888888895</v>
      </c>
      <c r="D41" s="49" t="s">
        <v>194</v>
      </c>
      <c r="E41" s="49"/>
      <c r="F41" s="52">
        <v>64</v>
      </c>
      <c r="G41" s="53">
        <v>3</v>
      </c>
      <c r="H41" s="54">
        <v>4.6875E-2</v>
      </c>
      <c r="I41" s="55">
        <v>6.9746499000000003E-2</v>
      </c>
      <c r="J41" s="53">
        <v>314.15899999999999</v>
      </c>
      <c r="K41" s="53">
        <v>0.41847899399999999</v>
      </c>
      <c r="L41" s="53">
        <v>6</v>
      </c>
      <c r="M41" s="56">
        <v>250.23876507088588</v>
      </c>
      <c r="N41" s="53">
        <v>1761</v>
      </c>
      <c r="O41" s="57" t="s">
        <v>287</v>
      </c>
      <c r="P41" s="57" t="s">
        <v>82</v>
      </c>
      <c r="Q41" s="53" t="s">
        <v>288</v>
      </c>
      <c r="R41" s="53" t="s">
        <v>289</v>
      </c>
      <c r="S41" s="53"/>
      <c r="T41" s="59">
        <v>1</v>
      </c>
      <c r="U41" s="59">
        <v>1</v>
      </c>
      <c r="V41" s="53">
        <v>3.1</v>
      </c>
      <c r="W41" s="53"/>
      <c r="X41" s="53"/>
      <c r="Y41" s="9">
        <f t="shared" si="0"/>
        <v>250.23876507088588</v>
      </c>
      <c r="Z41" s="60" t="s">
        <v>73</v>
      </c>
      <c r="AA41" s="58" t="s">
        <v>407</v>
      </c>
      <c r="AB41" s="58" t="s">
        <v>386</v>
      </c>
      <c r="AC41" s="61"/>
      <c r="AD41" s="53" t="s">
        <v>215</v>
      </c>
      <c r="AE41" s="56">
        <f t="shared" si="1"/>
        <v>2.2584105112500001</v>
      </c>
      <c r="AF41" s="56">
        <v>2.2584105112500001</v>
      </c>
      <c r="AG41" s="62"/>
      <c r="AH41" s="63"/>
      <c r="AI41" s="61"/>
      <c r="AJ41" s="58"/>
      <c r="AK41" s="58"/>
      <c r="AL41" s="58"/>
      <c r="AM41" s="58"/>
      <c r="AN41" s="58"/>
      <c r="AO41" s="58"/>
    </row>
    <row r="42" spans="1:41" x14ac:dyDescent="0.2">
      <c r="A42" s="49" t="s">
        <v>67</v>
      </c>
      <c r="B42" s="50">
        <v>43171</v>
      </c>
      <c r="C42" s="51">
        <v>0.67013888888888895</v>
      </c>
      <c r="D42" s="49" t="s">
        <v>194</v>
      </c>
      <c r="E42" s="49"/>
      <c r="F42" s="52">
        <v>64</v>
      </c>
      <c r="G42" s="53">
        <v>3</v>
      </c>
      <c r="H42" s="54">
        <v>4.6875E-2</v>
      </c>
      <c r="I42" s="55">
        <v>6.9746499000000003E-2</v>
      </c>
      <c r="J42" s="53">
        <v>314.15899999999999</v>
      </c>
      <c r="K42" s="53">
        <v>0.41847899399999999</v>
      </c>
      <c r="L42" s="53">
        <v>6</v>
      </c>
      <c r="M42" s="56">
        <v>250.23876507088588</v>
      </c>
      <c r="N42" s="53">
        <v>1352</v>
      </c>
      <c r="O42" s="57" t="s">
        <v>118</v>
      </c>
      <c r="P42" s="57" t="s">
        <v>82</v>
      </c>
      <c r="Q42" s="53" t="s">
        <v>119</v>
      </c>
      <c r="R42" s="53" t="s">
        <v>84</v>
      </c>
      <c r="S42" s="53"/>
      <c r="T42" s="59">
        <v>1</v>
      </c>
      <c r="U42" s="59">
        <v>1</v>
      </c>
      <c r="V42" s="53">
        <v>14.8</v>
      </c>
      <c r="W42" s="53"/>
      <c r="X42" s="53"/>
      <c r="Y42" s="9">
        <f t="shared" si="0"/>
        <v>250.23876507088588</v>
      </c>
      <c r="Z42" s="60" t="s">
        <v>73</v>
      </c>
      <c r="AA42" s="58" t="s">
        <v>407</v>
      </c>
      <c r="AB42" s="58" t="s">
        <v>386</v>
      </c>
      <c r="AC42" s="61"/>
      <c r="AD42" s="53" t="s">
        <v>120</v>
      </c>
      <c r="AE42" s="56">
        <f t="shared" si="1"/>
        <v>670.23309377999999</v>
      </c>
      <c r="AF42" s="56">
        <v>670.23309377999999</v>
      </c>
      <c r="AG42" s="62"/>
      <c r="AH42" s="63"/>
      <c r="AI42" s="61"/>
      <c r="AJ42" s="58"/>
      <c r="AK42" s="58"/>
      <c r="AL42" s="58"/>
      <c r="AM42" s="58"/>
      <c r="AN42" s="58"/>
      <c r="AO42" s="58"/>
    </row>
    <row r="43" spans="1:41" x14ac:dyDescent="0.2">
      <c r="A43" s="49" t="s">
        <v>67</v>
      </c>
      <c r="B43" s="50">
        <v>43171</v>
      </c>
      <c r="C43" s="51">
        <v>0.67013888888888895</v>
      </c>
      <c r="D43" s="49" t="s">
        <v>194</v>
      </c>
      <c r="E43" s="49"/>
      <c r="F43" s="52">
        <v>64</v>
      </c>
      <c r="G43" s="53">
        <v>3</v>
      </c>
      <c r="H43" s="54">
        <v>4.6875E-2</v>
      </c>
      <c r="I43" s="55">
        <v>6.9746499000000003E-2</v>
      </c>
      <c r="J43" s="53">
        <v>314.15899999999999</v>
      </c>
      <c r="K43" s="53">
        <v>0.41847899399999999</v>
      </c>
      <c r="L43" s="53">
        <v>6</v>
      </c>
      <c r="M43" s="56">
        <v>250.23876507088588</v>
      </c>
      <c r="N43" s="53">
        <v>1733</v>
      </c>
      <c r="O43" s="57" t="s">
        <v>391</v>
      </c>
      <c r="P43" s="57" t="s">
        <v>82</v>
      </c>
      <c r="Q43" s="53" t="s">
        <v>89</v>
      </c>
      <c r="R43" s="53" t="s">
        <v>93</v>
      </c>
      <c r="S43" s="53"/>
      <c r="T43" s="59">
        <v>4</v>
      </c>
      <c r="U43" s="59">
        <v>4</v>
      </c>
      <c r="V43" s="53">
        <v>7.4</v>
      </c>
      <c r="W43" s="53"/>
      <c r="X43" s="53"/>
      <c r="Y43" s="9">
        <f t="shared" si="0"/>
        <v>1000.9550602835435</v>
      </c>
      <c r="Z43" s="60" t="s">
        <v>73</v>
      </c>
      <c r="AA43" s="58" t="s">
        <v>407</v>
      </c>
      <c r="AB43" s="58" t="s">
        <v>386</v>
      </c>
      <c r="AC43" s="61"/>
      <c r="AD43" s="53" t="s">
        <v>91</v>
      </c>
      <c r="AE43" s="56">
        <f t="shared" si="1"/>
        <v>130.74040943999998</v>
      </c>
      <c r="AF43" s="56">
        <v>130.74040943999998</v>
      </c>
      <c r="AG43" s="62"/>
      <c r="AH43" s="63"/>
      <c r="AI43" s="61"/>
      <c r="AJ43" s="58"/>
      <c r="AK43" s="58"/>
      <c r="AL43" s="58"/>
      <c r="AM43" s="58"/>
      <c r="AN43" s="58"/>
      <c r="AO43" s="58"/>
    </row>
    <row r="44" spans="1:41" x14ac:dyDescent="0.2">
      <c r="A44" s="49" t="s">
        <v>67</v>
      </c>
      <c r="B44" s="50">
        <v>43171</v>
      </c>
      <c r="C44" s="51">
        <v>0.67013888888888895</v>
      </c>
      <c r="D44" s="49" t="s">
        <v>194</v>
      </c>
      <c r="E44" s="49"/>
      <c r="F44" s="52">
        <v>64</v>
      </c>
      <c r="G44" s="53">
        <v>3</v>
      </c>
      <c r="H44" s="54">
        <v>4.6875E-2</v>
      </c>
      <c r="I44" s="55">
        <v>6.9746499000000003E-2</v>
      </c>
      <c r="J44" s="53">
        <v>314.15899999999999</v>
      </c>
      <c r="K44" s="53">
        <v>0.41847899399999999</v>
      </c>
      <c r="L44" s="53">
        <v>6</v>
      </c>
      <c r="M44" s="56">
        <v>250.23876507088588</v>
      </c>
      <c r="N44" s="53">
        <v>1419</v>
      </c>
      <c r="O44" s="57" t="s">
        <v>94</v>
      </c>
      <c r="P44" s="57" t="s">
        <v>82</v>
      </c>
      <c r="Q44" s="53" t="s">
        <v>95</v>
      </c>
      <c r="R44" s="53" t="s">
        <v>96</v>
      </c>
      <c r="S44" s="53"/>
      <c r="T44" s="59">
        <v>387</v>
      </c>
      <c r="U44" s="59">
        <v>788</v>
      </c>
      <c r="V44" s="53">
        <v>0.9</v>
      </c>
      <c r="W44" s="53">
        <v>0.9</v>
      </c>
      <c r="X44" s="53">
        <v>0.9</v>
      </c>
      <c r="Y44" s="9">
        <f t="shared" si="0"/>
        <v>96842.402082432833</v>
      </c>
      <c r="Z44" s="60" t="s">
        <v>97</v>
      </c>
      <c r="AA44" s="58" t="s">
        <v>407</v>
      </c>
      <c r="AB44" s="58" t="s">
        <v>386</v>
      </c>
      <c r="AC44" s="61"/>
      <c r="AD44" s="53" t="s">
        <v>85</v>
      </c>
      <c r="AE44" s="56">
        <f t="shared" si="1"/>
        <v>0.19090395233333335</v>
      </c>
      <c r="AF44" s="56">
        <v>0.11309723999999999</v>
      </c>
      <c r="AG44" s="56">
        <v>0.17959422833333327</v>
      </c>
      <c r="AH44" s="56">
        <v>0.11309723999999999</v>
      </c>
      <c r="AI44" s="56">
        <v>0.26808234666666664</v>
      </c>
      <c r="AJ44" s="56">
        <v>0.381703185</v>
      </c>
      <c r="AK44" s="56">
        <v>0.17959422833333327</v>
      </c>
      <c r="AL44" s="56">
        <v>0.26808234666666664</v>
      </c>
      <c r="AM44" s="56">
        <v>0.11309723999999999</v>
      </c>
      <c r="AN44" s="56">
        <v>0.11309723999999999</v>
      </c>
      <c r="AO44" s="56">
        <v>0.17959422833333327</v>
      </c>
    </row>
    <row r="45" spans="1:41" x14ac:dyDescent="0.2">
      <c r="A45" s="49" t="s">
        <v>67</v>
      </c>
      <c r="B45" s="50">
        <v>43172</v>
      </c>
      <c r="C45" s="51">
        <v>0.60763888888888895</v>
      </c>
      <c r="D45" s="49" t="s">
        <v>226</v>
      </c>
      <c r="E45" s="49">
        <v>3</v>
      </c>
      <c r="F45" s="52">
        <v>57.5</v>
      </c>
      <c r="G45" s="53">
        <v>4</v>
      </c>
      <c r="H45" s="54">
        <v>6.9565217391304349E-2</v>
      </c>
      <c r="I45" s="55">
        <v>6.83E-2</v>
      </c>
      <c r="J45" s="53">
        <v>314.15899999999999</v>
      </c>
      <c r="K45" s="53">
        <v>0.34150000000000003</v>
      </c>
      <c r="L45" s="53">
        <v>5</v>
      </c>
      <c r="M45" s="56">
        <v>229.98462664714492</v>
      </c>
      <c r="N45" s="53">
        <v>145</v>
      </c>
      <c r="O45" s="57" t="s">
        <v>69</v>
      </c>
      <c r="P45" s="58" t="s">
        <v>70</v>
      </c>
      <c r="Q45" s="53" t="s">
        <v>71</v>
      </c>
      <c r="R45" s="53" t="s">
        <v>72</v>
      </c>
      <c r="S45" s="53"/>
      <c r="T45" s="59">
        <v>2</v>
      </c>
      <c r="U45" s="59">
        <v>2</v>
      </c>
      <c r="V45" s="53">
        <v>20.399999999999999</v>
      </c>
      <c r="W45" s="53"/>
      <c r="X45" s="53"/>
      <c r="Y45" s="9">
        <f t="shared" si="0"/>
        <v>459.96925329428984</v>
      </c>
      <c r="Z45" s="60" t="s">
        <v>73</v>
      </c>
      <c r="AA45" s="58" t="s">
        <v>371</v>
      </c>
      <c r="AB45" s="58" t="s">
        <v>75</v>
      </c>
      <c r="AC45" s="61" t="s">
        <v>76</v>
      </c>
      <c r="AD45" s="53" t="s">
        <v>77</v>
      </c>
      <c r="AE45" s="56">
        <f t="shared" si="1"/>
        <v>657.33058364999999</v>
      </c>
      <c r="AF45" s="56">
        <v>657.33058364999999</v>
      </c>
      <c r="AG45" s="62"/>
      <c r="AH45" s="63"/>
      <c r="AI45" s="61"/>
      <c r="AJ45" s="58"/>
      <c r="AK45" s="58"/>
      <c r="AL45" s="58"/>
      <c r="AM45" s="58"/>
      <c r="AN45" s="58"/>
      <c r="AO45" s="58"/>
    </row>
    <row r="46" spans="1:41" x14ac:dyDescent="0.2">
      <c r="A46" s="49" t="s">
        <v>67</v>
      </c>
      <c r="B46" s="50">
        <v>43172</v>
      </c>
      <c r="C46" s="51">
        <v>0.60763888888888895</v>
      </c>
      <c r="D46" s="49" t="s">
        <v>226</v>
      </c>
      <c r="E46" s="49">
        <v>3</v>
      </c>
      <c r="F46" s="52">
        <v>57.5</v>
      </c>
      <c r="G46" s="53">
        <v>4</v>
      </c>
      <c r="H46" s="54">
        <v>6.9565217391304349E-2</v>
      </c>
      <c r="I46" s="55">
        <v>6.83E-2</v>
      </c>
      <c r="J46" s="53">
        <v>314.15899999999999</v>
      </c>
      <c r="K46" s="53">
        <v>0.34150000000000003</v>
      </c>
      <c r="L46" s="53">
        <v>5</v>
      </c>
      <c r="M46" s="56">
        <v>229.98462664714492</v>
      </c>
      <c r="N46" s="53">
        <v>190</v>
      </c>
      <c r="O46" s="57" t="s">
        <v>102</v>
      </c>
      <c r="P46" s="58" t="s">
        <v>70</v>
      </c>
      <c r="Q46" s="53" t="s">
        <v>103</v>
      </c>
      <c r="R46" s="53" t="s">
        <v>84</v>
      </c>
      <c r="S46" s="53"/>
      <c r="T46" s="59">
        <v>2</v>
      </c>
      <c r="U46" s="59">
        <v>2</v>
      </c>
      <c r="V46" s="53">
        <v>5.6</v>
      </c>
      <c r="W46" s="53"/>
      <c r="X46" s="53"/>
      <c r="Y46" s="9">
        <f t="shared" si="0"/>
        <v>459.96925329428984</v>
      </c>
      <c r="Z46" s="60" t="s">
        <v>73</v>
      </c>
      <c r="AA46" s="58" t="s">
        <v>371</v>
      </c>
      <c r="AB46" s="58" t="s">
        <v>75</v>
      </c>
      <c r="AC46" s="61" t="s">
        <v>76</v>
      </c>
      <c r="AD46" s="53" t="s">
        <v>104</v>
      </c>
      <c r="AE46" s="56">
        <f t="shared" si="1"/>
        <v>64.192893867500004</v>
      </c>
      <c r="AF46" s="56">
        <v>64.192893867500004</v>
      </c>
      <c r="AG46" s="62"/>
      <c r="AH46" s="63"/>
      <c r="AI46" s="61"/>
      <c r="AJ46" s="58"/>
      <c r="AK46" s="58"/>
      <c r="AL46" s="58"/>
      <c r="AM46" s="58"/>
      <c r="AN46" s="58"/>
      <c r="AO46" s="58"/>
    </row>
    <row r="47" spans="1:41" x14ac:dyDescent="0.2">
      <c r="A47" s="49" t="s">
        <v>67</v>
      </c>
      <c r="B47" s="50">
        <v>43172</v>
      </c>
      <c r="C47" s="51">
        <v>0.60763888888888895</v>
      </c>
      <c r="D47" s="49" t="s">
        <v>226</v>
      </c>
      <c r="E47" s="49">
        <v>3</v>
      </c>
      <c r="F47" s="52">
        <v>57.5</v>
      </c>
      <c r="G47" s="53">
        <v>4</v>
      </c>
      <c r="H47" s="54">
        <v>6.9565217391304349E-2</v>
      </c>
      <c r="I47" s="55">
        <v>6.83E-2</v>
      </c>
      <c r="J47" s="53">
        <v>314.15899999999999</v>
      </c>
      <c r="K47" s="53">
        <v>0.34150000000000003</v>
      </c>
      <c r="L47" s="53">
        <v>5</v>
      </c>
      <c r="M47" s="56">
        <v>229.98462664714492</v>
      </c>
      <c r="N47" s="53">
        <v>1037</v>
      </c>
      <c r="O47" s="57" t="s">
        <v>86</v>
      </c>
      <c r="P47" s="57" t="s">
        <v>82</v>
      </c>
      <c r="Q47" s="53" t="s">
        <v>87</v>
      </c>
      <c r="R47" s="53" t="s">
        <v>84</v>
      </c>
      <c r="S47" s="53"/>
      <c r="T47" s="59">
        <v>3</v>
      </c>
      <c r="U47" s="59">
        <v>3</v>
      </c>
      <c r="V47" s="53">
        <v>4.5999999999999996</v>
      </c>
      <c r="W47" s="53"/>
      <c r="X47" s="53"/>
      <c r="Y47" s="9">
        <f t="shared" si="0"/>
        <v>689.95387994143482</v>
      </c>
      <c r="Z47" s="60" t="s">
        <v>73</v>
      </c>
      <c r="AA47" s="58" t="s">
        <v>371</v>
      </c>
      <c r="AB47" s="58" t="s">
        <v>75</v>
      </c>
      <c r="AC47" s="61" t="s">
        <v>76</v>
      </c>
      <c r="AD47" s="53" t="s">
        <v>85</v>
      </c>
      <c r="AE47" s="56">
        <f t="shared" si="1"/>
        <v>33.51029333333333</v>
      </c>
      <c r="AF47" s="56">
        <v>33.51029333333333</v>
      </c>
      <c r="AG47" s="62"/>
      <c r="AH47" s="63"/>
      <c r="AI47" s="61"/>
      <c r="AJ47" s="58"/>
      <c r="AK47" s="58"/>
      <c r="AL47" s="58"/>
      <c r="AM47" s="58"/>
      <c r="AN47" s="58"/>
      <c r="AO47" s="58"/>
    </row>
    <row r="48" spans="1:41" x14ac:dyDescent="0.2">
      <c r="A48" s="49" t="s">
        <v>67</v>
      </c>
      <c r="B48" s="50">
        <v>43172</v>
      </c>
      <c r="C48" s="51">
        <v>0.60763888888888895</v>
      </c>
      <c r="D48" s="49" t="s">
        <v>226</v>
      </c>
      <c r="E48" s="49">
        <v>3</v>
      </c>
      <c r="F48" s="52">
        <v>57.5</v>
      </c>
      <c r="G48" s="53">
        <v>4</v>
      </c>
      <c r="H48" s="54">
        <v>6.9565217391304349E-2</v>
      </c>
      <c r="I48" s="55">
        <v>6.83E-2</v>
      </c>
      <c r="J48" s="53">
        <v>314.15899999999999</v>
      </c>
      <c r="K48" s="53">
        <v>0.34150000000000003</v>
      </c>
      <c r="L48" s="53">
        <v>5</v>
      </c>
      <c r="M48" s="56">
        <v>229.98462664714492</v>
      </c>
      <c r="N48" s="53">
        <v>1365</v>
      </c>
      <c r="O48" s="58" t="s">
        <v>121</v>
      </c>
      <c r="P48" s="57" t="s">
        <v>82</v>
      </c>
      <c r="Q48" s="53" t="s">
        <v>122</v>
      </c>
      <c r="R48" s="53" t="s">
        <v>123</v>
      </c>
      <c r="S48" s="53"/>
      <c r="T48" s="59">
        <v>1</v>
      </c>
      <c r="U48" s="59">
        <v>1</v>
      </c>
      <c r="V48" s="53">
        <v>13</v>
      </c>
      <c r="W48" s="53"/>
      <c r="X48" s="53"/>
      <c r="Y48" s="9">
        <f t="shared" si="0"/>
        <v>229.98462664714492</v>
      </c>
      <c r="Z48" s="60" t="s">
        <v>73</v>
      </c>
      <c r="AA48" s="58" t="s">
        <v>371</v>
      </c>
      <c r="AB48" s="58" t="s">
        <v>75</v>
      </c>
      <c r="AC48" s="61" t="s">
        <v>76</v>
      </c>
      <c r="AD48" s="53" t="s">
        <v>91</v>
      </c>
      <c r="AE48" s="56">
        <f t="shared" si="1"/>
        <v>902.57880699999998</v>
      </c>
      <c r="AF48" s="56">
        <v>902.57880699999998</v>
      </c>
      <c r="AG48" s="62"/>
      <c r="AH48" s="63"/>
      <c r="AI48" s="61"/>
      <c r="AJ48" s="58"/>
      <c r="AK48" s="58"/>
      <c r="AL48" s="58"/>
      <c r="AM48" s="58"/>
      <c r="AN48" s="58"/>
      <c r="AO48" s="58"/>
    </row>
    <row r="49" spans="1:41" x14ac:dyDescent="0.2">
      <c r="A49" s="49" t="s">
        <v>67</v>
      </c>
      <c r="B49" s="50">
        <v>43172</v>
      </c>
      <c r="C49" s="51">
        <v>0.60763888888888895</v>
      </c>
      <c r="D49" s="49" t="s">
        <v>226</v>
      </c>
      <c r="E49" s="49">
        <v>3</v>
      </c>
      <c r="F49" s="52">
        <v>57.5</v>
      </c>
      <c r="G49" s="53">
        <v>4</v>
      </c>
      <c r="H49" s="54">
        <v>6.9565217391304349E-2</v>
      </c>
      <c r="I49" s="55">
        <v>6.83E-2</v>
      </c>
      <c r="J49" s="53">
        <v>314.15899999999999</v>
      </c>
      <c r="K49" s="53">
        <v>0.34150000000000003</v>
      </c>
      <c r="L49" s="53">
        <v>5</v>
      </c>
      <c r="M49" s="56">
        <v>229.98462664714492</v>
      </c>
      <c r="N49" s="53">
        <v>1419</v>
      </c>
      <c r="O49" s="57" t="s">
        <v>94</v>
      </c>
      <c r="P49" s="57" t="s">
        <v>82</v>
      </c>
      <c r="Q49" s="53" t="s">
        <v>95</v>
      </c>
      <c r="R49" s="53" t="s">
        <v>96</v>
      </c>
      <c r="S49" s="53"/>
      <c r="T49" s="59">
        <v>409</v>
      </c>
      <c r="U49" s="59">
        <v>824</v>
      </c>
      <c r="V49" s="53">
        <v>0.8</v>
      </c>
      <c r="W49" s="53">
        <v>0.8</v>
      </c>
      <c r="X49" s="53">
        <v>0.8</v>
      </c>
      <c r="Y49" s="9">
        <f t="shared" si="0"/>
        <v>94063.71229868228</v>
      </c>
      <c r="Z49" s="60" t="s">
        <v>97</v>
      </c>
      <c r="AA49" s="58" t="s">
        <v>371</v>
      </c>
      <c r="AB49" s="58" t="s">
        <v>75</v>
      </c>
      <c r="AC49" s="61" t="s">
        <v>76</v>
      </c>
      <c r="AD49" s="53" t="s">
        <v>85</v>
      </c>
      <c r="AE49" s="56">
        <f t="shared" si="1"/>
        <v>0.17999999999999997</v>
      </c>
      <c r="AF49" s="56">
        <v>0.18</v>
      </c>
      <c r="AG49" s="56">
        <v>0.18</v>
      </c>
      <c r="AH49" s="56">
        <v>0.18</v>
      </c>
      <c r="AI49" s="56">
        <v>0.18</v>
      </c>
      <c r="AJ49" s="56">
        <v>0.18</v>
      </c>
      <c r="AK49" s="56">
        <v>0.18</v>
      </c>
      <c r="AL49" s="56">
        <v>0.18</v>
      </c>
      <c r="AM49" s="56">
        <v>0.18</v>
      </c>
      <c r="AN49" s="56">
        <v>0.18</v>
      </c>
      <c r="AO49" s="56">
        <v>0.18</v>
      </c>
    </row>
    <row r="50" spans="1:41" x14ac:dyDescent="0.2">
      <c r="A50" s="49" t="s">
        <v>67</v>
      </c>
      <c r="B50" s="50">
        <v>43172</v>
      </c>
      <c r="C50" s="51">
        <v>0.60763888888888895</v>
      </c>
      <c r="D50" s="49" t="s">
        <v>226</v>
      </c>
      <c r="E50" s="49">
        <v>3</v>
      </c>
      <c r="F50" s="52">
        <v>57.5</v>
      </c>
      <c r="G50" s="53">
        <v>4</v>
      </c>
      <c r="H50" s="54">
        <v>6.9565217391304349E-2</v>
      </c>
      <c r="I50" s="55">
        <v>6.83E-2</v>
      </c>
      <c r="J50" s="53">
        <v>314.15899999999999</v>
      </c>
      <c r="K50" s="53">
        <v>0.34150000000000003</v>
      </c>
      <c r="L50" s="53">
        <v>5</v>
      </c>
      <c r="M50" s="56">
        <v>229.98462664714492</v>
      </c>
      <c r="N50" s="53">
        <v>1519</v>
      </c>
      <c r="O50" s="58" t="s">
        <v>301</v>
      </c>
      <c r="P50" s="57" t="s">
        <v>82</v>
      </c>
      <c r="Q50" s="53" t="s">
        <v>302</v>
      </c>
      <c r="R50" s="53" t="s">
        <v>84</v>
      </c>
      <c r="S50" s="53"/>
      <c r="T50" s="59">
        <v>1</v>
      </c>
      <c r="U50" s="59">
        <v>6</v>
      </c>
      <c r="V50" s="53">
        <v>0.9</v>
      </c>
      <c r="W50" s="53"/>
      <c r="X50" s="53"/>
      <c r="Y50" s="9">
        <f t="shared" si="0"/>
        <v>229.98462664714492</v>
      </c>
      <c r="Z50" s="60" t="s">
        <v>97</v>
      </c>
      <c r="AA50" s="58" t="s">
        <v>371</v>
      </c>
      <c r="AB50" s="58" t="s">
        <v>75</v>
      </c>
      <c r="AC50" s="61" t="s">
        <v>76</v>
      </c>
      <c r="AD50" s="53" t="s">
        <v>85</v>
      </c>
      <c r="AE50" s="56">
        <f t="shared" si="1"/>
        <v>0.381703185</v>
      </c>
      <c r="AF50" s="56">
        <v>0.381703185</v>
      </c>
      <c r="AG50" s="62"/>
      <c r="AH50" s="63"/>
      <c r="AI50" s="61"/>
      <c r="AJ50" s="58"/>
      <c r="AK50" s="58"/>
      <c r="AL50" s="58"/>
      <c r="AM50" s="58"/>
      <c r="AN50" s="58"/>
      <c r="AO50" s="58"/>
    </row>
    <row r="51" spans="1:41" x14ac:dyDescent="0.2">
      <c r="A51" s="49" t="s">
        <v>67</v>
      </c>
      <c r="B51" s="50">
        <v>43172</v>
      </c>
      <c r="C51" s="51">
        <v>0.64930555555555602</v>
      </c>
      <c r="D51" s="49" t="s">
        <v>222</v>
      </c>
      <c r="E51" s="49">
        <v>3</v>
      </c>
      <c r="F51" s="52">
        <v>64</v>
      </c>
      <c r="G51" s="53">
        <v>2</v>
      </c>
      <c r="H51" s="54">
        <v>3.125E-2</v>
      </c>
      <c r="I51" s="55">
        <v>6.83E-2</v>
      </c>
      <c r="J51" s="53">
        <v>314.15899999999999</v>
      </c>
      <c r="K51" s="53">
        <v>0.61470000000000002</v>
      </c>
      <c r="L51" s="53">
        <v>9</v>
      </c>
      <c r="M51" s="56">
        <v>255.53847405238326</v>
      </c>
      <c r="N51" s="53">
        <v>1037</v>
      </c>
      <c r="O51" s="57" t="s">
        <v>86</v>
      </c>
      <c r="P51" s="57" t="s">
        <v>82</v>
      </c>
      <c r="Q51" s="53" t="s">
        <v>87</v>
      </c>
      <c r="R51" s="53" t="s">
        <v>84</v>
      </c>
      <c r="S51" s="53"/>
      <c r="T51" s="59">
        <v>3</v>
      </c>
      <c r="U51" s="59">
        <v>3</v>
      </c>
      <c r="V51" s="53">
        <v>2.8</v>
      </c>
      <c r="W51" s="53"/>
      <c r="X51" s="53"/>
      <c r="Y51" s="9">
        <f t="shared" si="0"/>
        <v>766.61542215714974</v>
      </c>
      <c r="Z51" s="60" t="s">
        <v>73</v>
      </c>
      <c r="AA51" s="58" t="s">
        <v>373</v>
      </c>
      <c r="AB51" s="58" t="s">
        <v>75</v>
      </c>
      <c r="AC51" s="61" t="s">
        <v>76</v>
      </c>
      <c r="AD51" s="53" t="s">
        <v>85</v>
      </c>
      <c r="AE51" s="56">
        <f t="shared" si="1"/>
        <v>8.1812239583333319</v>
      </c>
      <c r="AF51" s="56">
        <v>8.1812239583333319</v>
      </c>
      <c r="AG51" s="62"/>
      <c r="AH51" s="63"/>
      <c r="AI51" s="61"/>
      <c r="AJ51" s="58"/>
      <c r="AK51" s="58"/>
      <c r="AL51" s="58"/>
      <c r="AM51" s="58"/>
      <c r="AN51" s="58"/>
      <c r="AO51" s="58"/>
    </row>
    <row r="52" spans="1:41" x14ac:dyDescent="0.2">
      <c r="A52" s="49" t="s">
        <v>67</v>
      </c>
      <c r="B52" s="50">
        <v>43172</v>
      </c>
      <c r="C52" s="51">
        <v>0.64930555555555602</v>
      </c>
      <c r="D52" s="49" t="s">
        <v>222</v>
      </c>
      <c r="E52" s="49">
        <v>3</v>
      </c>
      <c r="F52" s="52">
        <v>64</v>
      </c>
      <c r="G52" s="53">
        <v>2</v>
      </c>
      <c r="H52" s="54">
        <v>3.125E-2</v>
      </c>
      <c r="I52" s="55">
        <v>6.83E-2</v>
      </c>
      <c r="J52" s="53">
        <v>314.15899999999999</v>
      </c>
      <c r="K52" s="53">
        <v>0.61470000000000002</v>
      </c>
      <c r="L52" s="53">
        <v>9</v>
      </c>
      <c r="M52" s="56">
        <v>255.53847405238326</v>
      </c>
      <c r="N52" s="53">
        <v>1364</v>
      </c>
      <c r="O52" s="57" t="s">
        <v>88</v>
      </c>
      <c r="P52" s="57" t="s">
        <v>82</v>
      </c>
      <c r="Q52" s="53" t="s">
        <v>89</v>
      </c>
      <c r="R52" s="53" t="s">
        <v>90</v>
      </c>
      <c r="S52" s="53"/>
      <c r="T52" s="59">
        <v>1</v>
      </c>
      <c r="U52" s="59">
        <v>1</v>
      </c>
      <c r="V52" s="53">
        <v>11.1</v>
      </c>
      <c r="W52" s="53"/>
      <c r="X52" s="53"/>
      <c r="Y52" s="9">
        <f t="shared" si="0"/>
        <v>255.53847405238326</v>
      </c>
      <c r="Z52" s="60" t="s">
        <v>73</v>
      </c>
      <c r="AA52" s="58" t="s">
        <v>373</v>
      </c>
      <c r="AB52" s="58" t="s">
        <v>75</v>
      </c>
      <c r="AC52" s="61" t="s">
        <v>76</v>
      </c>
      <c r="AD52" s="53" t="s">
        <v>91</v>
      </c>
      <c r="AE52" s="56">
        <f t="shared" si="1"/>
        <v>538.67979792749986</v>
      </c>
      <c r="AF52" s="56">
        <v>538.67979792749986</v>
      </c>
      <c r="AG52" s="62"/>
      <c r="AH52" s="63"/>
      <c r="AI52" s="61"/>
      <c r="AJ52" s="58"/>
      <c r="AK52" s="58"/>
      <c r="AL52" s="58"/>
      <c r="AM52" s="58"/>
      <c r="AN52" s="58"/>
      <c r="AO52" s="58"/>
    </row>
    <row r="53" spans="1:41" x14ac:dyDescent="0.2">
      <c r="A53" s="49" t="s">
        <v>67</v>
      </c>
      <c r="B53" s="50">
        <v>43172</v>
      </c>
      <c r="C53" s="51">
        <v>0.64930555555555602</v>
      </c>
      <c r="D53" s="49" t="s">
        <v>222</v>
      </c>
      <c r="E53" s="49">
        <v>3</v>
      </c>
      <c r="F53" s="52">
        <v>64</v>
      </c>
      <c r="G53" s="53">
        <v>2</v>
      </c>
      <c r="H53" s="54">
        <v>3.125E-2</v>
      </c>
      <c r="I53" s="55">
        <v>6.83E-2</v>
      </c>
      <c r="J53" s="53">
        <v>314.15899999999999</v>
      </c>
      <c r="K53" s="53">
        <v>0.61470000000000002</v>
      </c>
      <c r="L53" s="53">
        <v>9</v>
      </c>
      <c r="M53" s="56">
        <v>255.53847405238326</v>
      </c>
      <c r="N53" s="53">
        <v>1419</v>
      </c>
      <c r="O53" s="57" t="s">
        <v>94</v>
      </c>
      <c r="P53" s="57" t="s">
        <v>82</v>
      </c>
      <c r="Q53" s="53" t="s">
        <v>95</v>
      </c>
      <c r="R53" s="53" t="s">
        <v>96</v>
      </c>
      <c r="S53" s="53"/>
      <c r="T53" s="59">
        <v>434</v>
      </c>
      <c r="U53" s="59">
        <v>873</v>
      </c>
      <c r="V53" s="53">
        <v>0.8</v>
      </c>
      <c r="W53" s="53">
        <v>0.8</v>
      </c>
      <c r="X53" s="53">
        <v>0.8</v>
      </c>
      <c r="Y53" s="9">
        <f t="shared" si="0"/>
        <v>110903.69773873434</v>
      </c>
      <c r="Z53" s="60" t="s">
        <v>97</v>
      </c>
      <c r="AA53" s="58" t="s">
        <v>373</v>
      </c>
      <c r="AB53" s="58" t="s">
        <v>75</v>
      </c>
      <c r="AC53" s="61" t="s">
        <v>76</v>
      </c>
      <c r="AD53" s="53" t="s">
        <v>85</v>
      </c>
      <c r="AE53" s="56">
        <f t="shared" si="1"/>
        <v>0.17999999999999997</v>
      </c>
      <c r="AF53" s="56">
        <v>0.18</v>
      </c>
      <c r="AG53" s="56">
        <v>0.18</v>
      </c>
      <c r="AH53" s="56">
        <v>0.18</v>
      </c>
      <c r="AI53" s="56">
        <v>0.18</v>
      </c>
      <c r="AJ53" s="56">
        <v>0.18</v>
      </c>
      <c r="AK53" s="56">
        <v>0.18</v>
      </c>
      <c r="AL53" s="56">
        <v>0.18</v>
      </c>
      <c r="AM53" s="56">
        <v>0.18</v>
      </c>
      <c r="AN53" s="56">
        <v>0.18</v>
      </c>
      <c r="AO53" s="56">
        <v>0.18</v>
      </c>
    </row>
    <row r="54" spans="1:41" x14ac:dyDescent="0.2">
      <c r="A54" s="49" t="s">
        <v>67</v>
      </c>
      <c r="B54" s="50">
        <v>43172</v>
      </c>
      <c r="C54" s="51">
        <v>0.69791666666666696</v>
      </c>
      <c r="D54" s="49" t="s">
        <v>224</v>
      </c>
      <c r="E54" s="49"/>
      <c r="F54" s="52">
        <v>57</v>
      </c>
      <c r="G54" s="53">
        <v>3</v>
      </c>
      <c r="H54" s="54">
        <v>5.2631578947368418E-2</v>
      </c>
      <c r="I54" s="55">
        <v>6.83E-2</v>
      </c>
      <c r="J54" s="53">
        <v>314.15899999999999</v>
      </c>
      <c r="K54" s="53">
        <v>0.5464</v>
      </c>
      <c r="L54" s="53">
        <v>8</v>
      </c>
      <c r="M54" s="56">
        <v>191.65385553928743</v>
      </c>
      <c r="N54" s="53">
        <v>145</v>
      </c>
      <c r="O54" s="57" t="s">
        <v>69</v>
      </c>
      <c r="P54" s="58" t="s">
        <v>70</v>
      </c>
      <c r="Q54" s="53" t="s">
        <v>71</v>
      </c>
      <c r="R54" s="53" t="s">
        <v>72</v>
      </c>
      <c r="S54" s="53"/>
      <c r="T54" s="59">
        <v>1</v>
      </c>
      <c r="U54" s="59">
        <v>1</v>
      </c>
      <c r="V54" s="53">
        <v>22.2</v>
      </c>
      <c r="W54" s="53"/>
      <c r="X54" s="53"/>
      <c r="Y54" s="9">
        <f t="shared" si="0"/>
        <v>191.65385553928746</v>
      </c>
      <c r="Z54" s="60" t="s">
        <v>73</v>
      </c>
      <c r="AA54" s="58" t="s">
        <v>372</v>
      </c>
      <c r="AB54" s="58" t="s">
        <v>75</v>
      </c>
      <c r="AC54" s="61" t="s">
        <v>76</v>
      </c>
      <c r="AD54" s="53" t="s">
        <v>77</v>
      </c>
      <c r="AE54" s="56">
        <f t="shared" si="1"/>
        <v>896.72445403500001</v>
      </c>
      <c r="AF54" s="56">
        <v>896.72445403500001</v>
      </c>
      <c r="AG54" s="62"/>
      <c r="AH54" s="63"/>
      <c r="AI54" s="61"/>
      <c r="AJ54" s="58"/>
      <c r="AK54" s="58"/>
      <c r="AL54" s="58"/>
      <c r="AM54" s="58"/>
      <c r="AN54" s="58"/>
      <c r="AO54" s="58"/>
    </row>
    <row r="55" spans="1:41" x14ac:dyDescent="0.2">
      <c r="A55" s="49" t="s">
        <v>67</v>
      </c>
      <c r="B55" s="50">
        <v>43172</v>
      </c>
      <c r="C55" s="51">
        <v>0.69791666666666696</v>
      </c>
      <c r="D55" s="49" t="s">
        <v>224</v>
      </c>
      <c r="E55" s="49"/>
      <c r="F55" s="52">
        <v>57</v>
      </c>
      <c r="G55" s="53">
        <v>3</v>
      </c>
      <c r="H55" s="54">
        <v>5.2631578947368418E-2</v>
      </c>
      <c r="I55" s="55">
        <v>6.83E-2</v>
      </c>
      <c r="J55" s="53">
        <v>314.15899999999999</v>
      </c>
      <c r="K55" s="53">
        <v>0.5464</v>
      </c>
      <c r="L55" s="53">
        <v>8</v>
      </c>
      <c r="M55" s="56">
        <v>191.65385553928743</v>
      </c>
      <c r="N55" s="53">
        <v>412</v>
      </c>
      <c r="O55" s="57" t="s">
        <v>105</v>
      </c>
      <c r="P55" s="58" t="s">
        <v>70</v>
      </c>
      <c r="Q55" s="53" t="s">
        <v>106</v>
      </c>
      <c r="R55" s="53" t="s">
        <v>107</v>
      </c>
      <c r="S55" s="53"/>
      <c r="T55" s="59">
        <v>1</v>
      </c>
      <c r="U55" s="59">
        <v>1</v>
      </c>
      <c r="V55" s="53">
        <v>20.399999999999999</v>
      </c>
      <c r="W55" s="53"/>
      <c r="X55" s="53"/>
      <c r="Y55" s="9">
        <f t="shared" si="0"/>
        <v>191.65385553928746</v>
      </c>
      <c r="Z55" s="60" t="s">
        <v>73</v>
      </c>
      <c r="AA55" s="58" t="s">
        <v>372</v>
      </c>
      <c r="AB55" s="58" t="s">
        <v>75</v>
      </c>
      <c r="AC55" s="61" t="s">
        <v>76</v>
      </c>
      <c r="AD55" s="53" t="s">
        <v>77</v>
      </c>
      <c r="AE55" s="56">
        <f t="shared" si="1"/>
        <v>385.33172144999992</v>
      </c>
      <c r="AF55" s="56">
        <v>385.33172144999992</v>
      </c>
      <c r="AG55" s="62"/>
      <c r="AH55" s="63"/>
      <c r="AI55" s="61"/>
      <c r="AJ55" s="58"/>
      <c r="AK55" s="58"/>
      <c r="AL55" s="58"/>
      <c r="AM55" s="58"/>
      <c r="AN55" s="58"/>
      <c r="AO55" s="58"/>
    </row>
    <row r="56" spans="1:41" x14ac:dyDescent="0.2">
      <c r="A56" s="49" t="s">
        <v>67</v>
      </c>
      <c r="B56" s="50">
        <v>43172</v>
      </c>
      <c r="C56" s="51">
        <v>0.69791666666666696</v>
      </c>
      <c r="D56" s="49" t="s">
        <v>224</v>
      </c>
      <c r="E56" s="49"/>
      <c r="F56" s="52">
        <v>57</v>
      </c>
      <c r="G56" s="53">
        <v>3</v>
      </c>
      <c r="H56" s="54">
        <v>5.2631578947368418E-2</v>
      </c>
      <c r="I56" s="55">
        <v>6.83E-2</v>
      </c>
      <c r="J56" s="53">
        <v>314.15899999999999</v>
      </c>
      <c r="K56" s="53">
        <v>0.5464</v>
      </c>
      <c r="L56" s="53">
        <v>8</v>
      </c>
      <c r="M56" s="56">
        <v>191.65385553928743</v>
      </c>
      <c r="N56" s="53">
        <v>749</v>
      </c>
      <c r="O56" s="57" t="s">
        <v>190</v>
      </c>
      <c r="P56" s="58" t="s">
        <v>70</v>
      </c>
      <c r="Q56" s="53" t="s">
        <v>191</v>
      </c>
      <c r="R56" s="53" t="s">
        <v>84</v>
      </c>
      <c r="S56" s="53"/>
      <c r="T56" s="59">
        <v>1</v>
      </c>
      <c r="U56" s="59">
        <v>1</v>
      </c>
      <c r="V56" s="53">
        <v>25.9</v>
      </c>
      <c r="W56" s="53"/>
      <c r="X56" s="53"/>
      <c r="Y56" s="9">
        <f t="shared" si="0"/>
        <v>191.65385553928746</v>
      </c>
      <c r="Z56" s="60" t="s">
        <v>73</v>
      </c>
      <c r="AA56" s="58" t="s">
        <v>372</v>
      </c>
      <c r="AB56" s="58" t="s">
        <v>75</v>
      </c>
      <c r="AC56" s="61" t="s">
        <v>76</v>
      </c>
      <c r="AD56" s="53" t="s">
        <v>193</v>
      </c>
      <c r="AE56" s="56">
        <f t="shared" si="1"/>
        <v>268.32400000000001</v>
      </c>
      <c r="AF56" s="56">
        <v>268.32400000000001</v>
      </c>
      <c r="AG56" s="62"/>
      <c r="AH56" s="63"/>
      <c r="AI56" s="61"/>
      <c r="AJ56" s="58"/>
      <c r="AK56" s="58"/>
      <c r="AL56" s="58"/>
      <c r="AM56" s="58"/>
      <c r="AN56" s="58"/>
      <c r="AO56" s="58"/>
    </row>
    <row r="57" spans="1:41" x14ac:dyDescent="0.2">
      <c r="A57" s="49" t="s">
        <v>67</v>
      </c>
      <c r="B57" s="50">
        <v>43172</v>
      </c>
      <c r="C57" s="51">
        <v>0.69791666666666696</v>
      </c>
      <c r="D57" s="49" t="s">
        <v>224</v>
      </c>
      <c r="E57" s="49"/>
      <c r="F57" s="52">
        <v>57</v>
      </c>
      <c r="G57" s="53">
        <v>3</v>
      </c>
      <c r="H57" s="54">
        <v>5.2631578947368418E-2</v>
      </c>
      <c r="I57" s="55">
        <v>6.83E-2</v>
      </c>
      <c r="J57" s="53">
        <v>314.15899999999999</v>
      </c>
      <c r="K57" s="53">
        <v>0.5464</v>
      </c>
      <c r="L57" s="53">
        <v>8</v>
      </c>
      <c r="M57" s="56">
        <v>191.65385553928743</v>
      </c>
      <c r="N57" s="53">
        <v>1037</v>
      </c>
      <c r="O57" s="57" t="s">
        <v>86</v>
      </c>
      <c r="P57" s="57" t="s">
        <v>82</v>
      </c>
      <c r="Q57" s="53" t="s">
        <v>87</v>
      </c>
      <c r="R57" s="53" t="s">
        <v>84</v>
      </c>
      <c r="S57" s="53"/>
      <c r="T57" s="59">
        <v>4</v>
      </c>
      <c r="U57" s="59">
        <v>4</v>
      </c>
      <c r="V57" s="53">
        <v>3.7</v>
      </c>
      <c r="W57" s="53"/>
      <c r="X57" s="53"/>
      <c r="Y57" s="9">
        <f t="shared" si="0"/>
        <v>766.61542215714985</v>
      </c>
      <c r="Z57" s="60" t="s">
        <v>73</v>
      </c>
      <c r="AA57" s="58" t="s">
        <v>372</v>
      </c>
      <c r="AB57" s="58" t="s">
        <v>75</v>
      </c>
      <c r="AC57" s="61" t="s">
        <v>76</v>
      </c>
      <c r="AD57" s="53" t="s">
        <v>85</v>
      </c>
      <c r="AE57" s="56">
        <f t="shared" si="1"/>
        <v>11.494030613333329</v>
      </c>
      <c r="AF57" s="56">
        <v>11.494030613333329</v>
      </c>
      <c r="AG57" s="62"/>
      <c r="AH57" s="63"/>
      <c r="AI57" s="61"/>
      <c r="AJ57" s="58"/>
      <c r="AK57" s="58"/>
      <c r="AL57" s="58"/>
      <c r="AM57" s="58"/>
      <c r="AN57" s="58"/>
      <c r="AO57" s="58"/>
    </row>
    <row r="58" spans="1:41" x14ac:dyDescent="0.2">
      <c r="A58" s="49" t="s">
        <v>67</v>
      </c>
      <c r="B58" s="50">
        <v>43172</v>
      </c>
      <c r="C58" s="51">
        <v>0.69791666666666696</v>
      </c>
      <c r="D58" s="49" t="s">
        <v>224</v>
      </c>
      <c r="E58" s="49"/>
      <c r="F58" s="52">
        <v>57</v>
      </c>
      <c r="G58" s="53">
        <v>3</v>
      </c>
      <c r="H58" s="54">
        <v>5.2631578947368418E-2</v>
      </c>
      <c r="I58" s="55">
        <v>6.83E-2</v>
      </c>
      <c r="J58" s="53">
        <v>314.15899999999999</v>
      </c>
      <c r="K58" s="53">
        <v>0.5464</v>
      </c>
      <c r="L58" s="53">
        <v>8</v>
      </c>
      <c r="M58" s="56">
        <v>191.65385553928743</v>
      </c>
      <c r="N58" s="53">
        <v>1806</v>
      </c>
      <c r="O58" s="57" t="s">
        <v>206</v>
      </c>
      <c r="P58" s="57" t="s">
        <v>82</v>
      </c>
      <c r="Q58" s="53" t="s">
        <v>207</v>
      </c>
      <c r="R58" s="53" t="s">
        <v>84</v>
      </c>
      <c r="S58" s="53"/>
      <c r="T58" s="59">
        <v>1</v>
      </c>
      <c r="U58" s="59">
        <v>1</v>
      </c>
      <c r="V58" s="53">
        <v>3.7</v>
      </c>
      <c r="W58" s="53"/>
      <c r="X58" s="53"/>
      <c r="Y58" s="9">
        <f t="shared" si="0"/>
        <v>191.65385553928746</v>
      </c>
      <c r="Z58" s="60" t="s">
        <v>73</v>
      </c>
      <c r="AA58" s="58" t="s">
        <v>372</v>
      </c>
      <c r="AB58" s="58" t="s">
        <v>75</v>
      </c>
      <c r="AC58" s="61" t="s">
        <v>76</v>
      </c>
      <c r="AD58" s="53" t="s">
        <v>120</v>
      </c>
      <c r="AE58" s="56">
        <f t="shared" si="1"/>
        <v>26.521826378333333</v>
      </c>
      <c r="AF58" s="56">
        <v>26.521826378333333</v>
      </c>
      <c r="AG58" s="62"/>
      <c r="AH58" s="63"/>
      <c r="AI58" s="61"/>
      <c r="AJ58" s="58"/>
      <c r="AK58" s="58"/>
      <c r="AL58" s="58"/>
      <c r="AM58" s="58"/>
      <c r="AN58" s="58"/>
      <c r="AO58" s="58"/>
    </row>
    <row r="59" spans="1:41" x14ac:dyDescent="0.2">
      <c r="A59" s="49" t="s">
        <v>67</v>
      </c>
      <c r="B59" s="50">
        <v>43172</v>
      </c>
      <c r="C59" s="51">
        <v>0.69791666666666696</v>
      </c>
      <c r="D59" s="49" t="s">
        <v>224</v>
      </c>
      <c r="E59" s="49"/>
      <c r="F59" s="52">
        <v>57</v>
      </c>
      <c r="G59" s="53">
        <v>3</v>
      </c>
      <c r="H59" s="54">
        <v>5.2631578947368418E-2</v>
      </c>
      <c r="I59" s="55">
        <v>6.83E-2</v>
      </c>
      <c r="J59" s="53">
        <v>314.15899999999999</v>
      </c>
      <c r="K59" s="53">
        <v>0.5464</v>
      </c>
      <c r="L59" s="53">
        <v>8</v>
      </c>
      <c r="M59" s="56">
        <v>191.65385553928743</v>
      </c>
      <c r="N59" s="53">
        <v>1419</v>
      </c>
      <c r="O59" s="57" t="s">
        <v>94</v>
      </c>
      <c r="P59" s="57" t="s">
        <v>82</v>
      </c>
      <c r="Q59" s="53" t="s">
        <v>95</v>
      </c>
      <c r="R59" s="53" t="s">
        <v>96</v>
      </c>
      <c r="S59" s="53"/>
      <c r="T59" s="59">
        <v>428</v>
      </c>
      <c r="U59" s="59">
        <v>860</v>
      </c>
      <c r="V59" s="53">
        <v>0.8</v>
      </c>
      <c r="W59" s="53">
        <v>0.8</v>
      </c>
      <c r="X59" s="53">
        <v>0.8</v>
      </c>
      <c r="Y59" s="9">
        <f t="shared" si="0"/>
        <v>82027.850170815029</v>
      </c>
      <c r="Z59" s="60" t="s">
        <v>97</v>
      </c>
      <c r="AA59" s="58" t="s">
        <v>372</v>
      </c>
      <c r="AB59" s="58" t="s">
        <v>75</v>
      </c>
      <c r="AC59" s="61" t="s">
        <v>76</v>
      </c>
      <c r="AD59" s="53" t="s">
        <v>85</v>
      </c>
      <c r="AE59" s="56">
        <f t="shared" si="1"/>
        <v>0.17999999999999997</v>
      </c>
      <c r="AF59" s="56">
        <v>0.18</v>
      </c>
      <c r="AG59" s="56">
        <v>0.18</v>
      </c>
      <c r="AH59" s="56">
        <v>0.18</v>
      </c>
      <c r="AI59" s="56">
        <v>0.18</v>
      </c>
      <c r="AJ59" s="56">
        <v>0.18</v>
      </c>
      <c r="AK59" s="56">
        <v>0.18</v>
      </c>
      <c r="AL59" s="56">
        <v>0.18</v>
      </c>
      <c r="AM59" s="56">
        <v>0.18</v>
      </c>
      <c r="AN59" s="56">
        <v>0.18</v>
      </c>
      <c r="AO59" s="56">
        <v>0.18</v>
      </c>
    </row>
    <row r="60" spans="1:41" x14ac:dyDescent="0.2">
      <c r="A60" s="49" t="s">
        <v>67</v>
      </c>
      <c r="B60" s="50">
        <v>43173</v>
      </c>
      <c r="C60" s="51">
        <v>0.69444444444444497</v>
      </c>
      <c r="D60" s="49" t="s">
        <v>219</v>
      </c>
      <c r="E60" s="49"/>
      <c r="F60" s="52">
        <v>59.5</v>
      </c>
      <c r="G60" s="53">
        <v>2</v>
      </c>
      <c r="H60" s="54">
        <v>3.3613445378151259E-2</v>
      </c>
      <c r="I60" s="55">
        <v>6.83E-2</v>
      </c>
      <c r="J60" s="53">
        <v>314.15899999999999</v>
      </c>
      <c r="K60" s="53">
        <v>0.61470000000000002</v>
      </c>
      <c r="L60" s="53">
        <v>9</v>
      </c>
      <c r="M60" s="56">
        <v>255.53847405238326</v>
      </c>
      <c r="N60" s="53">
        <v>310</v>
      </c>
      <c r="O60" s="57" t="s">
        <v>377</v>
      </c>
      <c r="P60" s="58" t="s">
        <v>70</v>
      </c>
      <c r="Q60" s="53" t="s">
        <v>292</v>
      </c>
      <c r="R60" s="53" t="s">
        <v>84</v>
      </c>
      <c r="S60" s="53"/>
      <c r="T60" s="59">
        <v>1</v>
      </c>
      <c r="U60" s="59">
        <v>1</v>
      </c>
      <c r="V60" s="53">
        <v>24.1</v>
      </c>
      <c r="W60" s="53"/>
      <c r="X60" s="53"/>
      <c r="Y60" s="9">
        <f t="shared" si="0"/>
        <v>255.53847405238326</v>
      </c>
      <c r="Z60" s="60" t="s">
        <v>73</v>
      </c>
      <c r="AA60" s="58" t="s">
        <v>378</v>
      </c>
      <c r="AB60" s="58" t="s">
        <v>75</v>
      </c>
      <c r="AC60" s="61" t="s">
        <v>379</v>
      </c>
      <c r="AD60" s="53" t="s">
        <v>293</v>
      </c>
      <c r="AE60" s="56">
        <f t="shared" si="1"/>
        <v>373.43097985120988</v>
      </c>
      <c r="AF60" s="56">
        <v>373.43097985120988</v>
      </c>
      <c r="AG60" s="62"/>
      <c r="AH60" s="63"/>
      <c r="AI60" s="61"/>
      <c r="AJ60" s="58"/>
      <c r="AK60" s="58"/>
      <c r="AL60" s="58"/>
      <c r="AM60" s="58"/>
      <c r="AN60" s="58"/>
      <c r="AO60" s="58"/>
    </row>
    <row r="61" spans="1:41" x14ac:dyDescent="0.2">
      <c r="A61" s="49" t="s">
        <v>67</v>
      </c>
      <c r="B61" s="50">
        <v>43173</v>
      </c>
      <c r="C61" s="51">
        <v>0.69444444444444497</v>
      </c>
      <c r="D61" s="49" t="s">
        <v>219</v>
      </c>
      <c r="E61" s="49"/>
      <c r="F61" s="52">
        <v>59.5</v>
      </c>
      <c r="G61" s="53">
        <v>2</v>
      </c>
      <c r="H61" s="54">
        <v>3.3613445378151259E-2</v>
      </c>
      <c r="I61" s="55">
        <v>6.83E-2</v>
      </c>
      <c r="J61" s="53">
        <v>314.15899999999999</v>
      </c>
      <c r="K61" s="53">
        <v>0.61470000000000002</v>
      </c>
      <c r="L61" s="53">
        <v>9</v>
      </c>
      <c r="M61" s="56">
        <v>255.53847405238326</v>
      </c>
      <c r="N61" s="53">
        <v>1037</v>
      </c>
      <c r="O61" s="57" t="s">
        <v>86</v>
      </c>
      <c r="P61" s="57" t="s">
        <v>82</v>
      </c>
      <c r="Q61" s="53" t="s">
        <v>87</v>
      </c>
      <c r="R61" s="53" t="s">
        <v>84</v>
      </c>
      <c r="S61" s="53"/>
      <c r="T61" s="59">
        <v>7</v>
      </c>
      <c r="U61" s="59">
        <v>7</v>
      </c>
      <c r="V61" s="53">
        <v>2.8</v>
      </c>
      <c r="W61" s="53"/>
      <c r="X61" s="53"/>
      <c r="Y61" s="9">
        <f t="shared" si="0"/>
        <v>1788.7693183666827</v>
      </c>
      <c r="Z61" s="60" t="s">
        <v>73</v>
      </c>
      <c r="AA61" s="58" t="s">
        <v>378</v>
      </c>
      <c r="AB61" s="58" t="s">
        <v>75</v>
      </c>
      <c r="AC61" s="61" t="s">
        <v>380</v>
      </c>
      <c r="AD61" s="53" t="s">
        <v>85</v>
      </c>
      <c r="AE61" s="56">
        <f t="shared" si="1"/>
        <v>6.3706209216666645</v>
      </c>
      <c r="AF61" s="56">
        <v>6.3706209216666645</v>
      </c>
      <c r="AG61" s="62"/>
      <c r="AH61" s="63"/>
      <c r="AI61" s="61"/>
      <c r="AJ61" s="58"/>
      <c r="AK61" s="58"/>
      <c r="AL61" s="58"/>
      <c r="AM61" s="58"/>
      <c r="AN61" s="58"/>
      <c r="AO61" s="58"/>
    </row>
    <row r="62" spans="1:41" x14ac:dyDescent="0.2">
      <c r="A62" s="49" t="s">
        <v>67</v>
      </c>
      <c r="B62" s="50">
        <v>43173</v>
      </c>
      <c r="C62" s="51">
        <v>0.69444444444444497</v>
      </c>
      <c r="D62" s="49" t="s">
        <v>219</v>
      </c>
      <c r="E62" s="49"/>
      <c r="F62" s="52">
        <v>59.5</v>
      </c>
      <c r="G62" s="53">
        <v>2</v>
      </c>
      <c r="H62" s="54">
        <v>3.3613445378151259E-2</v>
      </c>
      <c r="I62" s="55">
        <v>6.83E-2</v>
      </c>
      <c r="J62" s="53">
        <v>314.15899999999999</v>
      </c>
      <c r="K62" s="53">
        <v>0.61470000000000002</v>
      </c>
      <c r="L62" s="53">
        <v>9</v>
      </c>
      <c r="M62" s="56">
        <v>255.53847405238326</v>
      </c>
      <c r="N62" s="53">
        <v>1419</v>
      </c>
      <c r="O62" s="57" t="s">
        <v>94</v>
      </c>
      <c r="P62" s="57" t="s">
        <v>82</v>
      </c>
      <c r="Q62" s="53" t="s">
        <v>95</v>
      </c>
      <c r="R62" s="53" t="s">
        <v>96</v>
      </c>
      <c r="S62" s="53"/>
      <c r="T62" s="59">
        <v>437</v>
      </c>
      <c r="U62" s="59">
        <v>876</v>
      </c>
      <c r="V62" s="53">
        <v>0.8</v>
      </c>
      <c r="W62" s="53">
        <v>0.8</v>
      </c>
      <c r="X62" s="53">
        <v>0.8</v>
      </c>
      <c r="Y62" s="9">
        <f t="shared" si="0"/>
        <v>111670.3131608915</v>
      </c>
      <c r="Z62" s="60" t="s">
        <v>97</v>
      </c>
      <c r="AA62" s="58" t="s">
        <v>378</v>
      </c>
      <c r="AB62" s="58" t="s">
        <v>75</v>
      </c>
      <c r="AC62" s="61" t="s">
        <v>380</v>
      </c>
      <c r="AD62" s="53" t="s">
        <v>85</v>
      </c>
      <c r="AE62" s="56">
        <f t="shared" si="1"/>
        <v>0.17999999999999997</v>
      </c>
      <c r="AF62" s="56">
        <v>0.18</v>
      </c>
      <c r="AG62" s="56">
        <v>0.18</v>
      </c>
      <c r="AH62" s="56">
        <v>0.18</v>
      </c>
      <c r="AI62" s="56">
        <v>0.18</v>
      </c>
      <c r="AJ62" s="56">
        <v>0.18</v>
      </c>
      <c r="AK62" s="56">
        <v>0.18</v>
      </c>
      <c r="AL62" s="56">
        <v>0.18</v>
      </c>
      <c r="AM62" s="56">
        <v>0.18</v>
      </c>
      <c r="AN62" s="56">
        <v>0.18</v>
      </c>
      <c r="AO62" s="56">
        <v>0.18</v>
      </c>
    </row>
    <row r="63" spans="1:41" x14ac:dyDescent="0.2">
      <c r="A63" s="49" t="s">
        <v>67</v>
      </c>
      <c r="B63" s="50">
        <v>43200</v>
      </c>
      <c r="C63" s="51">
        <v>0.54166666666666696</v>
      </c>
      <c r="D63" s="49" t="s">
        <v>204</v>
      </c>
      <c r="E63" s="49"/>
      <c r="F63" s="52">
        <v>60</v>
      </c>
      <c r="G63" s="53">
        <v>3</v>
      </c>
      <c r="H63" s="54">
        <v>0.05</v>
      </c>
      <c r="I63" s="55">
        <v>6.83E-2</v>
      </c>
      <c r="J63" s="53">
        <v>314.15899999999999</v>
      </c>
      <c r="K63" s="53">
        <v>1.1611</v>
      </c>
      <c r="L63" s="53">
        <v>17</v>
      </c>
      <c r="M63" s="56">
        <v>90.190049665547022</v>
      </c>
      <c r="N63" s="53">
        <v>190</v>
      </c>
      <c r="O63" s="57" t="s">
        <v>296</v>
      </c>
      <c r="P63" s="58" t="s">
        <v>70</v>
      </c>
      <c r="Q63" s="53" t="s">
        <v>103</v>
      </c>
      <c r="R63" s="53" t="s">
        <v>84</v>
      </c>
      <c r="S63" s="53"/>
      <c r="T63" s="59">
        <v>1</v>
      </c>
      <c r="U63" s="59">
        <v>1</v>
      </c>
      <c r="V63" s="53">
        <v>11.1</v>
      </c>
      <c r="W63" s="53"/>
      <c r="X63" s="53"/>
      <c r="Y63" s="9">
        <f t="shared" si="0"/>
        <v>90.190049665547036</v>
      </c>
      <c r="Z63" s="60" t="s">
        <v>73</v>
      </c>
      <c r="AA63" s="58" t="s">
        <v>358</v>
      </c>
      <c r="AB63" s="58" t="s">
        <v>75</v>
      </c>
      <c r="AC63" s="61" t="s">
        <v>115</v>
      </c>
      <c r="AD63" s="53" t="s">
        <v>104</v>
      </c>
      <c r="AE63" s="56">
        <f t="shared" si="1"/>
        <v>716.08931221499995</v>
      </c>
      <c r="AF63" s="56">
        <v>716.08931221499995</v>
      </c>
      <c r="AG63" s="62"/>
      <c r="AH63" s="63"/>
      <c r="AI63" s="61"/>
      <c r="AJ63" s="58"/>
      <c r="AK63" s="58"/>
      <c r="AL63" s="58"/>
      <c r="AM63" s="58"/>
      <c r="AN63" s="58"/>
      <c r="AO63" s="58"/>
    </row>
    <row r="64" spans="1:41" x14ac:dyDescent="0.2">
      <c r="A64" s="49" t="s">
        <v>67</v>
      </c>
      <c r="B64" s="50">
        <v>43200</v>
      </c>
      <c r="C64" s="51">
        <v>0.54166666666666696</v>
      </c>
      <c r="D64" s="49" t="s">
        <v>204</v>
      </c>
      <c r="E64" s="49"/>
      <c r="F64" s="52">
        <v>60</v>
      </c>
      <c r="G64" s="53">
        <v>3</v>
      </c>
      <c r="H64" s="54">
        <v>0.05</v>
      </c>
      <c r="I64" s="55">
        <v>6.83E-2</v>
      </c>
      <c r="J64" s="53">
        <v>314.15899999999999</v>
      </c>
      <c r="K64" s="53">
        <v>1.1611</v>
      </c>
      <c r="L64" s="53">
        <v>17</v>
      </c>
      <c r="M64" s="56">
        <v>90.190049665547022</v>
      </c>
      <c r="N64" s="53">
        <v>749</v>
      </c>
      <c r="O64" s="57" t="s">
        <v>190</v>
      </c>
      <c r="P64" s="58" t="s">
        <v>70</v>
      </c>
      <c r="Q64" s="53" t="s">
        <v>191</v>
      </c>
      <c r="R64" s="53" t="s">
        <v>84</v>
      </c>
      <c r="S64" s="53"/>
      <c r="T64" s="59">
        <v>1</v>
      </c>
      <c r="U64" s="59">
        <v>1</v>
      </c>
      <c r="V64" s="53">
        <v>24.1</v>
      </c>
      <c r="W64" s="53"/>
      <c r="X64" s="53"/>
      <c r="Y64" s="9">
        <f t="shared" si="0"/>
        <v>90.190049665547036</v>
      </c>
      <c r="Z64" s="60" t="s">
        <v>73</v>
      </c>
      <c r="AA64" s="58" t="s">
        <v>358</v>
      </c>
      <c r="AB64" s="58" t="s">
        <v>75</v>
      </c>
      <c r="AC64" s="61" t="s">
        <v>115</v>
      </c>
      <c r="AD64" s="53" t="s">
        <v>193</v>
      </c>
      <c r="AE64" s="56">
        <f t="shared" si="1"/>
        <v>205.09100000000001</v>
      </c>
      <c r="AF64" s="56">
        <v>205.09100000000001</v>
      </c>
      <c r="AG64" s="62"/>
      <c r="AH64" s="63"/>
      <c r="AI64" s="61"/>
      <c r="AJ64" s="58"/>
      <c r="AK64" s="58"/>
      <c r="AL64" s="58"/>
      <c r="AM64" s="58"/>
      <c r="AN64" s="58"/>
      <c r="AO64" s="58"/>
    </row>
    <row r="65" spans="1:41" x14ac:dyDescent="0.2">
      <c r="A65" s="49" t="s">
        <v>67</v>
      </c>
      <c r="B65" s="50">
        <v>43200</v>
      </c>
      <c r="C65" s="51">
        <v>0.54166666666666696</v>
      </c>
      <c r="D65" s="49" t="s">
        <v>204</v>
      </c>
      <c r="E65" s="49"/>
      <c r="F65" s="52">
        <v>60</v>
      </c>
      <c r="G65" s="53">
        <v>3</v>
      </c>
      <c r="H65" s="54">
        <v>0.05</v>
      </c>
      <c r="I65" s="55">
        <v>6.83E-2</v>
      </c>
      <c r="J65" s="53">
        <v>314.15899999999999</v>
      </c>
      <c r="K65" s="53">
        <v>1.1611</v>
      </c>
      <c r="L65" s="53">
        <v>17</v>
      </c>
      <c r="M65" s="56">
        <v>90.190049665547022</v>
      </c>
      <c r="N65" s="53">
        <v>1037</v>
      </c>
      <c r="O65" s="57" t="s">
        <v>243</v>
      </c>
      <c r="P65" s="57" t="s">
        <v>82</v>
      </c>
      <c r="Q65" s="53" t="s">
        <v>87</v>
      </c>
      <c r="R65" s="53" t="s">
        <v>84</v>
      </c>
      <c r="S65" s="53"/>
      <c r="T65" s="59">
        <v>51</v>
      </c>
      <c r="U65" s="59">
        <v>51</v>
      </c>
      <c r="V65" s="53">
        <v>2.8</v>
      </c>
      <c r="W65" s="53"/>
      <c r="X65" s="53"/>
      <c r="Y65" s="9">
        <f t="shared" si="0"/>
        <v>4599.6925329428996</v>
      </c>
      <c r="Z65" s="60" t="s">
        <v>73</v>
      </c>
      <c r="AA65" s="58" t="s">
        <v>358</v>
      </c>
      <c r="AB65" s="58" t="s">
        <v>75</v>
      </c>
      <c r="AC65" s="61" t="s">
        <v>115</v>
      </c>
      <c r="AD65" s="53" t="s">
        <v>85</v>
      </c>
      <c r="AE65" s="56">
        <f t="shared" si="1"/>
        <v>11.494030613333329</v>
      </c>
      <c r="AF65" s="56">
        <v>11.494030613333329</v>
      </c>
      <c r="AG65" s="62"/>
      <c r="AH65" s="63"/>
      <c r="AI65" s="61"/>
      <c r="AJ65" s="58"/>
      <c r="AK65" s="58"/>
      <c r="AL65" s="58"/>
      <c r="AM65" s="58"/>
      <c r="AN65" s="58"/>
      <c r="AO65" s="58"/>
    </row>
    <row r="66" spans="1:41" x14ac:dyDescent="0.2">
      <c r="A66" s="49" t="s">
        <v>67</v>
      </c>
      <c r="B66" s="50">
        <v>43200</v>
      </c>
      <c r="C66" s="51">
        <v>0.54166666666666696</v>
      </c>
      <c r="D66" s="49" t="s">
        <v>204</v>
      </c>
      <c r="E66" s="49"/>
      <c r="F66" s="52">
        <v>60</v>
      </c>
      <c r="G66" s="53">
        <v>3</v>
      </c>
      <c r="H66" s="54">
        <v>0.05</v>
      </c>
      <c r="I66" s="55">
        <v>6.83E-2</v>
      </c>
      <c r="J66" s="53">
        <v>314.15899999999999</v>
      </c>
      <c r="K66" s="53">
        <v>1.1611</v>
      </c>
      <c r="L66" s="53">
        <v>17</v>
      </c>
      <c r="M66" s="56">
        <v>90.190049665547022</v>
      </c>
      <c r="N66" s="53">
        <v>1733</v>
      </c>
      <c r="O66" s="57" t="s">
        <v>92</v>
      </c>
      <c r="P66" s="57" t="s">
        <v>82</v>
      </c>
      <c r="Q66" s="53" t="s">
        <v>89</v>
      </c>
      <c r="R66" s="53" t="s">
        <v>93</v>
      </c>
      <c r="S66" s="53"/>
      <c r="T66" s="59">
        <v>1</v>
      </c>
      <c r="U66" s="59">
        <v>1</v>
      </c>
      <c r="V66" s="53">
        <v>6.5</v>
      </c>
      <c r="W66" s="53"/>
      <c r="X66" s="53"/>
      <c r="Y66" s="9">
        <f t="shared" si="0"/>
        <v>90.190049665547036</v>
      </c>
      <c r="Z66" s="60" t="s">
        <v>73</v>
      </c>
      <c r="AA66" s="58" t="s">
        <v>358</v>
      </c>
      <c r="AB66" s="58" t="s">
        <v>75</v>
      </c>
      <c r="AC66" s="61" t="s">
        <v>115</v>
      </c>
      <c r="AD66" s="53" t="s">
        <v>91</v>
      </c>
      <c r="AE66" s="56">
        <f t="shared" si="1"/>
        <v>112.822350875</v>
      </c>
      <c r="AF66" s="56">
        <v>112.822350875</v>
      </c>
      <c r="AG66" s="62"/>
      <c r="AH66" s="63"/>
      <c r="AI66" s="61"/>
      <c r="AJ66" s="58"/>
      <c r="AK66" s="58"/>
      <c r="AL66" s="58"/>
      <c r="AM66" s="58"/>
      <c r="AN66" s="58"/>
      <c r="AO66" s="58"/>
    </row>
    <row r="67" spans="1:41" x14ac:dyDescent="0.2">
      <c r="A67" s="49" t="s">
        <v>67</v>
      </c>
      <c r="B67" s="50">
        <v>43200</v>
      </c>
      <c r="C67" s="51">
        <v>0.54166666666666696</v>
      </c>
      <c r="D67" s="49" t="s">
        <v>204</v>
      </c>
      <c r="E67" s="49"/>
      <c r="F67" s="52">
        <v>60</v>
      </c>
      <c r="G67" s="53">
        <v>3</v>
      </c>
      <c r="H67" s="54">
        <v>0.05</v>
      </c>
      <c r="I67" s="55">
        <v>6.83E-2</v>
      </c>
      <c r="J67" s="53">
        <v>314.15899999999999</v>
      </c>
      <c r="K67" s="53">
        <v>1.1611</v>
      </c>
      <c r="L67" s="53">
        <v>17</v>
      </c>
      <c r="M67" s="56">
        <v>90.190049665547022</v>
      </c>
      <c r="N67" s="53">
        <v>1419</v>
      </c>
      <c r="O67" s="57" t="s">
        <v>94</v>
      </c>
      <c r="P67" s="57" t="s">
        <v>82</v>
      </c>
      <c r="Q67" s="53" t="s">
        <v>95</v>
      </c>
      <c r="R67" s="53" t="s">
        <v>96</v>
      </c>
      <c r="S67" s="53"/>
      <c r="T67" s="59">
        <v>355</v>
      </c>
      <c r="U67" s="59">
        <v>716</v>
      </c>
      <c r="V67" s="53">
        <v>0.8</v>
      </c>
      <c r="W67" s="53">
        <v>0.8</v>
      </c>
      <c r="X67" s="53">
        <v>0.8</v>
      </c>
      <c r="Y67" s="9">
        <f t="shared" ref="Y67:Y130" si="2">(T67*J67)/(G67*I67*L67)</f>
        <v>32017.467631269199</v>
      </c>
      <c r="Z67" s="60" t="s">
        <v>97</v>
      </c>
      <c r="AA67" s="58" t="s">
        <v>358</v>
      </c>
      <c r="AB67" s="58" t="s">
        <v>75</v>
      </c>
      <c r="AC67" s="61" t="s">
        <v>115</v>
      </c>
      <c r="AD67" s="53" t="s">
        <v>85</v>
      </c>
      <c r="AE67" s="56">
        <f t="shared" ref="AE67:AE130" si="3">AVERAGE(AF67:AO67)</f>
        <v>0.17999999999999997</v>
      </c>
      <c r="AF67" s="56">
        <v>0.18</v>
      </c>
      <c r="AG67" s="56">
        <v>0.18</v>
      </c>
      <c r="AH67" s="56">
        <v>0.18</v>
      </c>
      <c r="AI67" s="56">
        <v>0.18</v>
      </c>
      <c r="AJ67" s="56">
        <v>0.18</v>
      </c>
      <c r="AK67" s="56">
        <v>0.18</v>
      </c>
      <c r="AL67" s="56">
        <v>0.18</v>
      </c>
      <c r="AM67" s="56">
        <v>0.18</v>
      </c>
      <c r="AN67" s="56">
        <v>0.18</v>
      </c>
      <c r="AO67" s="56">
        <v>0.18</v>
      </c>
    </row>
    <row r="68" spans="1:41" x14ac:dyDescent="0.2">
      <c r="A68" s="49" t="s">
        <v>67</v>
      </c>
      <c r="B68" s="50">
        <v>43200</v>
      </c>
      <c r="C68" s="51">
        <v>0.55208333333333304</v>
      </c>
      <c r="D68" s="50" t="s">
        <v>209</v>
      </c>
      <c r="E68" s="49">
        <v>3</v>
      </c>
      <c r="F68" s="52">
        <v>61</v>
      </c>
      <c r="G68" s="53">
        <v>2</v>
      </c>
      <c r="H68" s="54">
        <v>3.2786885245901641E-2</v>
      </c>
      <c r="I68" s="55">
        <v>6.83E-2</v>
      </c>
      <c r="J68" s="53">
        <v>314.15899999999999</v>
      </c>
      <c r="K68" s="53">
        <v>1.1611</v>
      </c>
      <c r="L68" s="53">
        <v>17</v>
      </c>
      <c r="M68" s="56">
        <v>135.28507449832054</v>
      </c>
      <c r="N68" s="53">
        <v>328</v>
      </c>
      <c r="O68" s="57" t="s">
        <v>351</v>
      </c>
      <c r="P68" s="58" t="s">
        <v>70</v>
      </c>
      <c r="Q68" s="53" t="s">
        <v>352</v>
      </c>
      <c r="R68" s="53" t="s">
        <v>353</v>
      </c>
      <c r="S68" s="53"/>
      <c r="T68" s="59">
        <v>1</v>
      </c>
      <c r="U68" s="59">
        <v>1</v>
      </c>
      <c r="V68" s="53">
        <v>42.6</v>
      </c>
      <c r="W68" s="53"/>
      <c r="X68" s="53"/>
      <c r="Y68" s="9">
        <f t="shared" si="2"/>
        <v>135.28507449832054</v>
      </c>
      <c r="Z68" s="60" t="s">
        <v>73</v>
      </c>
      <c r="AA68" s="58" t="s">
        <v>354</v>
      </c>
      <c r="AB68" s="58" t="s">
        <v>75</v>
      </c>
      <c r="AC68" s="61" t="s">
        <v>115</v>
      </c>
      <c r="AD68" s="53" t="s">
        <v>293</v>
      </c>
      <c r="AE68" s="56">
        <f t="shared" si="3"/>
        <v>1071.9193925426678</v>
      </c>
      <c r="AF68" s="56">
        <v>1071.9193925426678</v>
      </c>
      <c r="AG68" s="62"/>
      <c r="AH68" s="63"/>
      <c r="AI68" s="61"/>
      <c r="AJ68" s="58"/>
      <c r="AK68" s="58"/>
      <c r="AL68" s="58"/>
      <c r="AM68" s="58"/>
      <c r="AN68" s="58"/>
      <c r="AO68" s="58"/>
    </row>
    <row r="69" spans="1:41" x14ac:dyDescent="0.2">
      <c r="A69" s="49" t="s">
        <v>67</v>
      </c>
      <c r="B69" s="50">
        <v>43200</v>
      </c>
      <c r="C69" s="51">
        <v>0.55208333333333304</v>
      </c>
      <c r="D69" s="50" t="s">
        <v>209</v>
      </c>
      <c r="E69" s="49">
        <v>3</v>
      </c>
      <c r="F69" s="52">
        <v>61</v>
      </c>
      <c r="G69" s="53">
        <v>2</v>
      </c>
      <c r="H69" s="54">
        <v>3.2786885245901641E-2</v>
      </c>
      <c r="I69" s="55">
        <v>6.83E-2</v>
      </c>
      <c r="J69" s="53">
        <v>314.15899999999999</v>
      </c>
      <c r="K69" s="53">
        <v>1.1611</v>
      </c>
      <c r="L69" s="53">
        <v>17</v>
      </c>
      <c r="M69" s="56">
        <v>135.28507449832054</v>
      </c>
      <c r="N69" s="53">
        <v>1031</v>
      </c>
      <c r="O69" s="57" t="s">
        <v>81</v>
      </c>
      <c r="P69" s="57" t="s">
        <v>82</v>
      </c>
      <c r="Q69" s="53" t="s">
        <v>83</v>
      </c>
      <c r="R69" s="53" t="s">
        <v>84</v>
      </c>
      <c r="S69" s="53"/>
      <c r="T69" s="59">
        <v>1</v>
      </c>
      <c r="U69" s="59">
        <v>1</v>
      </c>
      <c r="V69" s="53">
        <v>4.5999999999999996</v>
      </c>
      <c r="W69" s="53"/>
      <c r="X69" s="53"/>
      <c r="Y69" s="9">
        <f t="shared" si="2"/>
        <v>135.28507449832054</v>
      </c>
      <c r="Z69" s="60" t="s">
        <v>73</v>
      </c>
      <c r="AA69" s="58" t="s">
        <v>354</v>
      </c>
      <c r="AB69" s="58" t="s">
        <v>75</v>
      </c>
      <c r="AC69" s="61" t="s">
        <v>115</v>
      </c>
      <c r="AD69" s="53" t="s">
        <v>85</v>
      </c>
      <c r="AE69" s="56">
        <f t="shared" si="3"/>
        <v>50.964967373333316</v>
      </c>
      <c r="AF69" s="56">
        <v>50.964967373333316</v>
      </c>
      <c r="AG69" s="62"/>
      <c r="AH69" s="63"/>
      <c r="AI69" s="61"/>
      <c r="AJ69" s="58"/>
      <c r="AK69" s="58"/>
      <c r="AL69" s="58"/>
      <c r="AM69" s="58"/>
      <c r="AN69" s="58"/>
      <c r="AO69" s="58"/>
    </row>
    <row r="70" spans="1:41" x14ac:dyDescent="0.2">
      <c r="A70" s="49" t="s">
        <v>67</v>
      </c>
      <c r="B70" s="50">
        <v>43200</v>
      </c>
      <c r="C70" s="51">
        <v>0.55208333333333304</v>
      </c>
      <c r="D70" s="50" t="s">
        <v>209</v>
      </c>
      <c r="E70" s="49">
        <v>3</v>
      </c>
      <c r="F70" s="52">
        <v>61</v>
      </c>
      <c r="G70" s="53">
        <v>2</v>
      </c>
      <c r="H70" s="54">
        <v>3.2786885245901641E-2</v>
      </c>
      <c r="I70" s="55">
        <v>6.83E-2</v>
      </c>
      <c r="J70" s="53">
        <v>314.15899999999999</v>
      </c>
      <c r="K70" s="53">
        <v>1.1611</v>
      </c>
      <c r="L70" s="53">
        <v>17</v>
      </c>
      <c r="M70" s="56">
        <v>135.28507449832054</v>
      </c>
      <c r="N70" s="53">
        <v>1037</v>
      </c>
      <c r="O70" s="57" t="s">
        <v>243</v>
      </c>
      <c r="P70" s="57" t="s">
        <v>82</v>
      </c>
      <c r="Q70" s="53" t="s">
        <v>87</v>
      </c>
      <c r="R70" s="53" t="s">
        <v>84</v>
      </c>
      <c r="S70" s="53"/>
      <c r="T70" s="59">
        <v>12</v>
      </c>
      <c r="U70" s="59">
        <v>12</v>
      </c>
      <c r="V70" s="53">
        <v>3.7</v>
      </c>
      <c r="W70" s="53"/>
      <c r="X70" s="53"/>
      <c r="Y70" s="9">
        <f t="shared" si="2"/>
        <v>1623.4208939798466</v>
      </c>
      <c r="Z70" s="60" t="s">
        <v>73</v>
      </c>
      <c r="AA70" s="58" t="s">
        <v>354</v>
      </c>
      <c r="AB70" s="58" t="s">
        <v>75</v>
      </c>
      <c r="AC70" s="61" t="s">
        <v>115</v>
      </c>
      <c r="AD70" s="53" t="s">
        <v>85</v>
      </c>
      <c r="AE70" s="56">
        <f t="shared" si="3"/>
        <v>17.157270186666665</v>
      </c>
      <c r="AF70" s="56">
        <v>17.157270186666665</v>
      </c>
      <c r="AG70" s="62"/>
      <c r="AH70" s="63"/>
      <c r="AI70" s="61"/>
      <c r="AJ70" s="58"/>
      <c r="AK70" s="58"/>
      <c r="AL70" s="58"/>
      <c r="AM70" s="58"/>
      <c r="AN70" s="58"/>
      <c r="AO70" s="58"/>
    </row>
    <row r="71" spans="1:41" x14ac:dyDescent="0.2">
      <c r="A71" s="49" t="s">
        <v>67</v>
      </c>
      <c r="B71" s="50">
        <v>43200</v>
      </c>
      <c r="C71" s="51">
        <v>0.55208333333333304</v>
      </c>
      <c r="D71" s="50" t="s">
        <v>209</v>
      </c>
      <c r="E71" s="49">
        <v>3</v>
      </c>
      <c r="F71" s="52">
        <v>61</v>
      </c>
      <c r="G71" s="53">
        <v>2</v>
      </c>
      <c r="H71" s="54">
        <v>3.2786885245901641E-2</v>
      </c>
      <c r="I71" s="55">
        <v>6.83E-2</v>
      </c>
      <c r="J71" s="53">
        <v>314.15899999999999</v>
      </c>
      <c r="K71" s="53">
        <v>1.1611</v>
      </c>
      <c r="L71" s="53">
        <v>17</v>
      </c>
      <c r="M71" s="56">
        <v>135.28507449832054</v>
      </c>
      <c r="N71" s="53">
        <v>1364</v>
      </c>
      <c r="O71" s="57" t="s">
        <v>88</v>
      </c>
      <c r="P71" s="57" t="s">
        <v>82</v>
      </c>
      <c r="Q71" s="53" t="s">
        <v>89</v>
      </c>
      <c r="R71" s="53" t="s">
        <v>90</v>
      </c>
      <c r="S71" s="53"/>
      <c r="T71" s="59">
        <v>2</v>
      </c>
      <c r="U71" s="59">
        <v>2</v>
      </c>
      <c r="V71" s="53">
        <v>10.199999999999999</v>
      </c>
      <c r="W71" s="53"/>
      <c r="X71" s="53"/>
      <c r="Y71" s="9">
        <f t="shared" si="2"/>
        <v>270.57014899664108</v>
      </c>
      <c r="Z71" s="60" t="s">
        <v>73</v>
      </c>
      <c r="AA71" s="58" t="s">
        <v>354</v>
      </c>
      <c r="AB71" s="58" t="s">
        <v>75</v>
      </c>
      <c r="AC71" s="61" t="s">
        <v>115</v>
      </c>
      <c r="AD71" s="53" t="s">
        <v>91</v>
      </c>
      <c r="AE71" s="56">
        <f t="shared" si="3"/>
        <v>387.20515628666669</v>
      </c>
      <c r="AF71" s="56">
        <v>387.20515628666669</v>
      </c>
      <c r="AG71" s="62"/>
      <c r="AH71" s="63"/>
      <c r="AI71" s="61"/>
      <c r="AJ71" s="58"/>
      <c r="AK71" s="58"/>
      <c r="AL71" s="58"/>
      <c r="AM71" s="58"/>
      <c r="AN71" s="58"/>
      <c r="AO71" s="58"/>
    </row>
    <row r="72" spans="1:41" x14ac:dyDescent="0.2">
      <c r="A72" s="49" t="s">
        <v>67</v>
      </c>
      <c r="B72" s="50">
        <v>43200</v>
      </c>
      <c r="C72" s="51">
        <v>0.55208333333333304</v>
      </c>
      <c r="D72" s="50" t="s">
        <v>209</v>
      </c>
      <c r="E72" s="49">
        <v>3</v>
      </c>
      <c r="F72" s="52">
        <v>61</v>
      </c>
      <c r="G72" s="53">
        <v>2</v>
      </c>
      <c r="H72" s="54">
        <v>3.2786885245901641E-2</v>
      </c>
      <c r="I72" s="55">
        <v>6.83E-2</v>
      </c>
      <c r="J72" s="53">
        <v>314.15899999999999</v>
      </c>
      <c r="K72" s="53">
        <v>1.1611</v>
      </c>
      <c r="L72" s="53">
        <v>17</v>
      </c>
      <c r="M72" s="56">
        <v>135.28507449832054</v>
      </c>
      <c r="N72" s="53">
        <v>1419</v>
      </c>
      <c r="O72" s="57" t="s">
        <v>94</v>
      </c>
      <c r="P72" s="57" t="s">
        <v>82</v>
      </c>
      <c r="Q72" s="53" t="s">
        <v>95</v>
      </c>
      <c r="R72" s="53" t="s">
        <v>96</v>
      </c>
      <c r="S72" s="53"/>
      <c r="T72" s="59">
        <v>407</v>
      </c>
      <c r="U72" s="59">
        <v>816</v>
      </c>
      <c r="V72" s="53">
        <v>0.8</v>
      </c>
      <c r="W72" s="53">
        <v>0.8</v>
      </c>
      <c r="X72" s="53">
        <v>0.8</v>
      </c>
      <c r="Y72" s="9">
        <f t="shared" si="2"/>
        <v>55061.025320816465</v>
      </c>
      <c r="Z72" s="60" t="s">
        <v>97</v>
      </c>
      <c r="AA72" s="58" t="s">
        <v>354</v>
      </c>
      <c r="AB72" s="58" t="s">
        <v>75</v>
      </c>
      <c r="AC72" s="61" t="s">
        <v>115</v>
      </c>
      <c r="AD72" s="53" t="s">
        <v>85</v>
      </c>
      <c r="AE72" s="56">
        <f t="shared" si="3"/>
        <v>0.17999999999999997</v>
      </c>
      <c r="AF72" s="56">
        <v>0.18</v>
      </c>
      <c r="AG72" s="56">
        <v>0.18</v>
      </c>
      <c r="AH72" s="56">
        <v>0.18</v>
      </c>
      <c r="AI72" s="56">
        <v>0.18</v>
      </c>
      <c r="AJ72" s="56">
        <v>0.18</v>
      </c>
      <c r="AK72" s="56">
        <v>0.18</v>
      </c>
      <c r="AL72" s="56">
        <v>0.18</v>
      </c>
      <c r="AM72" s="56">
        <v>0.18</v>
      </c>
      <c r="AN72" s="56">
        <v>0.18</v>
      </c>
      <c r="AO72" s="56">
        <v>0.18</v>
      </c>
    </row>
    <row r="73" spans="1:41" x14ac:dyDescent="0.2">
      <c r="A73" s="49" t="s">
        <v>67</v>
      </c>
      <c r="B73" s="50">
        <v>43200</v>
      </c>
      <c r="C73" s="51">
        <v>0.55208333333333304</v>
      </c>
      <c r="D73" s="50" t="s">
        <v>209</v>
      </c>
      <c r="E73" s="49">
        <v>3</v>
      </c>
      <c r="F73" s="52">
        <v>61</v>
      </c>
      <c r="G73" s="53">
        <v>2</v>
      </c>
      <c r="H73" s="54">
        <v>3.2786885245901641E-2</v>
      </c>
      <c r="I73" s="55">
        <v>6.83E-2</v>
      </c>
      <c r="J73" s="53">
        <v>314.15899999999999</v>
      </c>
      <c r="K73" s="53">
        <v>1.1611</v>
      </c>
      <c r="L73" s="53">
        <v>17</v>
      </c>
      <c r="M73" s="56">
        <v>135.28507449832054</v>
      </c>
      <c r="N73" s="53">
        <v>1519</v>
      </c>
      <c r="O73" s="58" t="s">
        <v>301</v>
      </c>
      <c r="P73" s="57" t="s">
        <v>82</v>
      </c>
      <c r="Q73" s="53" t="s">
        <v>302</v>
      </c>
      <c r="R73" s="53" t="s">
        <v>84</v>
      </c>
      <c r="S73" s="53"/>
      <c r="T73" s="59">
        <v>1</v>
      </c>
      <c r="U73" s="59">
        <v>7</v>
      </c>
      <c r="V73" s="53">
        <v>0.9</v>
      </c>
      <c r="W73" s="53"/>
      <c r="X73" s="53"/>
      <c r="Y73" s="9">
        <f t="shared" si="2"/>
        <v>135.28507449832054</v>
      </c>
      <c r="Z73" s="60" t="s">
        <v>97</v>
      </c>
      <c r="AA73" s="58" t="s">
        <v>354</v>
      </c>
      <c r="AB73" s="58" t="s">
        <v>75</v>
      </c>
      <c r="AC73" s="61" t="s">
        <v>115</v>
      </c>
      <c r="AD73" s="53" t="s">
        <v>85</v>
      </c>
      <c r="AE73" s="56">
        <f t="shared" si="3"/>
        <v>0.381703185</v>
      </c>
      <c r="AF73" s="56">
        <v>0.381703185</v>
      </c>
      <c r="AG73" s="62"/>
      <c r="AH73" s="63"/>
      <c r="AI73" s="61"/>
      <c r="AJ73" s="58"/>
      <c r="AK73" s="58"/>
      <c r="AL73" s="58"/>
      <c r="AM73" s="58"/>
      <c r="AN73" s="58"/>
      <c r="AO73" s="58"/>
    </row>
    <row r="74" spans="1:41" x14ac:dyDescent="0.2">
      <c r="A74" s="49" t="s">
        <v>67</v>
      </c>
      <c r="B74" s="50">
        <v>43200</v>
      </c>
      <c r="C74" s="51">
        <v>0.55208333333333304</v>
      </c>
      <c r="D74" s="50" t="s">
        <v>209</v>
      </c>
      <c r="E74" s="49">
        <v>3</v>
      </c>
      <c r="F74" s="52">
        <v>61</v>
      </c>
      <c r="G74" s="53">
        <v>2</v>
      </c>
      <c r="H74" s="54">
        <v>3.2786885245901641E-2</v>
      </c>
      <c r="I74" s="55">
        <v>6.83E-2</v>
      </c>
      <c r="J74" s="53">
        <v>314.15899999999999</v>
      </c>
      <c r="K74" s="53">
        <v>1.1611</v>
      </c>
      <c r="L74" s="53">
        <v>17</v>
      </c>
      <c r="M74" s="56">
        <v>135.28507449832054</v>
      </c>
      <c r="N74" s="53">
        <v>1588</v>
      </c>
      <c r="O74" s="57" t="s">
        <v>355</v>
      </c>
      <c r="P74" s="57" t="s">
        <v>82</v>
      </c>
      <c r="Q74" s="53" t="s">
        <v>356</v>
      </c>
      <c r="R74" s="53" t="s">
        <v>84</v>
      </c>
      <c r="S74" s="53"/>
      <c r="T74" s="59">
        <v>1</v>
      </c>
      <c r="U74" s="59">
        <v>1</v>
      </c>
      <c r="V74" s="53">
        <v>6.5</v>
      </c>
      <c r="W74" s="53"/>
      <c r="X74" s="53"/>
      <c r="Y74" s="9">
        <f t="shared" si="2"/>
        <v>135.28507449832054</v>
      </c>
      <c r="Z74" s="60" t="s">
        <v>73</v>
      </c>
      <c r="AA74" s="58" t="s">
        <v>354</v>
      </c>
      <c r="AB74" s="58" t="s">
        <v>75</v>
      </c>
      <c r="AC74" s="61" t="s">
        <v>115</v>
      </c>
      <c r="AD74" s="53" t="s">
        <v>150</v>
      </c>
      <c r="AE74" s="56">
        <f t="shared" si="3"/>
        <v>87.671304933333303</v>
      </c>
      <c r="AF74" s="56">
        <v>87.671304933333303</v>
      </c>
      <c r="AG74" s="62"/>
      <c r="AH74" s="63"/>
      <c r="AI74" s="61"/>
      <c r="AJ74" s="58"/>
      <c r="AK74" s="58"/>
      <c r="AL74" s="58"/>
      <c r="AM74" s="58"/>
      <c r="AN74" s="58"/>
      <c r="AO74" s="58"/>
    </row>
    <row r="75" spans="1:41" x14ac:dyDescent="0.2">
      <c r="A75" s="49" t="s">
        <v>67</v>
      </c>
      <c r="B75" s="50">
        <v>43200</v>
      </c>
      <c r="C75" s="51">
        <v>0.57638888888888895</v>
      </c>
      <c r="D75" s="49" t="s">
        <v>202</v>
      </c>
      <c r="E75" s="49">
        <v>3</v>
      </c>
      <c r="F75" s="52">
        <v>83</v>
      </c>
      <c r="G75" s="53">
        <v>2</v>
      </c>
      <c r="H75" s="54">
        <v>2.4096385542168676E-2</v>
      </c>
      <c r="I75" s="55">
        <v>6.83E-2</v>
      </c>
      <c r="J75" s="53">
        <v>314.15899999999999</v>
      </c>
      <c r="K75" s="53">
        <v>0.68300000000000005</v>
      </c>
      <c r="L75" s="53">
        <v>10</v>
      </c>
      <c r="M75" s="56">
        <v>229.98462664714492</v>
      </c>
      <c r="N75" s="53">
        <v>46</v>
      </c>
      <c r="O75" s="57" t="s">
        <v>109</v>
      </c>
      <c r="P75" s="58" t="s">
        <v>70</v>
      </c>
      <c r="Q75" s="53" t="s">
        <v>110</v>
      </c>
      <c r="R75" s="53" t="s">
        <v>84</v>
      </c>
      <c r="S75" s="53"/>
      <c r="T75" s="59">
        <v>1</v>
      </c>
      <c r="U75" s="59">
        <v>1</v>
      </c>
      <c r="V75" s="53">
        <v>11.1</v>
      </c>
      <c r="W75" s="53"/>
      <c r="X75" s="53"/>
      <c r="Y75" s="9">
        <f t="shared" si="2"/>
        <v>229.98462664714492</v>
      </c>
      <c r="Z75" s="60" t="s">
        <v>73</v>
      </c>
      <c r="AA75" s="58" t="s">
        <v>337</v>
      </c>
      <c r="AB75" s="58" t="s">
        <v>75</v>
      </c>
      <c r="AC75" s="61" t="s">
        <v>281</v>
      </c>
      <c r="AD75" s="53" t="s">
        <v>77</v>
      </c>
      <c r="AE75" s="56">
        <f t="shared" si="3"/>
        <v>119.34821870249999</v>
      </c>
      <c r="AF75" s="56">
        <v>119.34821870249999</v>
      </c>
      <c r="AG75" s="62"/>
      <c r="AH75" s="63"/>
      <c r="AI75" s="61"/>
      <c r="AJ75" s="58"/>
      <c r="AK75" s="58"/>
      <c r="AL75" s="58"/>
      <c r="AM75" s="58"/>
      <c r="AN75" s="58"/>
      <c r="AO75" s="58"/>
    </row>
    <row r="76" spans="1:41" x14ac:dyDescent="0.2">
      <c r="A76" s="49" t="s">
        <v>67</v>
      </c>
      <c r="B76" s="50">
        <v>43200</v>
      </c>
      <c r="C76" s="51">
        <v>0.57638888888888895</v>
      </c>
      <c r="D76" s="49" t="s">
        <v>202</v>
      </c>
      <c r="E76" s="49">
        <v>3</v>
      </c>
      <c r="F76" s="52">
        <v>83</v>
      </c>
      <c r="G76" s="53">
        <v>2</v>
      </c>
      <c r="H76" s="54">
        <v>2.4096385542168676E-2</v>
      </c>
      <c r="I76" s="55">
        <v>6.83E-2</v>
      </c>
      <c r="J76" s="53">
        <v>314.15899999999999</v>
      </c>
      <c r="K76" s="53">
        <v>0.68300000000000005</v>
      </c>
      <c r="L76" s="53">
        <v>10</v>
      </c>
      <c r="M76" s="56">
        <v>229.98462664714492</v>
      </c>
      <c r="N76" s="53">
        <v>749</v>
      </c>
      <c r="O76" s="57" t="s">
        <v>190</v>
      </c>
      <c r="P76" s="58" t="s">
        <v>70</v>
      </c>
      <c r="Q76" s="53" t="s">
        <v>191</v>
      </c>
      <c r="R76" s="53" t="s">
        <v>84</v>
      </c>
      <c r="S76" s="53"/>
      <c r="T76" s="59">
        <v>1</v>
      </c>
      <c r="U76" s="59">
        <v>1</v>
      </c>
      <c r="V76" s="53">
        <v>25.9</v>
      </c>
      <c r="W76" s="53"/>
      <c r="X76" s="53"/>
      <c r="Y76" s="9">
        <f t="shared" si="2"/>
        <v>229.98462664714492</v>
      </c>
      <c r="Z76" s="60" t="s">
        <v>73</v>
      </c>
      <c r="AA76" s="58" t="s">
        <v>337</v>
      </c>
      <c r="AB76" s="58" t="s">
        <v>75</v>
      </c>
      <c r="AC76" s="61" t="s">
        <v>281</v>
      </c>
      <c r="AD76" s="53" t="s">
        <v>193</v>
      </c>
      <c r="AE76" s="56">
        <f t="shared" si="3"/>
        <v>177.28550000000001</v>
      </c>
      <c r="AF76" s="56">
        <v>177.28550000000001</v>
      </c>
      <c r="AG76" s="62"/>
      <c r="AH76" s="63"/>
      <c r="AI76" s="61"/>
      <c r="AJ76" s="58"/>
      <c r="AK76" s="58"/>
      <c r="AL76" s="58"/>
      <c r="AM76" s="58"/>
      <c r="AN76" s="58"/>
      <c r="AO76" s="58"/>
    </row>
    <row r="77" spans="1:41" x14ac:dyDescent="0.2">
      <c r="A77" s="49" t="s">
        <v>67</v>
      </c>
      <c r="B77" s="50">
        <v>43200</v>
      </c>
      <c r="C77" s="51">
        <v>0.57638888888888895</v>
      </c>
      <c r="D77" s="49" t="s">
        <v>202</v>
      </c>
      <c r="E77" s="49">
        <v>3</v>
      </c>
      <c r="F77" s="52">
        <v>83</v>
      </c>
      <c r="G77" s="53">
        <v>2</v>
      </c>
      <c r="H77" s="54">
        <v>2.4096385542168676E-2</v>
      </c>
      <c r="I77" s="55">
        <v>6.83E-2</v>
      </c>
      <c r="J77" s="53">
        <v>314.15899999999999</v>
      </c>
      <c r="K77" s="53">
        <v>0.68300000000000005</v>
      </c>
      <c r="L77" s="53">
        <v>10</v>
      </c>
      <c r="M77" s="56">
        <v>229.98462664714492</v>
      </c>
      <c r="N77" s="53">
        <v>870</v>
      </c>
      <c r="O77" s="57" t="s">
        <v>338</v>
      </c>
      <c r="P77" s="58" t="s">
        <v>70</v>
      </c>
      <c r="Q77" s="53" t="s">
        <v>339</v>
      </c>
      <c r="R77" s="53" t="s">
        <v>84</v>
      </c>
      <c r="S77" s="53"/>
      <c r="T77" s="59">
        <v>1</v>
      </c>
      <c r="U77" s="59">
        <v>1</v>
      </c>
      <c r="V77" s="53">
        <v>20.399999999999999</v>
      </c>
      <c r="W77" s="53"/>
      <c r="X77" s="53"/>
      <c r="Y77" s="9">
        <f t="shared" si="2"/>
        <v>229.98462664714492</v>
      </c>
      <c r="Z77" s="60" t="s">
        <v>73</v>
      </c>
      <c r="AA77" s="58" t="s">
        <v>337</v>
      </c>
      <c r="AB77" s="58" t="s">
        <v>75</v>
      </c>
      <c r="AC77" s="61" t="s">
        <v>281</v>
      </c>
      <c r="AD77" s="53" t="s">
        <v>340</v>
      </c>
      <c r="AE77" s="56">
        <f t="shared" si="3"/>
        <v>219.34267220999999</v>
      </c>
      <c r="AF77" s="56">
        <v>219.34267220999999</v>
      </c>
      <c r="AG77" s="62"/>
      <c r="AH77" s="63"/>
      <c r="AI77" s="61"/>
      <c r="AJ77" s="58"/>
      <c r="AK77" s="58"/>
      <c r="AL77" s="58"/>
      <c r="AM77" s="58"/>
      <c r="AN77" s="58"/>
      <c r="AO77" s="58"/>
    </row>
    <row r="78" spans="1:41" x14ac:dyDescent="0.2">
      <c r="A78" s="49" t="s">
        <v>67</v>
      </c>
      <c r="B78" s="50">
        <v>43200</v>
      </c>
      <c r="C78" s="51">
        <v>0.57638888888888895</v>
      </c>
      <c r="D78" s="49" t="s">
        <v>202</v>
      </c>
      <c r="E78" s="49">
        <v>3</v>
      </c>
      <c r="F78" s="52">
        <v>83</v>
      </c>
      <c r="G78" s="53">
        <v>2</v>
      </c>
      <c r="H78" s="54">
        <v>2.4096385542168676E-2</v>
      </c>
      <c r="I78" s="55">
        <v>6.83E-2</v>
      </c>
      <c r="J78" s="53">
        <v>314.15899999999999</v>
      </c>
      <c r="K78" s="53">
        <v>0.68300000000000005</v>
      </c>
      <c r="L78" s="53">
        <v>10</v>
      </c>
      <c r="M78" s="56">
        <v>229.98462664714492</v>
      </c>
      <c r="N78" s="53">
        <v>1031</v>
      </c>
      <c r="O78" s="57" t="s">
        <v>81</v>
      </c>
      <c r="P78" s="57" t="s">
        <v>82</v>
      </c>
      <c r="Q78" s="53" t="s">
        <v>83</v>
      </c>
      <c r="R78" s="53" t="s">
        <v>84</v>
      </c>
      <c r="S78" s="53"/>
      <c r="T78" s="59">
        <v>2</v>
      </c>
      <c r="U78" s="59">
        <v>2</v>
      </c>
      <c r="V78" s="53">
        <v>6.5</v>
      </c>
      <c r="W78" s="53"/>
      <c r="X78" s="53"/>
      <c r="Y78" s="9">
        <f t="shared" si="2"/>
        <v>459.96925329428984</v>
      </c>
      <c r="Z78" s="60" t="s">
        <v>73</v>
      </c>
      <c r="AA78" s="58" t="s">
        <v>337</v>
      </c>
      <c r="AB78" s="58" t="s">
        <v>75</v>
      </c>
      <c r="AC78" s="61" t="s">
        <v>281</v>
      </c>
      <c r="AD78" s="53" t="s">
        <v>85</v>
      </c>
      <c r="AE78" s="56">
        <f t="shared" si="3"/>
        <v>82.276147706666634</v>
      </c>
      <c r="AF78" s="56">
        <v>82.276147706666634</v>
      </c>
      <c r="AG78" s="62"/>
      <c r="AH78" s="63"/>
      <c r="AI78" s="61"/>
      <c r="AJ78" s="58"/>
      <c r="AK78" s="58"/>
      <c r="AL78" s="58"/>
      <c r="AM78" s="58"/>
      <c r="AN78" s="58"/>
      <c r="AO78" s="58"/>
    </row>
    <row r="79" spans="1:41" x14ac:dyDescent="0.2">
      <c r="A79" s="49" t="s">
        <v>67</v>
      </c>
      <c r="B79" s="50">
        <v>43200</v>
      </c>
      <c r="C79" s="51">
        <v>0.57638888888888895</v>
      </c>
      <c r="D79" s="49" t="s">
        <v>202</v>
      </c>
      <c r="E79" s="49">
        <v>3</v>
      </c>
      <c r="F79" s="52">
        <v>83</v>
      </c>
      <c r="G79" s="53">
        <v>2</v>
      </c>
      <c r="H79" s="54">
        <v>2.4096385542168676E-2</v>
      </c>
      <c r="I79" s="55">
        <v>6.83E-2</v>
      </c>
      <c r="J79" s="53">
        <v>314.15899999999999</v>
      </c>
      <c r="K79" s="53">
        <v>0.68300000000000005</v>
      </c>
      <c r="L79" s="53">
        <v>10</v>
      </c>
      <c r="M79" s="56">
        <v>229.98462664714492</v>
      </c>
      <c r="N79" s="53">
        <v>1037</v>
      </c>
      <c r="O79" s="57" t="s">
        <v>86</v>
      </c>
      <c r="P79" s="57" t="s">
        <v>82</v>
      </c>
      <c r="Q79" s="53" t="s">
        <v>87</v>
      </c>
      <c r="R79" s="53" t="s">
        <v>84</v>
      </c>
      <c r="S79" s="53"/>
      <c r="T79" s="59">
        <v>10</v>
      </c>
      <c r="U79" s="59">
        <v>10</v>
      </c>
      <c r="V79" s="53">
        <v>3.7</v>
      </c>
      <c r="W79" s="53"/>
      <c r="X79" s="53"/>
      <c r="Y79" s="9">
        <f t="shared" si="2"/>
        <v>2299.8462664714493</v>
      </c>
      <c r="Z79" s="60" t="s">
        <v>73</v>
      </c>
      <c r="AA79" s="58" t="s">
        <v>337</v>
      </c>
      <c r="AB79" s="58" t="s">
        <v>75</v>
      </c>
      <c r="AC79" s="61" t="s">
        <v>281</v>
      </c>
      <c r="AD79" s="53" t="s">
        <v>85</v>
      </c>
      <c r="AE79" s="56">
        <f t="shared" si="3"/>
        <v>7.2382233599999992</v>
      </c>
      <c r="AF79" s="56">
        <v>7.2382233599999992</v>
      </c>
      <c r="AG79" s="62"/>
      <c r="AH79" s="63"/>
      <c r="AI79" s="61"/>
      <c r="AJ79" s="58"/>
      <c r="AK79" s="58"/>
      <c r="AL79" s="58"/>
      <c r="AM79" s="58"/>
      <c r="AN79" s="58"/>
      <c r="AO79" s="58"/>
    </row>
    <row r="80" spans="1:41" x14ac:dyDescent="0.2">
      <c r="A80" s="49" t="s">
        <v>67</v>
      </c>
      <c r="B80" s="50">
        <v>43200</v>
      </c>
      <c r="C80" s="51">
        <v>0.57638888888888895</v>
      </c>
      <c r="D80" s="49" t="s">
        <v>202</v>
      </c>
      <c r="E80" s="49">
        <v>3</v>
      </c>
      <c r="F80" s="52">
        <v>83</v>
      </c>
      <c r="G80" s="53">
        <v>2</v>
      </c>
      <c r="H80" s="54">
        <v>2.4096385542168676E-2</v>
      </c>
      <c r="I80" s="55">
        <v>6.83E-2</v>
      </c>
      <c r="J80" s="53">
        <v>314.15899999999999</v>
      </c>
      <c r="K80" s="53">
        <v>0.68300000000000005</v>
      </c>
      <c r="L80" s="53">
        <v>10</v>
      </c>
      <c r="M80" s="56">
        <v>229.98462664714492</v>
      </c>
      <c r="N80" s="53">
        <v>1364</v>
      </c>
      <c r="O80" s="57" t="s">
        <v>88</v>
      </c>
      <c r="P80" s="57" t="s">
        <v>82</v>
      </c>
      <c r="Q80" s="53" t="s">
        <v>89</v>
      </c>
      <c r="R80" s="53" t="s">
        <v>90</v>
      </c>
      <c r="S80" s="53"/>
      <c r="T80" s="59">
        <v>1</v>
      </c>
      <c r="U80" s="59">
        <v>1</v>
      </c>
      <c r="V80" s="53">
        <v>9.3000000000000007</v>
      </c>
      <c r="W80" s="53"/>
      <c r="X80" s="53"/>
      <c r="Y80" s="9">
        <f t="shared" si="2"/>
        <v>229.98462664714492</v>
      </c>
      <c r="Z80" s="60" t="s">
        <v>73</v>
      </c>
      <c r="AA80" s="58" t="s">
        <v>337</v>
      </c>
      <c r="AB80" s="58" t="s">
        <v>75</v>
      </c>
      <c r="AC80" s="61" t="s">
        <v>281</v>
      </c>
      <c r="AD80" s="53" t="s">
        <v>91</v>
      </c>
      <c r="AE80" s="56">
        <f t="shared" si="3"/>
        <v>337.38084788249995</v>
      </c>
      <c r="AF80" s="56">
        <v>337.38084788249995</v>
      </c>
      <c r="AG80" s="62"/>
      <c r="AH80" s="63"/>
      <c r="AI80" s="61"/>
      <c r="AJ80" s="58"/>
      <c r="AK80" s="58"/>
      <c r="AL80" s="58"/>
      <c r="AM80" s="58"/>
      <c r="AN80" s="58"/>
      <c r="AO80" s="58"/>
    </row>
    <row r="81" spans="1:41" x14ac:dyDescent="0.2">
      <c r="A81" s="49" t="s">
        <v>67</v>
      </c>
      <c r="B81" s="50">
        <v>43200</v>
      </c>
      <c r="C81" s="51">
        <v>0.57638888888888895</v>
      </c>
      <c r="D81" s="49" t="s">
        <v>202</v>
      </c>
      <c r="E81" s="49">
        <v>3</v>
      </c>
      <c r="F81" s="52">
        <v>83</v>
      </c>
      <c r="G81" s="53">
        <v>2</v>
      </c>
      <c r="H81" s="54">
        <v>2.4096385542168676E-2</v>
      </c>
      <c r="I81" s="55">
        <v>6.83E-2</v>
      </c>
      <c r="J81" s="53">
        <v>314.15899999999999</v>
      </c>
      <c r="K81" s="53">
        <v>0.68300000000000005</v>
      </c>
      <c r="L81" s="53">
        <v>10</v>
      </c>
      <c r="M81" s="56">
        <v>229.98462664714492</v>
      </c>
      <c r="N81" s="53">
        <v>1733</v>
      </c>
      <c r="O81" s="57" t="s">
        <v>92</v>
      </c>
      <c r="P81" s="57" t="s">
        <v>82</v>
      </c>
      <c r="Q81" s="53" t="s">
        <v>89</v>
      </c>
      <c r="R81" s="53" t="s">
        <v>93</v>
      </c>
      <c r="S81" s="53"/>
      <c r="T81" s="59">
        <v>2</v>
      </c>
      <c r="U81" s="59">
        <v>2</v>
      </c>
      <c r="V81" s="53">
        <v>5.6</v>
      </c>
      <c r="W81" s="53"/>
      <c r="X81" s="53"/>
      <c r="Y81" s="9">
        <f t="shared" si="2"/>
        <v>459.96925329428984</v>
      </c>
      <c r="Z81" s="60" t="s">
        <v>73</v>
      </c>
      <c r="AA81" s="58" t="s">
        <v>337</v>
      </c>
      <c r="AB81" s="58" t="s">
        <v>75</v>
      </c>
      <c r="AC81" s="61" t="s">
        <v>281</v>
      </c>
      <c r="AD81" s="53" t="s">
        <v>91</v>
      </c>
      <c r="AE81" s="56">
        <f t="shared" si="3"/>
        <v>59.922687659999987</v>
      </c>
      <c r="AF81" s="56">
        <v>59.922687659999987</v>
      </c>
      <c r="AG81" s="62"/>
      <c r="AH81" s="63"/>
      <c r="AI81" s="61"/>
      <c r="AJ81" s="58"/>
      <c r="AK81" s="58"/>
      <c r="AL81" s="58"/>
      <c r="AM81" s="58"/>
      <c r="AN81" s="58"/>
      <c r="AO81" s="58"/>
    </row>
    <row r="82" spans="1:41" x14ac:dyDescent="0.2">
      <c r="A82" s="49" t="s">
        <v>67</v>
      </c>
      <c r="B82" s="50">
        <v>43200</v>
      </c>
      <c r="C82" s="51">
        <v>0.57638888888888895</v>
      </c>
      <c r="D82" s="49" t="s">
        <v>202</v>
      </c>
      <c r="E82" s="49">
        <v>3</v>
      </c>
      <c r="F82" s="52">
        <v>83</v>
      </c>
      <c r="G82" s="53">
        <v>2</v>
      </c>
      <c r="H82" s="54">
        <v>2.4096385542168676E-2</v>
      </c>
      <c r="I82" s="55">
        <v>6.83E-2</v>
      </c>
      <c r="J82" s="53">
        <v>314.15899999999999</v>
      </c>
      <c r="K82" s="53">
        <v>0.68300000000000005</v>
      </c>
      <c r="L82" s="53">
        <v>10</v>
      </c>
      <c r="M82" s="56">
        <v>229.98462664714492</v>
      </c>
      <c r="N82" s="53">
        <v>1419</v>
      </c>
      <c r="O82" s="57" t="s">
        <v>94</v>
      </c>
      <c r="P82" s="57" t="s">
        <v>82</v>
      </c>
      <c r="Q82" s="53" t="s">
        <v>95</v>
      </c>
      <c r="R82" s="53" t="s">
        <v>96</v>
      </c>
      <c r="S82" s="53"/>
      <c r="T82" s="59">
        <v>426</v>
      </c>
      <c r="U82" s="59">
        <v>854</v>
      </c>
      <c r="V82" s="53">
        <v>0.8</v>
      </c>
      <c r="W82" s="53">
        <v>0.8</v>
      </c>
      <c r="X82" s="53">
        <v>0.8</v>
      </c>
      <c r="Y82" s="9">
        <f t="shared" si="2"/>
        <v>97973.450951683742</v>
      </c>
      <c r="Z82" s="60" t="s">
        <v>97</v>
      </c>
      <c r="AA82" s="58" t="s">
        <v>337</v>
      </c>
      <c r="AB82" s="58" t="s">
        <v>75</v>
      </c>
      <c r="AC82" s="61" t="s">
        <v>281</v>
      </c>
      <c r="AD82" s="53" t="s">
        <v>85</v>
      </c>
      <c r="AE82" s="56">
        <f t="shared" si="3"/>
        <v>0.17999999999999997</v>
      </c>
      <c r="AF82" s="56">
        <v>0.18</v>
      </c>
      <c r="AG82" s="56">
        <v>0.18</v>
      </c>
      <c r="AH82" s="56">
        <v>0.18</v>
      </c>
      <c r="AI82" s="56">
        <v>0.18</v>
      </c>
      <c r="AJ82" s="56">
        <v>0.18</v>
      </c>
      <c r="AK82" s="56">
        <v>0.18</v>
      </c>
      <c r="AL82" s="56">
        <v>0.18</v>
      </c>
      <c r="AM82" s="56">
        <v>0.18</v>
      </c>
      <c r="AN82" s="56">
        <v>0.18</v>
      </c>
      <c r="AO82" s="56">
        <v>0.18</v>
      </c>
    </row>
    <row r="83" spans="1:41" x14ac:dyDescent="0.2">
      <c r="A83" s="49" t="s">
        <v>67</v>
      </c>
      <c r="B83" s="50">
        <v>43200</v>
      </c>
      <c r="C83" s="51">
        <v>0.59375</v>
      </c>
      <c r="D83" s="49" t="s">
        <v>158</v>
      </c>
      <c r="E83" s="49"/>
      <c r="F83" s="52">
        <v>60</v>
      </c>
      <c r="G83" s="53">
        <v>3</v>
      </c>
      <c r="H83" s="54">
        <v>0.05</v>
      </c>
      <c r="I83" s="55">
        <v>6.83E-2</v>
      </c>
      <c r="J83" s="53">
        <v>314.15899999999999</v>
      </c>
      <c r="K83" s="53">
        <v>0.95619999999999994</v>
      </c>
      <c r="L83" s="53">
        <v>14</v>
      </c>
      <c r="M83" s="56">
        <v>109.51648887959283</v>
      </c>
      <c r="N83" s="53">
        <v>145</v>
      </c>
      <c r="O83" s="57" t="s">
        <v>69</v>
      </c>
      <c r="P83" s="58" t="s">
        <v>70</v>
      </c>
      <c r="Q83" s="53" t="s">
        <v>71</v>
      </c>
      <c r="R83" s="53" t="s">
        <v>72</v>
      </c>
      <c r="S83" s="53"/>
      <c r="T83" s="59">
        <v>2</v>
      </c>
      <c r="U83" s="59">
        <v>2</v>
      </c>
      <c r="V83" s="53">
        <v>22.1</v>
      </c>
      <c r="W83" s="53"/>
      <c r="X83" s="53"/>
      <c r="Y83" s="9">
        <f t="shared" si="2"/>
        <v>219.03297775918568</v>
      </c>
      <c r="Z83" s="60" t="s">
        <v>73</v>
      </c>
      <c r="AA83" s="58" t="s">
        <v>357</v>
      </c>
      <c r="AB83" s="58" t="s">
        <v>75</v>
      </c>
      <c r="AC83" s="61" t="s">
        <v>112</v>
      </c>
      <c r="AD83" s="53" t="s">
        <v>77</v>
      </c>
      <c r="AE83" s="56">
        <f t="shared" si="3"/>
        <v>804.66330067500007</v>
      </c>
      <c r="AF83" s="56">
        <v>804.66330067500007</v>
      </c>
      <c r="AG83" s="62"/>
      <c r="AH83" s="63"/>
      <c r="AI83" s="61"/>
      <c r="AJ83" s="58"/>
      <c r="AK83" s="58"/>
      <c r="AL83" s="58"/>
      <c r="AM83" s="58"/>
      <c r="AN83" s="58"/>
      <c r="AO83" s="58"/>
    </row>
    <row r="84" spans="1:41" x14ac:dyDescent="0.2">
      <c r="A84" s="49" t="s">
        <v>67</v>
      </c>
      <c r="B84" s="50">
        <v>43200</v>
      </c>
      <c r="C84" s="51">
        <v>0.59375</v>
      </c>
      <c r="D84" s="49" t="s">
        <v>158</v>
      </c>
      <c r="E84" s="49"/>
      <c r="F84" s="52">
        <v>60</v>
      </c>
      <c r="G84" s="53">
        <v>3</v>
      </c>
      <c r="H84" s="54">
        <v>0.05</v>
      </c>
      <c r="I84" s="55">
        <v>6.83E-2</v>
      </c>
      <c r="J84" s="53">
        <v>314.15899999999999</v>
      </c>
      <c r="K84" s="53">
        <v>0.95619999999999994</v>
      </c>
      <c r="L84" s="53">
        <v>14</v>
      </c>
      <c r="M84" s="56">
        <v>109.51648887959283</v>
      </c>
      <c r="N84" s="53">
        <v>190</v>
      </c>
      <c r="O84" s="57" t="s">
        <v>102</v>
      </c>
      <c r="P84" s="58" t="s">
        <v>70</v>
      </c>
      <c r="Q84" s="53" t="s">
        <v>103</v>
      </c>
      <c r="R84" s="53" t="s">
        <v>84</v>
      </c>
      <c r="S84" s="53"/>
      <c r="T84" s="59">
        <v>1</v>
      </c>
      <c r="U84" s="59">
        <v>1</v>
      </c>
      <c r="V84" s="53">
        <v>5.6</v>
      </c>
      <c r="W84" s="53"/>
      <c r="X84" s="53"/>
      <c r="Y84" s="9">
        <f t="shared" si="2"/>
        <v>109.51648887959284</v>
      </c>
      <c r="Z84" s="60" t="s">
        <v>73</v>
      </c>
      <c r="AA84" s="58" t="s">
        <v>357</v>
      </c>
      <c r="AB84" s="58" t="s">
        <v>75</v>
      </c>
      <c r="AC84" s="61" t="s">
        <v>112</v>
      </c>
      <c r="AD84" s="53" t="s">
        <v>104</v>
      </c>
      <c r="AE84" s="56">
        <f t="shared" si="3"/>
        <v>91.131242719999989</v>
      </c>
      <c r="AF84" s="56">
        <v>91.131242719999989</v>
      </c>
      <c r="AG84" s="62"/>
      <c r="AH84" s="63"/>
      <c r="AI84" s="61"/>
      <c r="AJ84" s="58"/>
      <c r="AK84" s="58"/>
      <c r="AL84" s="58"/>
      <c r="AM84" s="58"/>
      <c r="AN84" s="58"/>
      <c r="AO84" s="58"/>
    </row>
    <row r="85" spans="1:41" x14ac:dyDescent="0.2">
      <c r="A85" s="49" t="s">
        <v>67</v>
      </c>
      <c r="B85" s="50">
        <v>43200</v>
      </c>
      <c r="C85" s="51">
        <v>0.59375</v>
      </c>
      <c r="D85" s="49" t="s">
        <v>158</v>
      </c>
      <c r="E85" s="49"/>
      <c r="F85" s="52">
        <v>60</v>
      </c>
      <c r="G85" s="53">
        <v>3</v>
      </c>
      <c r="H85" s="54">
        <v>0.05</v>
      </c>
      <c r="I85" s="55">
        <v>6.83E-2</v>
      </c>
      <c r="J85" s="53">
        <v>314.15899999999999</v>
      </c>
      <c r="K85" s="53">
        <v>0.95619999999999994</v>
      </c>
      <c r="L85" s="53">
        <v>14</v>
      </c>
      <c r="M85" s="56">
        <v>109.51648887959283</v>
      </c>
      <c r="N85" s="53">
        <v>749</v>
      </c>
      <c r="O85" s="57" t="s">
        <v>190</v>
      </c>
      <c r="P85" s="58" t="s">
        <v>70</v>
      </c>
      <c r="Q85" s="53" t="s">
        <v>191</v>
      </c>
      <c r="R85" s="53" t="s">
        <v>84</v>
      </c>
      <c r="S85" s="53"/>
      <c r="T85" s="59">
        <v>1</v>
      </c>
      <c r="U85" s="59">
        <v>1</v>
      </c>
      <c r="V85" s="53">
        <v>18.5</v>
      </c>
      <c r="W85" s="53"/>
      <c r="X85" s="53"/>
      <c r="Y85" s="9">
        <f t="shared" si="2"/>
        <v>109.51648887959284</v>
      </c>
      <c r="Z85" s="60" t="s">
        <v>73</v>
      </c>
      <c r="AA85" s="58" t="s">
        <v>357</v>
      </c>
      <c r="AB85" s="58" t="s">
        <v>75</v>
      </c>
      <c r="AC85" s="61" t="s">
        <v>112</v>
      </c>
      <c r="AD85" s="53" t="s">
        <v>193</v>
      </c>
      <c r="AE85" s="56">
        <f t="shared" si="3"/>
        <v>126.63250000000001</v>
      </c>
      <c r="AF85" s="56">
        <v>126.63250000000001</v>
      </c>
      <c r="AG85" s="62"/>
      <c r="AH85" s="63"/>
      <c r="AI85" s="61"/>
      <c r="AJ85" s="58"/>
      <c r="AK85" s="58"/>
      <c r="AL85" s="58"/>
      <c r="AM85" s="58"/>
      <c r="AN85" s="58"/>
      <c r="AO85" s="58"/>
    </row>
    <row r="86" spans="1:41" x14ac:dyDescent="0.2">
      <c r="A86" s="49" t="s">
        <v>67</v>
      </c>
      <c r="B86" s="50">
        <v>43200</v>
      </c>
      <c r="C86" s="51">
        <v>0.59375</v>
      </c>
      <c r="D86" s="49" t="s">
        <v>158</v>
      </c>
      <c r="E86" s="49"/>
      <c r="F86" s="52">
        <v>60</v>
      </c>
      <c r="G86" s="53">
        <v>3</v>
      </c>
      <c r="H86" s="54">
        <v>0.05</v>
      </c>
      <c r="I86" s="55">
        <v>6.83E-2</v>
      </c>
      <c r="J86" s="53">
        <v>314.15899999999999</v>
      </c>
      <c r="K86" s="53">
        <v>0.95619999999999994</v>
      </c>
      <c r="L86" s="53">
        <v>14</v>
      </c>
      <c r="M86" s="56">
        <v>109.51648887959283</v>
      </c>
      <c r="N86" s="53">
        <v>1037</v>
      </c>
      <c r="O86" s="57" t="s">
        <v>86</v>
      </c>
      <c r="P86" s="57" t="s">
        <v>82</v>
      </c>
      <c r="Q86" s="53" t="s">
        <v>87</v>
      </c>
      <c r="R86" s="53" t="s">
        <v>84</v>
      </c>
      <c r="S86" s="53"/>
      <c r="T86" s="59">
        <v>22</v>
      </c>
      <c r="U86" s="59">
        <v>22</v>
      </c>
      <c r="V86" s="53">
        <v>3.7</v>
      </c>
      <c r="W86" s="53"/>
      <c r="X86" s="53"/>
      <c r="Y86" s="9">
        <f t="shared" si="2"/>
        <v>2409.3627553510423</v>
      </c>
      <c r="Z86" s="60" t="s">
        <v>73</v>
      </c>
      <c r="AA86" s="58" t="s">
        <v>357</v>
      </c>
      <c r="AB86" s="58" t="s">
        <v>75</v>
      </c>
      <c r="AC86" s="61" t="s">
        <v>112</v>
      </c>
      <c r="AD86" s="53" t="s">
        <v>85</v>
      </c>
      <c r="AE86" s="56">
        <f t="shared" si="3"/>
        <v>14.137154999999998</v>
      </c>
      <c r="AF86" s="56">
        <v>14.137154999999998</v>
      </c>
      <c r="AG86" s="62"/>
      <c r="AH86" s="63"/>
      <c r="AI86" s="61"/>
      <c r="AJ86" s="58"/>
      <c r="AK86" s="58"/>
      <c r="AL86" s="58"/>
      <c r="AM86" s="58"/>
      <c r="AN86" s="58"/>
      <c r="AO86" s="58"/>
    </row>
    <row r="87" spans="1:41" x14ac:dyDescent="0.2">
      <c r="A87" s="49" t="s">
        <v>67</v>
      </c>
      <c r="B87" s="50">
        <v>43200</v>
      </c>
      <c r="C87" s="51">
        <v>0.59375</v>
      </c>
      <c r="D87" s="49" t="s">
        <v>158</v>
      </c>
      <c r="E87" s="49"/>
      <c r="F87" s="52">
        <v>60</v>
      </c>
      <c r="G87" s="53">
        <v>3</v>
      </c>
      <c r="H87" s="54">
        <v>0.05</v>
      </c>
      <c r="I87" s="55">
        <v>6.83E-2</v>
      </c>
      <c r="J87" s="53">
        <v>314.15899999999999</v>
      </c>
      <c r="K87" s="53">
        <v>0.95619999999999994</v>
      </c>
      <c r="L87" s="53">
        <v>14</v>
      </c>
      <c r="M87" s="56">
        <v>109.51648887959283</v>
      </c>
      <c r="N87" s="53">
        <v>1806</v>
      </c>
      <c r="O87" s="57" t="s">
        <v>206</v>
      </c>
      <c r="P87" s="57" t="s">
        <v>82</v>
      </c>
      <c r="Q87" s="53" t="s">
        <v>207</v>
      </c>
      <c r="R87" s="53" t="s">
        <v>84</v>
      </c>
      <c r="S87" s="53"/>
      <c r="T87" s="59">
        <v>1</v>
      </c>
      <c r="U87" s="59">
        <v>1</v>
      </c>
      <c r="V87" s="53">
        <v>3.7</v>
      </c>
      <c r="W87" s="53"/>
      <c r="X87" s="53"/>
      <c r="Y87" s="9">
        <f t="shared" si="2"/>
        <v>109.51648887959284</v>
      </c>
      <c r="Z87" s="60" t="s">
        <v>73</v>
      </c>
      <c r="AA87" s="58" t="s">
        <v>357</v>
      </c>
      <c r="AB87" s="58" t="s">
        <v>75</v>
      </c>
      <c r="AC87" s="61" t="s">
        <v>112</v>
      </c>
      <c r="AD87" s="53" t="s">
        <v>120</v>
      </c>
      <c r="AE87" s="56">
        <f t="shared" si="3"/>
        <v>26.521826378333333</v>
      </c>
      <c r="AF87" s="56">
        <v>26.521826378333333</v>
      </c>
      <c r="AG87" s="62"/>
      <c r="AH87" s="63"/>
      <c r="AI87" s="61"/>
      <c r="AJ87" s="58"/>
      <c r="AK87" s="58"/>
      <c r="AL87" s="58"/>
      <c r="AM87" s="58"/>
      <c r="AN87" s="58"/>
      <c r="AO87" s="58"/>
    </row>
    <row r="88" spans="1:41" x14ac:dyDescent="0.2">
      <c r="A88" s="49" t="s">
        <v>67</v>
      </c>
      <c r="B88" s="50">
        <v>43200</v>
      </c>
      <c r="C88" s="51">
        <v>0.59375</v>
      </c>
      <c r="D88" s="49" t="s">
        <v>158</v>
      </c>
      <c r="E88" s="49"/>
      <c r="F88" s="52">
        <v>60</v>
      </c>
      <c r="G88" s="53">
        <v>3</v>
      </c>
      <c r="H88" s="54">
        <v>0.05</v>
      </c>
      <c r="I88" s="55">
        <v>6.83E-2</v>
      </c>
      <c r="J88" s="53">
        <v>314.15899999999999</v>
      </c>
      <c r="K88" s="53">
        <v>0.95619999999999994</v>
      </c>
      <c r="L88" s="53">
        <v>14</v>
      </c>
      <c r="M88" s="56">
        <v>109.51648887959283</v>
      </c>
      <c r="N88" s="53">
        <v>1692</v>
      </c>
      <c r="O88" s="58" t="s">
        <v>179</v>
      </c>
      <c r="P88" s="57" t="s">
        <v>82</v>
      </c>
      <c r="Q88" s="53" t="s">
        <v>180</v>
      </c>
      <c r="R88" s="53" t="s">
        <v>84</v>
      </c>
      <c r="S88" s="53"/>
      <c r="T88" s="59">
        <v>1</v>
      </c>
      <c r="U88" s="59">
        <v>1</v>
      </c>
      <c r="V88" s="53">
        <v>5.6</v>
      </c>
      <c r="W88" s="53"/>
      <c r="X88" s="53"/>
      <c r="Y88" s="9">
        <f t="shared" si="2"/>
        <v>109.51648887959284</v>
      </c>
      <c r="Z88" s="60" t="s">
        <v>73</v>
      </c>
      <c r="AA88" s="58" t="s">
        <v>357</v>
      </c>
      <c r="AB88" s="58" t="s">
        <v>75</v>
      </c>
      <c r="AC88" s="61" t="s">
        <v>112</v>
      </c>
      <c r="AD88" s="53" t="s">
        <v>120</v>
      </c>
      <c r="AE88" s="56">
        <f t="shared" si="3"/>
        <v>40.141142626666664</v>
      </c>
      <c r="AF88" s="56">
        <v>40.141142626666664</v>
      </c>
      <c r="AG88" s="62"/>
      <c r="AH88" s="63"/>
      <c r="AI88" s="61"/>
      <c r="AJ88" s="58"/>
      <c r="AK88" s="58"/>
      <c r="AL88" s="58"/>
      <c r="AM88" s="58"/>
      <c r="AN88" s="58"/>
      <c r="AO88" s="58"/>
    </row>
    <row r="89" spans="1:41" x14ac:dyDescent="0.2">
      <c r="A89" s="49" t="s">
        <v>67</v>
      </c>
      <c r="B89" s="50">
        <v>43200</v>
      </c>
      <c r="C89" s="51">
        <v>0.59375</v>
      </c>
      <c r="D89" s="49" t="s">
        <v>158</v>
      </c>
      <c r="E89" s="49"/>
      <c r="F89" s="52">
        <v>60</v>
      </c>
      <c r="G89" s="53">
        <v>3</v>
      </c>
      <c r="H89" s="54">
        <v>0.05</v>
      </c>
      <c r="I89" s="55">
        <v>6.83E-2</v>
      </c>
      <c r="J89" s="53">
        <v>314.15899999999999</v>
      </c>
      <c r="K89" s="53">
        <v>0.95619999999999994</v>
      </c>
      <c r="L89" s="53">
        <v>14</v>
      </c>
      <c r="M89" s="56">
        <v>109.51648887959283</v>
      </c>
      <c r="N89" s="53">
        <v>1364</v>
      </c>
      <c r="O89" s="57" t="s">
        <v>88</v>
      </c>
      <c r="P89" s="57" t="s">
        <v>82</v>
      </c>
      <c r="Q89" s="53" t="s">
        <v>89</v>
      </c>
      <c r="R89" s="53" t="s">
        <v>90</v>
      </c>
      <c r="S89" s="53"/>
      <c r="T89" s="59">
        <v>3</v>
      </c>
      <c r="U89" s="59">
        <v>3</v>
      </c>
      <c r="V89" s="53">
        <v>11.1</v>
      </c>
      <c r="W89" s="53"/>
      <c r="X89" s="53"/>
      <c r="Y89" s="9">
        <f t="shared" si="2"/>
        <v>328.54946663877848</v>
      </c>
      <c r="Z89" s="60" t="s">
        <v>73</v>
      </c>
      <c r="AA89" s="58" t="s">
        <v>357</v>
      </c>
      <c r="AB89" s="58" t="s">
        <v>75</v>
      </c>
      <c r="AC89" s="61" t="s">
        <v>112</v>
      </c>
      <c r="AD89" s="53" t="s">
        <v>91</v>
      </c>
      <c r="AE89" s="56">
        <f t="shared" si="3"/>
        <v>397.71351303749998</v>
      </c>
      <c r="AF89" s="56">
        <v>397.71351303749998</v>
      </c>
      <c r="AG89" s="62"/>
      <c r="AH89" s="63"/>
      <c r="AI89" s="61"/>
      <c r="AJ89" s="58"/>
      <c r="AK89" s="58"/>
      <c r="AL89" s="58"/>
      <c r="AM89" s="58"/>
      <c r="AN89" s="58"/>
      <c r="AO89" s="58"/>
    </row>
    <row r="90" spans="1:41" x14ac:dyDescent="0.2">
      <c r="A90" s="49" t="s">
        <v>67</v>
      </c>
      <c r="B90" s="50">
        <v>43200</v>
      </c>
      <c r="C90" s="51">
        <v>0.59375</v>
      </c>
      <c r="D90" s="49" t="s">
        <v>158</v>
      </c>
      <c r="E90" s="49"/>
      <c r="F90" s="52">
        <v>60</v>
      </c>
      <c r="G90" s="53">
        <v>3</v>
      </c>
      <c r="H90" s="54">
        <v>0.05</v>
      </c>
      <c r="I90" s="55">
        <v>6.83E-2</v>
      </c>
      <c r="J90" s="53">
        <v>314.15899999999999</v>
      </c>
      <c r="K90" s="53">
        <v>0.95619999999999994</v>
      </c>
      <c r="L90" s="53">
        <v>14</v>
      </c>
      <c r="M90" s="56">
        <v>109.51648887959283</v>
      </c>
      <c r="N90" s="53">
        <v>1419</v>
      </c>
      <c r="O90" s="57" t="s">
        <v>94</v>
      </c>
      <c r="P90" s="57" t="s">
        <v>82</v>
      </c>
      <c r="Q90" s="53" t="s">
        <v>95</v>
      </c>
      <c r="R90" s="53" t="s">
        <v>96</v>
      </c>
      <c r="S90" s="53"/>
      <c r="T90" s="59">
        <v>372</v>
      </c>
      <c r="U90" s="59">
        <v>744</v>
      </c>
      <c r="V90" s="53">
        <v>0.8</v>
      </c>
      <c r="W90" s="53">
        <v>0.8</v>
      </c>
      <c r="X90" s="53">
        <v>0.8</v>
      </c>
      <c r="Y90" s="9">
        <f t="shared" si="2"/>
        <v>40740.133863208539</v>
      </c>
      <c r="Z90" s="60" t="s">
        <v>97</v>
      </c>
      <c r="AA90" s="58" t="s">
        <v>357</v>
      </c>
      <c r="AB90" s="58" t="s">
        <v>75</v>
      </c>
      <c r="AC90" s="61" t="s">
        <v>112</v>
      </c>
      <c r="AD90" s="53" t="s">
        <v>85</v>
      </c>
      <c r="AE90" s="56">
        <f t="shared" si="3"/>
        <v>0.17999999999999997</v>
      </c>
      <c r="AF90" s="56">
        <v>0.18</v>
      </c>
      <c r="AG90" s="56">
        <v>0.18</v>
      </c>
      <c r="AH90" s="56">
        <v>0.18</v>
      </c>
      <c r="AI90" s="56">
        <v>0.18</v>
      </c>
      <c r="AJ90" s="56">
        <v>0.18</v>
      </c>
      <c r="AK90" s="56">
        <v>0.18</v>
      </c>
      <c r="AL90" s="56">
        <v>0.18</v>
      </c>
      <c r="AM90" s="56">
        <v>0.18</v>
      </c>
      <c r="AN90" s="56">
        <v>0.18</v>
      </c>
      <c r="AO90" s="56">
        <v>0.18</v>
      </c>
    </row>
    <row r="91" spans="1:41" x14ac:dyDescent="0.2">
      <c r="A91" s="49" t="s">
        <v>67</v>
      </c>
      <c r="B91" s="50">
        <v>43200</v>
      </c>
      <c r="C91" s="51">
        <v>0.59375</v>
      </c>
      <c r="D91" s="49" t="s">
        <v>158</v>
      </c>
      <c r="E91" s="49"/>
      <c r="F91" s="52">
        <v>60</v>
      </c>
      <c r="G91" s="53">
        <v>3</v>
      </c>
      <c r="H91" s="54">
        <v>0.05</v>
      </c>
      <c r="I91" s="55">
        <v>6.83E-2</v>
      </c>
      <c r="J91" s="53">
        <v>314.15899999999999</v>
      </c>
      <c r="K91" s="53">
        <v>0.95619999999999994</v>
      </c>
      <c r="L91" s="53">
        <v>14</v>
      </c>
      <c r="M91" s="56">
        <v>109.51648887959283</v>
      </c>
      <c r="N91" s="53">
        <v>1423</v>
      </c>
      <c r="O91" s="57" t="s">
        <v>163</v>
      </c>
      <c r="P91" s="57" t="s">
        <v>82</v>
      </c>
      <c r="Q91" s="53" t="s">
        <v>95</v>
      </c>
      <c r="R91" s="53" t="s">
        <v>84</v>
      </c>
      <c r="S91" s="53"/>
      <c r="T91" s="59">
        <v>1</v>
      </c>
      <c r="U91" s="59">
        <v>1</v>
      </c>
      <c r="V91" s="53">
        <v>3.7</v>
      </c>
      <c r="W91" s="53"/>
      <c r="X91" s="53"/>
      <c r="Y91" s="9">
        <f t="shared" si="2"/>
        <v>109.51648887959284</v>
      </c>
      <c r="Z91" s="60" t="s">
        <v>73</v>
      </c>
      <c r="AA91" s="58" t="s">
        <v>357</v>
      </c>
      <c r="AB91" s="58" t="s">
        <v>75</v>
      </c>
      <c r="AC91" s="61" t="s">
        <v>112</v>
      </c>
      <c r="AD91" s="53" t="s">
        <v>85</v>
      </c>
      <c r="AE91" s="56">
        <f t="shared" si="3"/>
        <v>26.521826378333333</v>
      </c>
      <c r="AF91" s="56">
        <v>26.521826378333333</v>
      </c>
      <c r="AG91" s="62"/>
      <c r="AH91" s="63"/>
      <c r="AI91" s="61"/>
      <c r="AJ91" s="58"/>
      <c r="AK91" s="58"/>
      <c r="AL91" s="58"/>
      <c r="AM91" s="58"/>
      <c r="AN91" s="58"/>
      <c r="AO91" s="58"/>
    </row>
    <row r="92" spans="1:41" x14ac:dyDescent="0.2">
      <c r="A92" s="69" t="s">
        <v>67</v>
      </c>
      <c r="B92" s="74">
        <v>43200</v>
      </c>
      <c r="C92" s="75">
        <v>0.61319444444444404</v>
      </c>
      <c r="D92" s="69" t="s">
        <v>68</v>
      </c>
      <c r="E92" s="69">
        <v>3</v>
      </c>
      <c r="F92" s="76">
        <v>64</v>
      </c>
      <c r="G92" s="69">
        <v>2</v>
      </c>
      <c r="H92" s="77">
        <v>3.125E-2</v>
      </c>
      <c r="I92" s="78">
        <v>6.83E-2</v>
      </c>
      <c r="J92" s="69">
        <v>314.15899999999999</v>
      </c>
      <c r="K92" s="69">
        <v>0.47809999999999997</v>
      </c>
      <c r="L92" s="69">
        <v>7</v>
      </c>
      <c r="M92" s="79">
        <v>328.54946663877848</v>
      </c>
      <c r="N92" s="69">
        <v>190</v>
      </c>
      <c r="O92" s="80" t="s">
        <v>102</v>
      </c>
      <c r="P92" s="81" t="s">
        <v>70</v>
      </c>
      <c r="Q92" s="69" t="s">
        <v>103</v>
      </c>
      <c r="R92" s="69" t="s">
        <v>84</v>
      </c>
      <c r="S92" s="69"/>
      <c r="T92" s="60">
        <v>1</v>
      </c>
      <c r="U92" s="60">
        <v>1</v>
      </c>
      <c r="V92" s="69">
        <v>4.5999999999999996</v>
      </c>
      <c r="W92" s="69"/>
      <c r="X92" s="69"/>
      <c r="Y92" s="9">
        <f t="shared" si="2"/>
        <v>328.54946663877848</v>
      </c>
      <c r="Z92" s="60" t="s">
        <v>73</v>
      </c>
      <c r="AA92" s="58" t="s">
        <v>384</v>
      </c>
      <c r="AB92" s="81" t="s">
        <v>75</v>
      </c>
      <c r="AC92" s="82" t="s">
        <v>76</v>
      </c>
      <c r="AD92" s="69" t="s">
        <v>104</v>
      </c>
      <c r="AE92" s="56">
        <f t="shared" si="3"/>
        <v>61.490341069999992</v>
      </c>
      <c r="AF92" s="79">
        <v>61.490341069999992</v>
      </c>
      <c r="AG92" s="83"/>
      <c r="AH92" s="84"/>
      <c r="AI92" s="82"/>
      <c r="AJ92" s="81"/>
      <c r="AK92" s="81"/>
      <c r="AL92" s="81"/>
      <c r="AM92" s="81"/>
      <c r="AN92" s="81"/>
      <c r="AO92" s="81"/>
    </row>
    <row r="93" spans="1:41" x14ac:dyDescent="0.2">
      <c r="A93" s="69" t="s">
        <v>67</v>
      </c>
      <c r="B93" s="74">
        <v>43200</v>
      </c>
      <c r="C93" s="75">
        <v>0.61319444444444404</v>
      </c>
      <c r="D93" s="69" t="s">
        <v>68</v>
      </c>
      <c r="E93" s="69">
        <v>3</v>
      </c>
      <c r="F93" s="76">
        <v>64</v>
      </c>
      <c r="G93" s="69">
        <v>2</v>
      </c>
      <c r="H93" s="77">
        <v>3.125E-2</v>
      </c>
      <c r="I93" s="78">
        <v>6.83E-2</v>
      </c>
      <c r="J93" s="69">
        <v>314.15899999999999</v>
      </c>
      <c r="K93" s="69">
        <v>0.47809999999999997</v>
      </c>
      <c r="L93" s="69">
        <v>7</v>
      </c>
      <c r="M93" s="79">
        <v>328.54946663877848</v>
      </c>
      <c r="N93" s="69">
        <v>1037</v>
      </c>
      <c r="O93" s="80" t="s">
        <v>86</v>
      </c>
      <c r="P93" s="80" t="s">
        <v>82</v>
      </c>
      <c r="Q93" s="69" t="s">
        <v>87</v>
      </c>
      <c r="R93" s="69" t="s">
        <v>84</v>
      </c>
      <c r="S93" s="69"/>
      <c r="T93" s="60">
        <v>7</v>
      </c>
      <c r="U93" s="60">
        <v>7</v>
      </c>
      <c r="V93" s="69">
        <v>3</v>
      </c>
      <c r="W93" s="69"/>
      <c r="X93" s="69"/>
      <c r="Y93" s="9">
        <f t="shared" si="2"/>
        <v>2299.8462664714493</v>
      </c>
      <c r="Z93" s="60" t="s">
        <v>73</v>
      </c>
      <c r="AA93" s="58" t="s">
        <v>384</v>
      </c>
      <c r="AB93" s="81" t="s">
        <v>75</v>
      </c>
      <c r="AC93" s="82" t="s">
        <v>76</v>
      </c>
      <c r="AD93" s="69" t="s">
        <v>85</v>
      </c>
      <c r="AE93" s="56">
        <f t="shared" si="3"/>
        <v>14.137154999999998</v>
      </c>
      <c r="AF93" s="79">
        <v>14.137154999999998</v>
      </c>
      <c r="AG93" s="83"/>
      <c r="AH93" s="84"/>
      <c r="AI93" s="82"/>
      <c r="AJ93" s="81"/>
      <c r="AK93" s="81"/>
      <c r="AL93" s="81"/>
      <c r="AM93" s="81"/>
      <c r="AN93" s="81"/>
      <c r="AO93" s="81"/>
    </row>
    <row r="94" spans="1:41" x14ac:dyDescent="0.2">
      <c r="A94" s="69" t="s">
        <v>67</v>
      </c>
      <c r="B94" s="74">
        <v>43200</v>
      </c>
      <c r="C94" s="75">
        <v>0.61319444444444404</v>
      </c>
      <c r="D94" s="69" t="s">
        <v>68</v>
      </c>
      <c r="E94" s="69">
        <v>3</v>
      </c>
      <c r="F94" s="76">
        <v>64</v>
      </c>
      <c r="G94" s="69">
        <v>2</v>
      </c>
      <c r="H94" s="77">
        <v>3.125E-2</v>
      </c>
      <c r="I94" s="78">
        <v>6.83E-2</v>
      </c>
      <c r="J94" s="69">
        <v>314.15899999999999</v>
      </c>
      <c r="K94" s="69">
        <v>0.47809999999999997</v>
      </c>
      <c r="L94" s="69">
        <v>7</v>
      </c>
      <c r="M94" s="79">
        <v>328.54946663877848</v>
      </c>
      <c r="N94" s="69">
        <v>1235</v>
      </c>
      <c r="O94" s="80" t="s">
        <v>216</v>
      </c>
      <c r="P94" s="80" t="s">
        <v>82</v>
      </c>
      <c r="Q94" s="69" t="s">
        <v>217</v>
      </c>
      <c r="R94" s="69" t="s">
        <v>84</v>
      </c>
      <c r="S94" s="69"/>
      <c r="T94" s="60">
        <v>1</v>
      </c>
      <c r="U94" s="60">
        <v>4</v>
      </c>
      <c r="V94" s="69">
        <v>4.5999999999999996</v>
      </c>
      <c r="W94" s="69"/>
      <c r="X94" s="69"/>
      <c r="Y94" s="9">
        <f t="shared" si="2"/>
        <v>328.54946663877848</v>
      </c>
      <c r="Z94" s="60" t="s">
        <v>97</v>
      </c>
      <c r="AA94" s="58" t="s">
        <v>384</v>
      </c>
      <c r="AB94" s="81" t="s">
        <v>75</v>
      </c>
      <c r="AC94" s="82" t="s">
        <v>76</v>
      </c>
      <c r="AD94" s="69" t="s">
        <v>120</v>
      </c>
      <c r="AE94" s="56">
        <f t="shared" si="3"/>
        <v>1.9509273899999997</v>
      </c>
      <c r="AF94" s="79">
        <v>1.9509273899999997</v>
      </c>
      <c r="AG94" s="83"/>
      <c r="AH94" s="84"/>
      <c r="AI94" s="82"/>
      <c r="AJ94" s="81"/>
      <c r="AK94" s="81"/>
      <c r="AL94" s="81"/>
      <c r="AM94" s="81"/>
      <c r="AN94" s="81"/>
      <c r="AO94" s="81"/>
    </row>
    <row r="95" spans="1:41" x14ac:dyDescent="0.2">
      <c r="A95" s="69" t="s">
        <v>67</v>
      </c>
      <c r="B95" s="74">
        <v>43200</v>
      </c>
      <c r="C95" s="75">
        <v>0.61319444444444404</v>
      </c>
      <c r="D95" s="69" t="s">
        <v>68</v>
      </c>
      <c r="E95" s="69">
        <v>3</v>
      </c>
      <c r="F95" s="76">
        <v>64</v>
      </c>
      <c r="G95" s="69">
        <v>2</v>
      </c>
      <c r="H95" s="77">
        <v>3.125E-2</v>
      </c>
      <c r="I95" s="78">
        <v>6.83E-2</v>
      </c>
      <c r="J95" s="69">
        <v>314.15899999999999</v>
      </c>
      <c r="K95" s="69">
        <v>0.47809999999999997</v>
      </c>
      <c r="L95" s="69">
        <v>7</v>
      </c>
      <c r="M95" s="79">
        <v>328.54946663877848</v>
      </c>
      <c r="N95" s="69">
        <v>1364</v>
      </c>
      <c r="O95" s="80" t="s">
        <v>88</v>
      </c>
      <c r="P95" s="80" t="s">
        <v>82</v>
      </c>
      <c r="Q95" s="69" t="s">
        <v>89</v>
      </c>
      <c r="R95" s="69" t="s">
        <v>90</v>
      </c>
      <c r="S95" s="69"/>
      <c r="T95" s="60">
        <v>5</v>
      </c>
      <c r="U95" s="60">
        <v>5</v>
      </c>
      <c r="V95" s="69">
        <v>11.1</v>
      </c>
      <c r="W95" s="69"/>
      <c r="X95" s="69"/>
      <c r="Y95" s="9">
        <f t="shared" si="2"/>
        <v>1642.7473331938927</v>
      </c>
      <c r="Z95" s="60" t="s">
        <v>73</v>
      </c>
      <c r="AA95" s="58" t="s">
        <v>384</v>
      </c>
      <c r="AB95" s="81" t="s">
        <v>75</v>
      </c>
      <c r="AC95" s="82" t="s">
        <v>76</v>
      </c>
      <c r="AD95" s="69" t="s">
        <v>91</v>
      </c>
      <c r="AE95" s="56">
        <f t="shared" si="3"/>
        <v>376.88005895249989</v>
      </c>
      <c r="AF95" s="79">
        <v>376.88005895249989</v>
      </c>
      <c r="AG95" s="83"/>
      <c r="AH95" s="84"/>
      <c r="AI95" s="82"/>
      <c r="AJ95" s="81"/>
      <c r="AK95" s="81"/>
      <c r="AL95" s="81"/>
      <c r="AM95" s="81"/>
      <c r="AN95" s="81"/>
      <c r="AO95" s="81"/>
    </row>
    <row r="96" spans="1:41" x14ac:dyDescent="0.2">
      <c r="A96" s="69" t="s">
        <v>67</v>
      </c>
      <c r="B96" s="74">
        <v>43200</v>
      </c>
      <c r="C96" s="75">
        <v>0.61319444444444404</v>
      </c>
      <c r="D96" s="69" t="s">
        <v>68</v>
      </c>
      <c r="E96" s="69">
        <v>3</v>
      </c>
      <c r="F96" s="76">
        <v>64</v>
      </c>
      <c r="G96" s="69">
        <v>2</v>
      </c>
      <c r="H96" s="77">
        <v>3.125E-2</v>
      </c>
      <c r="I96" s="78">
        <v>6.83E-2</v>
      </c>
      <c r="J96" s="69">
        <v>314.15899999999999</v>
      </c>
      <c r="K96" s="69">
        <v>0.47809999999999997</v>
      </c>
      <c r="L96" s="69">
        <v>7</v>
      </c>
      <c r="M96" s="79">
        <v>328.54946663877848</v>
      </c>
      <c r="N96" s="69">
        <v>1419</v>
      </c>
      <c r="O96" s="80" t="s">
        <v>94</v>
      </c>
      <c r="P96" s="80" t="s">
        <v>82</v>
      </c>
      <c r="Q96" s="69" t="s">
        <v>95</v>
      </c>
      <c r="R96" s="69" t="s">
        <v>96</v>
      </c>
      <c r="S96" s="69"/>
      <c r="T96" s="60">
        <v>419</v>
      </c>
      <c r="U96" s="60">
        <v>841</v>
      </c>
      <c r="V96" s="69">
        <v>0.8</v>
      </c>
      <c r="W96" s="69">
        <v>0.8</v>
      </c>
      <c r="X96" s="69">
        <v>0.8</v>
      </c>
      <c r="Y96" s="9">
        <f t="shared" si="2"/>
        <v>137662.22652164818</v>
      </c>
      <c r="Z96" s="60" t="s">
        <v>97</v>
      </c>
      <c r="AA96" s="58" t="s">
        <v>384</v>
      </c>
      <c r="AB96" s="81" t="s">
        <v>75</v>
      </c>
      <c r="AC96" s="82" t="s">
        <v>76</v>
      </c>
      <c r="AD96" s="69" t="s">
        <v>85</v>
      </c>
      <c r="AE96" s="56">
        <f t="shared" si="3"/>
        <v>0.17999999999999997</v>
      </c>
      <c r="AF96" s="79">
        <v>0.18</v>
      </c>
      <c r="AG96" s="79">
        <v>0.18</v>
      </c>
      <c r="AH96" s="79">
        <v>0.18</v>
      </c>
      <c r="AI96" s="79">
        <v>0.18</v>
      </c>
      <c r="AJ96" s="79">
        <v>0.18</v>
      </c>
      <c r="AK96" s="79">
        <v>0.18</v>
      </c>
      <c r="AL96" s="79">
        <v>0.18</v>
      </c>
      <c r="AM96" s="79">
        <v>0.18</v>
      </c>
      <c r="AN96" s="79">
        <v>0.18</v>
      </c>
      <c r="AO96" s="79">
        <v>0.18</v>
      </c>
    </row>
    <row r="97" spans="1:41" x14ac:dyDescent="0.2">
      <c r="A97" s="69" t="s">
        <v>67</v>
      </c>
      <c r="B97" s="74">
        <v>43200</v>
      </c>
      <c r="C97" s="75">
        <v>0.63402777777777797</v>
      </c>
      <c r="D97" s="69" t="s">
        <v>108</v>
      </c>
      <c r="E97" s="69">
        <v>3</v>
      </c>
      <c r="F97" s="76">
        <v>60</v>
      </c>
      <c r="G97" s="69">
        <v>2</v>
      </c>
      <c r="H97" s="77">
        <v>3.3333333333333333E-2</v>
      </c>
      <c r="I97" s="78">
        <v>6.83E-2</v>
      </c>
      <c r="J97" s="69">
        <v>314.15899999999999</v>
      </c>
      <c r="K97" s="69">
        <v>0.4098</v>
      </c>
      <c r="L97" s="69">
        <v>6</v>
      </c>
      <c r="M97" s="79">
        <v>383.30771107857493</v>
      </c>
      <c r="N97" s="69">
        <v>145</v>
      </c>
      <c r="O97" s="80" t="s">
        <v>69</v>
      </c>
      <c r="P97" s="81" t="s">
        <v>70</v>
      </c>
      <c r="Q97" s="69" t="s">
        <v>71</v>
      </c>
      <c r="R97" s="69" t="s">
        <v>72</v>
      </c>
      <c r="S97" s="69"/>
      <c r="T97" s="60">
        <v>1</v>
      </c>
      <c r="U97" s="60">
        <v>1</v>
      </c>
      <c r="V97" s="69">
        <v>25.9</v>
      </c>
      <c r="W97" s="69"/>
      <c r="X97" s="69"/>
      <c r="Y97" s="9">
        <f t="shared" si="2"/>
        <v>383.30771107857493</v>
      </c>
      <c r="Z97" s="60" t="s">
        <v>73</v>
      </c>
      <c r="AA97" s="58" t="s">
        <v>392</v>
      </c>
      <c r="AB97" s="81" t="s">
        <v>75</v>
      </c>
      <c r="AC97" s="82" t="s">
        <v>76</v>
      </c>
      <c r="AD97" s="69" t="s">
        <v>77</v>
      </c>
      <c r="AE97" s="56">
        <f t="shared" si="3"/>
        <v>1113.91670789</v>
      </c>
      <c r="AF97" s="79">
        <v>1113.91670789</v>
      </c>
      <c r="AG97" s="83"/>
      <c r="AH97" s="84"/>
      <c r="AI97" s="82"/>
      <c r="AJ97" s="81"/>
      <c r="AK97" s="81"/>
      <c r="AL97" s="81"/>
      <c r="AM97" s="81"/>
      <c r="AN97" s="81"/>
      <c r="AO97" s="81"/>
    </row>
    <row r="98" spans="1:41" x14ac:dyDescent="0.2">
      <c r="A98" s="69" t="s">
        <v>67</v>
      </c>
      <c r="B98" s="74">
        <v>43200</v>
      </c>
      <c r="C98" s="75">
        <v>0.63402777777777797</v>
      </c>
      <c r="D98" s="69" t="s">
        <v>108</v>
      </c>
      <c r="E98" s="69">
        <v>3</v>
      </c>
      <c r="F98" s="76">
        <v>60</v>
      </c>
      <c r="G98" s="69">
        <v>2</v>
      </c>
      <c r="H98" s="77">
        <v>3.3333333333333333E-2</v>
      </c>
      <c r="I98" s="78">
        <v>6.83E-2</v>
      </c>
      <c r="J98" s="69">
        <v>314.15899999999999</v>
      </c>
      <c r="K98" s="69">
        <v>0.4098</v>
      </c>
      <c r="L98" s="69">
        <v>6</v>
      </c>
      <c r="M98" s="79">
        <v>383.30771107857493</v>
      </c>
      <c r="N98" s="69">
        <v>631</v>
      </c>
      <c r="O98" s="80" t="s">
        <v>146</v>
      </c>
      <c r="P98" s="81" t="s">
        <v>70</v>
      </c>
      <c r="Q98" s="69" t="s">
        <v>147</v>
      </c>
      <c r="R98" s="69" t="s">
        <v>84</v>
      </c>
      <c r="S98" s="69"/>
      <c r="T98" s="60">
        <v>1</v>
      </c>
      <c r="U98" s="60">
        <v>1</v>
      </c>
      <c r="V98" s="69">
        <v>35.200000000000003</v>
      </c>
      <c r="W98" s="69"/>
      <c r="X98" s="69"/>
      <c r="Y98" s="9">
        <f t="shared" si="2"/>
        <v>383.30771107857493</v>
      </c>
      <c r="Z98" s="60" t="s">
        <v>73</v>
      </c>
      <c r="AA98" s="58" t="s">
        <v>392</v>
      </c>
      <c r="AB98" s="81" t="s">
        <v>75</v>
      </c>
      <c r="AC98" s="82" t="s">
        <v>169</v>
      </c>
      <c r="AD98" s="69" t="s">
        <v>77</v>
      </c>
      <c r="AE98" s="56">
        <f t="shared" si="3"/>
        <v>1145.64990848</v>
      </c>
      <c r="AF98" s="79">
        <v>1145.64990848</v>
      </c>
      <c r="AG98" s="83"/>
      <c r="AH98" s="84"/>
      <c r="AI98" s="82"/>
      <c r="AJ98" s="81"/>
      <c r="AK98" s="81"/>
      <c r="AL98" s="81"/>
      <c r="AM98" s="81"/>
      <c r="AN98" s="81"/>
      <c r="AO98" s="81"/>
    </row>
    <row r="99" spans="1:41" x14ac:dyDescent="0.2">
      <c r="A99" s="69" t="s">
        <v>67</v>
      </c>
      <c r="B99" s="74">
        <v>43200</v>
      </c>
      <c r="C99" s="75">
        <v>0.63402777777777797</v>
      </c>
      <c r="D99" s="69" t="s">
        <v>108</v>
      </c>
      <c r="E99" s="69">
        <v>3</v>
      </c>
      <c r="F99" s="76">
        <v>60</v>
      </c>
      <c r="G99" s="69">
        <v>2</v>
      </c>
      <c r="H99" s="77">
        <v>3.3333333333333333E-2</v>
      </c>
      <c r="I99" s="78">
        <v>6.83E-2</v>
      </c>
      <c r="J99" s="69">
        <v>314.15899999999999</v>
      </c>
      <c r="K99" s="69">
        <v>0.4098</v>
      </c>
      <c r="L99" s="69">
        <v>6</v>
      </c>
      <c r="M99" s="79">
        <v>383.30771107857493</v>
      </c>
      <c r="N99" s="69">
        <v>1037</v>
      </c>
      <c r="O99" s="80" t="s">
        <v>86</v>
      </c>
      <c r="P99" s="80" t="s">
        <v>82</v>
      </c>
      <c r="Q99" s="69" t="s">
        <v>87</v>
      </c>
      <c r="R99" s="69" t="s">
        <v>84</v>
      </c>
      <c r="S99" s="69"/>
      <c r="T99" s="60">
        <v>4</v>
      </c>
      <c r="U99" s="60">
        <v>4</v>
      </c>
      <c r="V99" s="69">
        <v>2.8</v>
      </c>
      <c r="W99" s="69"/>
      <c r="X99" s="69"/>
      <c r="Y99" s="9">
        <f t="shared" si="2"/>
        <v>1533.2308443142997</v>
      </c>
      <c r="Z99" s="60" t="s">
        <v>73</v>
      </c>
      <c r="AA99" s="58" t="s">
        <v>392</v>
      </c>
      <c r="AB99" s="81" t="s">
        <v>75</v>
      </c>
      <c r="AC99" s="82" t="s">
        <v>76</v>
      </c>
      <c r="AD99" s="69" t="s">
        <v>85</v>
      </c>
      <c r="AE99" s="56">
        <f t="shared" si="3"/>
        <v>11.494030613333329</v>
      </c>
      <c r="AF99" s="79">
        <v>11.494030613333329</v>
      </c>
      <c r="AG99" s="83"/>
      <c r="AH99" s="84"/>
      <c r="AI99" s="82"/>
      <c r="AJ99" s="81"/>
      <c r="AK99" s="81"/>
      <c r="AL99" s="81"/>
      <c r="AM99" s="81"/>
      <c r="AN99" s="81"/>
      <c r="AO99" s="81"/>
    </row>
    <row r="100" spans="1:41" x14ac:dyDescent="0.2">
      <c r="A100" s="53" t="s">
        <v>67</v>
      </c>
      <c r="B100" s="50">
        <v>43200</v>
      </c>
      <c r="C100" s="51">
        <v>0.63402777777777797</v>
      </c>
      <c r="D100" s="53" t="s">
        <v>108</v>
      </c>
      <c r="E100" s="53">
        <v>3</v>
      </c>
      <c r="F100" s="52">
        <v>60</v>
      </c>
      <c r="G100" s="53">
        <v>2</v>
      </c>
      <c r="H100" s="54">
        <v>3.3333333333333333E-2</v>
      </c>
      <c r="I100" s="55">
        <v>6.83E-2</v>
      </c>
      <c r="J100" s="53">
        <v>314.15899999999999</v>
      </c>
      <c r="K100" s="53">
        <v>0.4098</v>
      </c>
      <c r="L100" s="53">
        <v>6</v>
      </c>
      <c r="M100" s="56">
        <v>383.30771107857493</v>
      </c>
      <c r="N100" s="53">
        <v>1364</v>
      </c>
      <c r="O100" s="57" t="s">
        <v>88</v>
      </c>
      <c r="P100" s="57" t="s">
        <v>82</v>
      </c>
      <c r="Q100" s="53" t="s">
        <v>89</v>
      </c>
      <c r="R100" s="53" t="s">
        <v>90</v>
      </c>
      <c r="S100" s="53"/>
      <c r="T100" s="60">
        <v>1</v>
      </c>
      <c r="U100" s="60">
        <v>1</v>
      </c>
      <c r="V100" s="53">
        <v>11.1</v>
      </c>
      <c r="W100" s="53"/>
      <c r="X100" s="53"/>
      <c r="Y100" s="9">
        <f t="shared" si="2"/>
        <v>383.30771107857493</v>
      </c>
      <c r="Z100" s="60" t="s">
        <v>73</v>
      </c>
      <c r="AA100" s="58" t="s">
        <v>392</v>
      </c>
      <c r="AB100" s="58" t="s">
        <v>75</v>
      </c>
      <c r="AC100" s="61" t="s">
        <v>76</v>
      </c>
      <c r="AD100" s="53" t="s">
        <v>91</v>
      </c>
      <c r="AE100" s="56">
        <f t="shared" si="3"/>
        <v>538.67979792749986</v>
      </c>
      <c r="AF100" s="56">
        <v>538.67979792749986</v>
      </c>
      <c r="AG100" s="62"/>
      <c r="AH100" s="63"/>
      <c r="AI100" s="61"/>
      <c r="AJ100" s="58"/>
      <c r="AK100" s="58"/>
      <c r="AL100" s="58"/>
      <c r="AM100" s="58"/>
      <c r="AN100" s="58"/>
      <c r="AO100" s="58"/>
    </row>
    <row r="101" spans="1:41" x14ac:dyDescent="0.2">
      <c r="A101" s="53" t="s">
        <v>67</v>
      </c>
      <c r="B101" s="50">
        <v>43200</v>
      </c>
      <c r="C101" s="51">
        <v>0.63402777777777797</v>
      </c>
      <c r="D101" s="53" t="s">
        <v>108</v>
      </c>
      <c r="E101" s="53">
        <v>3</v>
      </c>
      <c r="F101" s="52">
        <v>60</v>
      </c>
      <c r="G101" s="53">
        <v>2</v>
      </c>
      <c r="H101" s="54">
        <v>3.3333333333333333E-2</v>
      </c>
      <c r="I101" s="55">
        <v>6.83E-2</v>
      </c>
      <c r="J101" s="53">
        <v>314.15899999999999</v>
      </c>
      <c r="K101" s="53">
        <v>0.4098</v>
      </c>
      <c r="L101" s="53">
        <v>6</v>
      </c>
      <c r="M101" s="56">
        <v>383.30771107857493</v>
      </c>
      <c r="N101" s="53">
        <v>1365</v>
      </c>
      <c r="O101" s="57" t="s">
        <v>121</v>
      </c>
      <c r="P101" s="57" t="s">
        <v>82</v>
      </c>
      <c r="Q101" s="53" t="s">
        <v>122</v>
      </c>
      <c r="R101" s="53" t="s">
        <v>123</v>
      </c>
      <c r="S101" s="53"/>
      <c r="T101" s="60">
        <v>1</v>
      </c>
      <c r="U101" s="60">
        <v>1</v>
      </c>
      <c r="V101" s="53">
        <v>11.1</v>
      </c>
      <c r="W101" s="53"/>
      <c r="X101" s="53"/>
      <c r="Y101" s="9">
        <f t="shared" si="2"/>
        <v>383.30771107857493</v>
      </c>
      <c r="Z101" s="60" t="s">
        <v>73</v>
      </c>
      <c r="AA101" s="58" t="s">
        <v>392</v>
      </c>
      <c r="AB101" s="58" t="s">
        <v>75</v>
      </c>
      <c r="AC101" s="61" t="s">
        <v>76</v>
      </c>
      <c r="AD101" s="53" t="s">
        <v>91</v>
      </c>
      <c r="AE101" s="56">
        <f t="shared" si="3"/>
        <v>596.74109351249979</v>
      </c>
      <c r="AF101" s="56">
        <v>596.74109351249979</v>
      </c>
      <c r="AG101" s="62"/>
      <c r="AH101" s="63"/>
      <c r="AI101" s="61"/>
      <c r="AJ101" s="58"/>
      <c r="AK101" s="58"/>
      <c r="AL101" s="58"/>
      <c r="AM101" s="58"/>
      <c r="AN101" s="58"/>
      <c r="AO101" s="58"/>
    </row>
    <row r="102" spans="1:41" x14ac:dyDescent="0.2">
      <c r="A102" s="69" t="s">
        <v>67</v>
      </c>
      <c r="B102" s="74">
        <v>43200</v>
      </c>
      <c r="C102" s="75">
        <v>0.63402777777777797</v>
      </c>
      <c r="D102" s="69" t="s">
        <v>108</v>
      </c>
      <c r="E102" s="69">
        <v>3</v>
      </c>
      <c r="F102" s="76">
        <v>60</v>
      </c>
      <c r="G102" s="69">
        <v>2</v>
      </c>
      <c r="H102" s="77">
        <v>3.3333333333333333E-2</v>
      </c>
      <c r="I102" s="78">
        <v>6.83E-2</v>
      </c>
      <c r="J102" s="69">
        <v>314.15899999999999</v>
      </c>
      <c r="K102" s="69">
        <v>0.4098</v>
      </c>
      <c r="L102" s="69">
        <v>6</v>
      </c>
      <c r="M102" s="79">
        <v>383.30771107857493</v>
      </c>
      <c r="N102" s="69">
        <v>1419</v>
      </c>
      <c r="O102" s="80" t="s">
        <v>94</v>
      </c>
      <c r="P102" s="80" t="s">
        <v>82</v>
      </c>
      <c r="Q102" s="69" t="s">
        <v>95</v>
      </c>
      <c r="R102" s="69" t="s">
        <v>96</v>
      </c>
      <c r="S102" s="69"/>
      <c r="T102" s="60">
        <v>401</v>
      </c>
      <c r="U102" s="60">
        <v>806</v>
      </c>
      <c r="V102" s="69">
        <v>0.8</v>
      </c>
      <c r="W102" s="69">
        <v>0.8</v>
      </c>
      <c r="X102" s="69">
        <v>0.8</v>
      </c>
      <c r="Y102" s="9">
        <f t="shared" si="2"/>
        <v>153706.39214250853</v>
      </c>
      <c r="Z102" s="60" t="s">
        <v>97</v>
      </c>
      <c r="AA102" s="58" t="s">
        <v>392</v>
      </c>
      <c r="AB102" s="81" t="s">
        <v>75</v>
      </c>
      <c r="AC102" s="82" t="s">
        <v>76</v>
      </c>
      <c r="AD102" s="69" t="s">
        <v>85</v>
      </c>
      <c r="AE102" s="56">
        <f t="shared" si="3"/>
        <v>0.17999999999999997</v>
      </c>
      <c r="AF102" s="79">
        <v>0.18</v>
      </c>
      <c r="AG102" s="79">
        <v>0.18</v>
      </c>
      <c r="AH102" s="79">
        <v>0.18</v>
      </c>
      <c r="AI102" s="79">
        <v>0.18</v>
      </c>
      <c r="AJ102" s="79">
        <v>0.18</v>
      </c>
      <c r="AK102" s="79">
        <v>0.18</v>
      </c>
      <c r="AL102" s="79">
        <v>0.18</v>
      </c>
      <c r="AM102" s="79">
        <v>0.18</v>
      </c>
      <c r="AN102" s="79">
        <v>0.18</v>
      </c>
      <c r="AO102" s="79">
        <v>0.18</v>
      </c>
    </row>
    <row r="103" spans="1:41" x14ac:dyDescent="0.2">
      <c r="A103" s="69" t="s">
        <v>67</v>
      </c>
      <c r="B103" s="74">
        <v>43200</v>
      </c>
      <c r="C103" s="75">
        <v>0.65277777777777801</v>
      </c>
      <c r="D103" s="69" t="s">
        <v>113</v>
      </c>
      <c r="E103" s="69"/>
      <c r="F103" s="76">
        <v>59.5</v>
      </c>
      <c r="G103" s="69">
        <v>2</v>
      </c>
      <c r="H103" s="77">
        <v>3.3613445378151259E-2</v>
      </c>
      <c r="I103" s="78">
        <v>6.83E-2</v>
      </c>
      <c r="J103" s="69">
        <v>314.15899999999999</v>
      </c>
      <c r="K103" s="69">
        <v>0.61470000000000002</v>
      </c>
      <c r="L103" s="69">
        <v>9</v>
      </c>
      <c r="M103" s="79">
        <v>255.53847405238326</v>
      </c>
      <c r="N103" s="69">
        <v>145</v>
      </c>
      <c r="O103" s="80" t="s">
        <v>69</v>
      </c>
      <c r="P103" s="81" t="s">
        <v>70</v>
      </c>
      <c r="Q103" s="69" t="s">
        <v>71</v>
      </c>
      <c r="R103" s="69" t="s">
        <v>72</v>
      </c>
      <c r="S103" s="69"/>
      <c r="T103" s="60">
        <v>1</v>
      </c>
      <c r="U103" s="60">
        <v>1</v>
      </c>
      <c r="V103" s="69">
        <v>18.5</v>
      </c>
      <c r="W103" s="69"/>
      <c r="X103" s="69"/>
      <c r="Y103" s="9">
        <f t="shared" si="2"/>
        <v>255.53847405238326</v>
      </c>
      <c r="Z103" s="60" t="s">
        <v>73</v>
      </c>
      <c r="AA103" s="58" t="s">
        <v>388</v>
      </c>
      <c r="AB103" s="81" t="s">
        <v>75</v>
      </c>
      <c r="AC103" s="82" t="s">
        <v>76</v>
      </c>
      <c r="AD103" s="69" t="s">
        <v>77</v>
      </c>
      <c r="AE103" s="56">
        <f t="shared" si="3"/>
        <v>698.88596537499996</v>
      </c>
      <c r="AF103" s="79">
        <v>698.88596537499996</v>
      </c>
      <c r="AG103" s="83"/>
      <c r="AH103" s="84"/>
      <c r="AI103" s="82"/>
      <c r="AJ103" s="81"/>
      <c r="AK103" s="81"/>
      <c r="AL103" s="81"/>
      <c r="AM103" s="81"/>
      <c r="AN103" s="81"/>
      <c r="AO103" s="81"/>
    </row>
    <row r="104" spans="1:41" x14ac:dyDescent="0.2">
      <c r="A104" s="69" t="s">
        <v>67</v>
      </c>
      <c r="B104" s="74">
        <v>43200</v>
      </c>
      <c r="C104" s="75">
        <v>0.65277777777777801</v>
      </c>
      <c r="D104" s="69" t="s">
        <v>113</v>
      </c>
      <c r="E104" s="69"/>
      <c r="F104" s="76">
        <v>59.5</v>
      </c>
      <c r="G104" s="69">
        <v>2</v>
      </c>
      <c r="H104" s="77">
        <v>3.3613445378151259E-2</v>
      </c>
      <c r="I104" s="78">
        <v>6.83E-2</v>
      </c>
      <c r="J104" s="69">
        <v>314.15899999999999</v>
      </c>
      <c r="K104" s="69">
        <v>0.61470000000000002</v>
      </c>
      <c r="L104" s="69">
        <v>9</v>
      </c>
      <c r="M104" s="79">
        <v>255.53847405238326</v>
      </c>
      <c r="N104" s="69">
        <v>749</v>
      </c>
      <c r="O104" s="80" t="s">
        <v>190</v>
      </c>
      <c r="P104" s="81" t="s">
        <v>70</v>
      </c>
      <c r="Q104" s="69" t="s">
        <v>191</v>
      </c>
      <c r="R104" s="69" t="s">
        <v>84</v>
      </c>
      <c r="S104" s="69"/>
      <c r="T104" s="60">
        <v>1</v>
      </c>
      <c r="U104" s="60">
        <v>1</v>
      </c>
      <c r="V104" s="69">
        <v>20.399999999999999</v>
      </c>
      <c r="W104" s="69"/>
      <c r="X104" s="69"/>
      <c r="Y104" s="9">
        <f t="shared" si="2"/>
        <v>255.53847405238326</v>
      </c>
      <c r="Z104" s="60" t="s">
        <v>73</v>
      </c>
      <c r="AA104" s="58" t="s">
        <v>388</v>
      </c>
      <c r="AB104" s="81" t="s">
        <v>75</v>
      </c>
      <c r="AC104" s="82" t="s">
        <v>76</v>
      </c>
      <c r="AD104" s="69" t="s">
        <v>193</v>
      </c>
      <c r="AE104" s="56">
        <f t="shared" si="3"/>
        <v>139.63800000000001</v>
      </c>
      <c r="AF104" s="79">
        <v>139.63800000000001</v>
      </c>
      <c r="AG104" s="83"/>
      <c r="AH104" s="84"/>
      <c r="AI104" s="82"/>
      <c r="AJ104" s="81"/>
      <c r="AK104" s="81"/>
      <c r="AL104" s="81"/>
      <c r="AM104" s="81"/>
      <c r="AN104" s="81"/>
      <c r="AO104" s="81"/>
    </row>
    <row r="105" spans="1:41" x14ac:dyDescent="0.2">
      <c r="A105" s="69" t="s">
        <v>67</v>
      </c>
      <c r="B105" s="74">
        <v>43200</v>
      </c>
      <c r="C105" s="75">
        <v>0.65277777777777801</v>
      </c>
      <c r="D105" s="69" t="s">
        <v>113</v>
      </c>
      <c r="E105" s="69"/>
      <c r="F105" s="76">
        <v>59.5</v>
      </c>
      <c r="G105" s="69">
        <v>2</v>
      </c>
      <c r="H105" s="77">
        <v>3.3613445378151259E-2</v>
      </c>
      <c r="I105" s="78">
        <v>6.83E-2</v>
      </c>
      <c r="J105" s="69">
        <v>314.15899999999999</v>
      </c>
      <c r="K105" s="69">
        <v>0.61470000000000002</v>
      </c>
      <c r="L105" s="69">
        <v>9</v>
      </c>
      <c r="M105" s="79">
        <v>255.53847405238326</v>
      </c>
      <c r="N105" s="69">
        <v>1037</v>
      </c>
      <c r="O105" s="80" t="s">
        <v>243</v>
      </c>
      <c r="P105" s="80" t="s">
        <v>82</v>
      </c>
      <c r="Q105" s="69" t="s">
        <v>87</v>
      </c>
      <c r="R105" s="69" t="s">
        <v>84</v>
      </c>
      <c r="S105" s="69"/>
      <c r="T105" s="60">
        <v>3</v>
      </c>
      <c r="U105" s="60">
        <v>3</v>
      </c>
      <c r="V105" s="69">
        <v>4.5999999999999996</v>
      </c>
      <c r="W105" s="69"/>
      <c r="X105" s="69"/>
      <c r="Y105" s="9">
        <f t="shared" si="2"/>
        <v>766.61542215714974</v>
      </c>
      <c r="Z105" s="60" t="s">
        <v>73</v>
      </c>
      <c r="AA105" s="58" t="s">
        <v>388</v>
      </c>
      <c r="AB105" s="81" t="s">
        <v>75</v>
      </c>
      <c r="AC105" s="82" t="s">
        <v>76</v>
      </c>
      <c r="AD105" s="69" t="s">
        <v>85</v>
      </c>
      <c r="AE105" s="56">
        <f t="shared" si="3"/>
        <v>15.598517948333333</v>
      </c>
      <c r="AF105" s="79">
        <v>15.598517948333333</v>
      </c>
      <c r="AG105" s="83"/>
      <c r="AH105" s="84"/>
      <c r="AI105" s="82"/>
      <c r="AJ105" s="81"/>
      <c r="AK105" s="81"/>
      <c r="AL105" s="81"/>
      <c r="AM105" s="81"/>
      <c r="AN105" s="81"/>
      <c r="AO105" s="81"/>
    </row>
    <row r="106" spans="1:41" x14ac:dyDescent="0.2">
      <c r="A106" s="69" t="s">
        <v>67</v>
      </c>
      <c r="B106" s="74">
        <v>43200</v>
      </c>
      <c r="C106" s="75">
        <v>0.65277777777777801</v>
      </c>
      <c r="D106" s="69" t="s">
        <v>113</v>
      </c>
      <c r="E106" s="69"/>
      <c r="F106" s="76">
        <v>59.5</v>
      </c>
      <c r="G106" s="69">
        <v>2</v>
      </c>
      <c r="H106" s="77">
        <v>3.3613445378151259E-2</v>
      </c>
      <c r="I106" s="78">
        <v>6.83E-2</v>
      </c>
      <c r="J106" s="69">
        <v>314.15899999999999</v>
      </c>
      <c r="K106" s="69">
        <v>0.61470000000000002</v>
      </c>
      <c r="L106" s="69">
        <v>9</v>
      </c>
      <c r="M106" s="79">
        <v>255.53847405238326</v>
      </c>
      <c r="N106" s="69">
        <v>1806</v>
      </c>
      <c r="O106" s="80" t="s">
        <v>206</v>
      </c>
      <c r="P106" s="80" t="s">
        <v>82</v>
      </c>
      <c r="Q106" s="69" t="s">
        <v>207</v>
      </c>
      <c r="R106" s="69" t="s">
        <v>84</v>
      </c>
      <c r="S106" s="69"/>
      <c r="T106" s="60">
        <v>1</v>
      </c>
      <c r="U106" s="60">
        <v>1</v>
      </c>
      <c r="V106" s="69">
        <v>3.7</v>
      </c>
      <c r="W106" s="69"/>
      <c r="X106" s="69"/>
      <c r="Y106" s="9">
        <f t="shared" si="2"/>
        <v>255.53847405238326</v>
      </c>
      <c r="Z106" s="60" t="s">
        <v>73</v>
      </c>
      <c r="AA106" s="58" t="s">
        <v>388</v>
      </c>
      <c r="AB106" s="81" t="s">
        <v>75</v>
      </c>
      <c r="AC106" s="82" t="s">
        <v>76</v>
      </c>
      <c r="AD106" s="69" t="s">
        <v>120</v>
      </c>
      <c r="AE106" s="56">
        <f t="shared" si="3"/>
        <v>15.188540453333331</v>
      </c>
      <c r="AF106" s="79">
        <v>15.188540453333331</v>
      </c>
      <c r="AG106" s="83"/>
      <c r="AH106" s="84"/>
      <c r="AI106" s="82"/>
      <c r="AJ106" s="81"/>
      <c r="AK106" s="81"/>
      <c r="AL106" s="81"/>
      <c r="AM106" s="81"/>
      <c r="AN106" s="81"/>
      <c r="AO106" s="81"/>
    </row>
    <row r="107" spans="1:41" x14ac:dyDescent="0.2">
      <c r="A107" s="53" t="s">
        <v>67</v>
      </c>
      <c r="B107" s="50">
        <v>43200</v>
      </c>
      <c r="C107" s="51">
        <v>0.65277777777777801</v>
      </c>
      <c r="D107" s="53" t="s">
        <v>113</v>
      </c>
      <c r="E107" s="53"/>
      <c r="F107" s="52">
        <v>59.5</v>
      </c>
      <c r="G107" s="53">
        <v>2</v>
      </c>
      <c r="H107" s="54">
        <v>3.3613445378151259E-2</v>
      </c>
      <c r="I107" s="55">
        <v>6.83E-2</v>
      </c>
      <c r="J107" s="53">
        <v>314.15899999999999</v>
      </c>
      <c r="K107" s="53">
        <v>0.61470000000000002</v>
      </c>
      <c r="L107" s="53">
        <v>9</v>
      </c>
      <c r="M107" s="56">
        <v>255.53847405238326</v>
      </c>
      <c r="N107" s="53">
        <v>1365</v>
      </c>
      <c r="O107" s="57" t="s">
        <v>121</v>
      </c>
      <c r="P107" s="57" t="s">
        <v>82</v>
      </c>
      <c r="Q107" s="53" t="s">
        <v>122</v>
      </c>
      <c r="R107" s="53" t="s">
        <v>123</v>
      </c>
      <c r="S107" s="53"/>
      <c r="T107" s="60">
        <v>2</v>
      </c>
      <c r="U107" s="60">
        <v>2</v>
      </c>
      <c r="V107" s="53">
        <v>11.1</v>
      </c>
      <c r="W107" s="53"/>
      <c r="X107" s="53"/>
      <c r="Y107" s="9">
        <f t="shared" si="2"/>
        <v>511.07694810476653</v>
      </c>
      <c r="Z107" s="60" t="s">
        <v>73</v>
      </c>
      <c r="AA107" s="58" t="s">
        <v>388</v>
      </c>
      <c r="AB107" s="58" t="s">
        <v>75</v>
      </c>
      <c r="AC107" s="61" t="s">
        <v>76</v>
      </c>
      <c r="AD107" s="53" t="s">
        <v>91</v>
      </c>
      <c r="AE107" s="56">
        <f t="shared" si="3"/>
        <v>596.74109351249979</v>
      </c>
      <c r="AF107" s="56">
        <v>596.74109351249979</v>
      </c>
      <c r="AG107" s="62"/>
      <c r="AH107" s="63"/>
      <c r="AI107" s="61"/>
      <c r="AJ107" s="58"/>
      <c r="AK107" s="58"/>
      <c r="AL107" s="58"/>
      <c r="AM107" s="58"/>
      <c r="AN107" s="58"/>
      <c r="AO107" s="58"/>
    </row>
    <row r="108" spans="1:41" x14ac:dyDescent="0.2">
      <c r="A108" s="69" t="s">
        <v>67</v>
      </c>
      <c r="B108" s="74">
        <v>43200</v>
      </c>
      <c r="C108" s="75">
        <v>0.65277777777777801</v>
      </c>
      <c r="D108" s="69" t="s">
        <v>113</v>
      </c>
      <c r="E108" s="69"/>
      <c r="F108" s="76">
        <v>59.5</v>
      </c>
      <c r="G108" s="69">
        <v>2</v>
      </c>
      <c r="H108" s="77">
        <v>3.3613445378151259E-2</v>
      </c>
      <c r="I108" s="78">
        <v>6.83E-2</v>
      </c>
      <c r="J108" s="69">
        <v>314.15899999999999</v>
      </c>
      <c r="K108" s="69">
        <v>0.61470000000000002</v>
      </c>
      <c r="L108" s="69">
        <v>9</v>
      </c>
      <c r="M108" s="79">
        <v>255.53847405238326</v>
      </c>
      <c r="N108" s="69">
        <v>1419</v>
      </c>
      <c r="O108" s="80" t="s">
        <v>94</v>
      </c>
      <c r="P108" s="80" t="s">
        <v>82</v>
      </c>
      <c r="Q108" s="69" t="s">
        <v>95</v>
      </c>
      <c r="R108" s="69" t="s">
        <v>96</v>
      </c>
      <c r="S108" s="69"/>
      <c r="T108" s="60">
        <v>432</v>
      </c>
      <c r="U108" s="60">
        <v>864</v>
      </c>
      <c r="V108" s="69">
        <v>0.8</v>
      </c>
      <c r="W108" s="69">
        <v>0.8</v>
      </c>
      <c r="X108" s="69">
        <v>0.8</v>
      </c>
      <c r="Y108" s="9">
        <f t="shared" si="2"/>
        <v>110392.62079062956</v>
      </c>
      <c r="Z108" s="60" t="s">
        <v>97</v>
      </c>
      <c r="AA108" s="58" t="s">
        <v>388</v>
      </c>
      <c r="AB108" s="81" t="s">
        <v>75</v>
      </c>
      <c r="AC108" s="82" t="s">
        <v>76</v>
      </c>
      <c r="AD108" s="69" t="s">
        <v>85</v>
      </c>
      <c r="AE108" s="56">
        <f t="shared" si="3"/>
        <v>0.17999999999999997</v>
      </c>
      <c r="AF108" s="79">
        <v>0.18</v>
      </c>
      <c r="AG108" s="79">
        <v>0.18</v>
      </c>
      <c r="AH108" s="79">
        <v>0.18</v>
      </c>
      <c r="AI108" s="79">
        <v>0.18</v>
      </c>
      <c r="AJ108" s="79">
        <v>0.18</v>
      </c>
      <c r="AK108" s="79">
        <v>0.18</v>
      </c>
      <c r="AL108" s="79">
        <v>0.18</v>
      </c>
      <c r="AM108" s="79">
        <v>0.18</v>
      </c>
      <c r="AN108" s="79">
        <v>0.18</v>
      </c>
      <c r="AO108" s="79">
        <v>0.18</v>
      </c>
    </row>
    <row r="109" spans="1:41" x14ac:dyDescent="0.2">
      <c r="A109" s="49" t="s">
        <v>67</v>
      </c>
      <c r="B109" s="50">
        <v>43200</v>
      </c>
      <c r="C109" s="51">
        <v>0.66111111111111098</v>
      </c>
      <c r="D109" s="49" t="s">
        <v>144</v>
      </c>
      <c r="E109" s="49"/>
      <c r="F109" s="52">
        <v>59</v>
      </c>
      <c r="G109" s="53">
        <v>2</v>
      </c>
      <c r="H109" s="54">
        <v>3.3898305084745763E-2</v>
      </c>
      <c r="I109" s="55">
        <v>6.83E-2</v>
      </c>
      <c r="J109" s="53">
        <v>314.15899999999999</v>
      </c>
      <c r="K109" s="53">
        <v>0.47809999999999997</v>
      </c>
      <c r="L109" s="53">
        <v>7</v>
      </c>
      <c r="M109" s="56">
        <v>328.54946663877848</v>
      </c>
      <c r="N109" s="53">
        <v>190</v>
      </c>
      <c r="O109" s="57" t="s">
        <v>102</v>
      </c>
      <c r="P109" s="58" t="s">
        <v>70</v>
      </c>
      <c r="Q109" s="53" t="s">
        <v>103</v>
      </c>
      <c r="R109" s="53" t="s">
        <v>84</v>
      </c>
      <c r="S109" s="53"/>
      <c r="T109" s="59">
        <v>1</v>
      </c>
      <c r="U109" s="59">
        <v>1</v>
      </c>
      <c r="V109" s="53">
        <v>5.6</v>
      </c>
      <c r="W109" s="53"/>
      <c r="X109" s="53"/>
      <c r="Y109" s="9">
        <f t="shared" si="2"/>
        <v>328.54946663877848</v>
      </c>
      <c r="Z109" s="60" t="s">
        <v>73</v>
      </c>
      <c r="AA109" s="58" t="s">
        <v>359</v>
      </c>
      <c r="AB109" s="58" t="s">
        <v>75</v>
      </c>
      <c r="AC109" s="61" t="s">
        <v>76</v>
      </c>
      <c r="AD109" s="53" t="s">
        <v>104</v>
      </c>
      <c r="AE109" s="56">
        <f t="shared" si="3"/>
        <v>137.92836735999995</v>
      </c>
      <c r="AF109" s="56">
        <v>137.92836735999995</v>
      </c>
      <c r="AG109" s="62"/>
      <c r="AH109" s="63"/>
      <c r="AI109" s="61"/>
      <c r="AJ109" s="58"/>
      <c r="AK109" s="58"/>
      <c r="AL109" s="58"/>
      <c r="AM109" s="58"/>
      <c r="AN109" s="58"/>
      <c r="AO109" s="58"/>
    </row>
    <row r="110" spans="1:41" x14ac:dyDescent="0.2">
      <c r="A110" s="49" t="s">
        <v>67</v>
      </c>
      <c r="B110" s="50">
        <v>43200</v>
      </c>
      <c r="C110" s="51">
        <v>0.66111111111111098</v>
      </c>
      <c r="D110" s="49" t="s">
        <v>144</v>
      </c>
      <c r="E110" s="49"/>
      <c r="F110" s="52">
        <v>59</v>
      </c>
      <c r="G110" s="53">
        <v>2</v>
      </c>
      <c r="H110" s="54">
        <v>3.3898305084745763E-2</v>
      </c>
      <c r="I110" s="55">
        <v>6.83E-2</v>
      </c>
      <c r="J110" s="53">
        <v>314.15899999999999</v>
      </c>
      <c r="K110" s="53">
        <v>0.47809999999999997</v>
      </c>
      <c r="L110" s="53">
        <v>7</v>
      </c>
      <c r="M110" s="56">
        <v>328.54946663877848</v>
      </c>
      <c r="N110" s="53">
        <v>1037</v>
      </c>
      <c r="O110" s="57" t="s">
        <v>86</v>
      </c>
      <c r="P110" s="57" t="s">
        <v>82</v>
      </c>
      <c r="Q110" s="53" t="s">
        <v>87</v>
      </c>
      <c r="R110" s="53" t="s">
        <v>84</v>
      </c>
      <c r="S110" s="53"/>
      <c r="T110" s="59">
        <v>1</v>
      </c>
      <c r="U110" s="59">
        <v>1</v>
      </c>
      <c r="V110" s="53">
        <v>2.8</v>
      </c>
      <c r="W110" s="53"/>
      <c r="X110" s="53"/>
      <c r="Y110" s="9">
        <f t="shared" si="2"/>
        <v>328.54946663877848</v>
      </c>
      <c r="Z110" s="60" t="s">
        <v>73</v>
      </c>
      <c r="AA110" s="58" t="s">
        <v>359</v>
      </c>
      <c r="AB110" s="58" t="s">
        <v>75</v>
      </c>
      <c r="AC110" s="61" t="s">
        <v>76</v>
      </c>
      <c r="AD110" s="53" t="s">
        <v>85</v>
      </c>
      <c r="AE110" s="56">
        <f t="shared" si="3"/>
        <v>11.494030613333329</v>
      </c>
      <c r="AF110" s="56">
        <v>11.494030613333329</v>
      </c>
      <c r="AG110" s="62"/>
      <c r="AH110" s="63"/>
      <c r="AI110" s="61"/>
      <c r="AJ110" s="58"/>
      <c r="AK110" s="58"/>
      <c r="AL110" s="58"/>
      <c r="AM110" s="58"/>
      <c r="AN110" s="58"/>
      <c r="AO110" s="58"/>
    </row>
    <row r="111" spans="1:41" x14ac:dyDescent="0.2">
      <c r="A111" s="49" t="s">
        <v>67</v>
      </c>
      <c r="B111" s="50">
        <v>43200</v>
      </c>
      <c r="C111" s="51">
        <v>0.66111111111111098</v>
      </c>
      <c r="D111" s="49" t="s">
        <v>144</v>
      </c>
      <c r="E111" s="49"/>
      <c r="F111" s="52">
        <v>59</v>
      </c>
      <c r="G111" s="53">
        <v>2</v>
      </c>
      <c r="H111" s="54">
        <v>3.3898305084745763E-2</v>
      </c>
      <c r="I111" s="55">
        <v>6.83E-2</v>
      </c>
      <c r="J111" s="53">
        <v>314.15899999999999</v>
      </c>
      <c r="K111" s="53">
        <v>0.47809999999999997</v>
      </c>
      <c r="L111" s="53">
        <v>7</v>
      </c>
      <c r="M111" s="56">
        <v>328.54946663877848</v>
      </c>
      <c r="N111" s="53">
        <v>1162</v>
      </c>
      <c r="O111" s="57" t="s">
        <v>360</v>
      </c>
      <c r="P111" s="57" t="s">
        <v>82</v>
      </c>
      <c r="Q111" s="53" t="s">
        <v>361</v>
      </c>
      <c r="R111" s="53" t="s">
        <v>84</v>
      </c>
      <c r="S111" s="53"/>
      <c r="T111" s="59">
        <v>1</v>
      </c>
      <c r="U111" s="59">
        <v>4</v>
      </c>
      <c r="V111" s="53">
        <v>3.7</v>
      </c>
      <c r="W111" s="53"/>
      <c r="X111" s="53"/>
      <c r="Y111" s="9">
        <f t="shared" si="2"/>
        <v>328.54946663877848</v>
      </c>
      <c r="Z111" s="60" t="s">
        <v>97</v>
      </c>
      <c r="AA111" s="58" t="s">
        <v>359</v>
      </c>
      <c r="AB111" s="58" t="s">
        <v>75</v>
      </c>
      <c r="AC111" s="61" t="s">
        <v>76</v>
      </c>
      <c r="AD111" s="53" t="s">
        <v>120</v>
      </c>
      <c r="AE111" s="56">
        <f t="shared" si="3"/>
        <v>15.188540453333331</v>
      </c>
      <c r="AF111" s="56">
        <v>15.188540453333331</v>
      </c>
      <c r="AG111" s="62"/>
      <c r="AH111" s="63"/>
      <c r="AI111" s="61"/>
      <c r="AJ111" s="58"/>
      <c r="AK111" s="58"/>
      <c r="AL111" s="58"/>
      <c r="AM111" s="58"/>
      <c r="AN111" s="58"/>
      <c r="AO111" s="58"/>
    </row>
    <row r="112" spans="1:41" x14ac:dyDescent="0.2">
      <c r="A112" s="49" t="s">
        <v>67</v>
      </c>
      <c r="B112" s="50">
        <v>43200</v>
      </c>
      <c r="C112" s="51">
        <v>0.66111111111111098</v>
      </c>
      <c r="D112" s="49" t="s">
        <v>144</v>
      </c>
      <c r="E112" s="49"/>
      <c r="F112" s="52">
        <v>59</v>
      </c>
      <c r="G112" s="53">
        <v>2</v>
      </c>
      <c r="H112" s="54">
        <v>3.3898305084745763E-2</v>
      </c>
      <c r="I112" s="55">
        <v>6.83E-2</v>
      </c>
      <c r="J112" s="53">
        <v>314.15899999999999</v>
      </c>
      <c r="K112" s="53">
        <v>0.47809999999999997</v>
      </c>
      <c r="L112" s="53">
        <v>7</v>
      </c>
      <c r="M112" s="56">
        <v>328.54946663877848</v>
      </c>
      <c r="N112" s="53">
        <v>1692</v>
      </c>
      <c r="O112" s="58" t="s">
        <v>179</v>
      </c>
      <c r="P112" s="57" t="s">
        <v>82</v>
      </c>
      <c r="Q112" s="53" t="s">
        <v>180</v>
      </c>
      <c r="R112" s="53" t="s">
        <v>84</v>
      </c>
      <c r="S112" s="53"/>
      <c r="T112" s="59">
        <v>1</v>
      </c>
      <c r="U112" s="59">
        <v>1</v>
      </c>
      <c r="V112" s="53">
        <v>4.5999999999999996</v>
      </c>
      <c r="W112" s="53"/>
      <c r="X112" s="53"/>
      <c r="Y112" s="9">
        <f t="shared" si="2"/>
        <v>328.54946663877848</v>
      </c>
      <c r="Z112" s="60" t="s">
        <v>73</v>
      </c>
      <c r="AA112" s="58" t="s">
        <v>359</v>
      </c>
      <c r="AB112" s="58" t="s">
        <v>75</v>
      </c>
      <c r="AC112" s="61" t="s">
        <v>76</v>
      </c>
      <c r="AD112" s="53" t="s">
        <v>120</v>
      </c>
      <c r="AE112" s="56">
        <f t="shared" si="3"/>
        <v>32.973081443333328</v>
      </c>
      <c r="AF112" s="56">
        <v>32.973081443333328</v>
      </c>
      <c r="AG112" s="62"/>
      <c r="AH112" s="63"/>
      <c r="AI112" s="61"/>
      <c r="AJ112" s="58"/>
      <c r="AK112" s="58"/>
      <c r="AL112" s="58"/>
      <c r="AM112" s="58"/>
      <c r="AN112" s="58"/>
      <c r="AO112" s="58"/>
    </row>
    <row r="113" spans="1:41" x14ac:dyDescent="0.2">
      <c r="A113" s="49" t="s">
        <v>67</v>
      </c>
      <c r="B113" s="50">
        <v>43200</v>
      </c>
      <c r="C113" s="51">
        <v>0.66111111111111098</v>
      </c>
      <c r="D113" s="49" t="s">
        <v>144</v>
      </c>
      <c r="E113" s="49"/>
      <c r="F113" s="52">
        <v>59</v>
      </c>
      <c r="G113" s="53">
        <v>2</v>
      </c>
      <c r="H113" s="54">
        <v>3.3898305084745763E-2</v>
      </c>
      <c r="I113" s="55">
        <v>6.83E-2</v>
      </c>
      <c r="J113" s="53">
        <v>314.15899999999999</v>
      </c>
      <c r="K113" s="53">
        <v>0.47809999999999997</v>
      </c>
      <c r="L113" s="53">
        <v>7</v>
      </c>
      <c r="M113" s="56">
        <v>328.54946663877848</v>
      </c>
      <c r="N113" s="53">
        <v>1419</v>
      </c>
      <c r="O113" s="57" t="s">
        <v>94</v>
      </c>
      <c r="P113" s="57" t="s">
        <v>82</v>
      </c>
      <c r="Q113" s="53" t="s">
        <v>95</v>
      </c>
      <c r="R113" s="53" t="s">
        <v>96</v>
      </c>
      <c r="S113" s="53"/>
      <c r="T113" s="59">
        <v>406</v>
      </c>
      <c r="U113" s="59">
        <v>812</v>
      </c>
      <c r="V113" s="53">
        <v>0.8</v>
      </c>
      <c r="W113" s="53">
        <v>0.8</v>
      </c>
      <c r="X113" s="53">
        <v>0.8</v>
      </c>
      <c r="Y113" s="9">
        <f t="shared" si="2"/>
        <v>133391.08345534408</v>
      </c>
      <c r="Z113" s="60" t="s">
        <v>97</v>
      </c>
      <c r="AA113" s="58" t="s">
        <v>359</v>
      </c>
      <c r="AB113" s="58" t="s">
        <v>75</v>
      </c>
      <c r="AC113" s="61" t="s">
        <v>76</v>
      </c>
      <c r="AD113" s="53" t="s">
        <v>85</v>
      </c>
      <c r="AE113" s="56">
        <f t="shared" si="3"/>
        <v>0.17999999999999997</v>
      </c>
      <c r="AF113" s="56">
        <v>0.18</v>
      </c>
      <c r="AG113" s="56">
        <v>0.18</v>
      </c>
      <c r="AH113" s="56">
        <v>0.18</v>
      </c>
      <c r="AI113" s="56">
        <v>0.18</v>
      </c>
      <c r="AJ113" s="56">
        <v>0.18</v>
      </c>
      <c r="AK113" s="56">
        <v>0.18</v>
      </c>
      <c r="AL113" s="56">
        <v>0.18</v>
      </c>
      <c r="AM113" s="56">
        <v>0.18</v>
      </c>
      <c r="AN113" s="56">
        <v>0.18</v>
      </c>
      <c r="AO113" s="56">
        <v>0.18</v>
      </c>
    </row>
    <row r="114" spans="1:41" x14ac:dyDescent="0.2">
      <c r="A114" s="49" t="s">
        <v>67</v>
      </c>
      <c r="B114" s="50">
        <v>43206</v>
      </c>
      <c r="C114" s="51">
        <v>0.77708333333333302</v>
      </c>
      <c r="D114" s="49" t="s">
        <v>154</v>
      </c>
      <c r="E114" s="49">
        <v>3</v>
      </c>
      <c r="F114" s="52">
        <v>61</v>
      </c>
      <c r="G114" s="53">
        <v>2</v>
      </c>
      <c r="H114" s="54">
        <v>3.2786885245901641E-2</v>
      </c>
      <c r="I114" s="55">
        <v>6.83E-2</v>
      </c>
      <c r="J114" s="53">
        <v>314.15899999999999</v>
      </c>
      <c r="K114" s="53">
        <v>0.4098</v>
      </c>
      <c r="L114" s="53">
        <v>6</v>
      </c>
      <c r="M114" s="56">
        <v>383.30771107857493</v>
      </c>
      <c r="N114" s="53">
        <v>145</v>
      </c>
      <c r="O114" s="57" t="s">
        <v>69</v>
      </c>
      <c r="P114" s="58" t="s">
        <v>70</v>
      </c>
      <c r="Q114" s="53" t="s">
        <v>71</v>
      </c>
      <c r="R114" s="53" t="s">
        <v>72</v>
      </c>
      <c r="S114" s="53"/>
      <c r="T114" s="59">
        <v>3</v>
      </c>
      <c r="U114" s="59">
        <v>3</v>
      </c>
      <c r="V114" s="53">
        <v>20.399999999999999</v>
      </c>
      <c r="W114" s="53"/>
      <c r="X114" s="53"/>
      <c r="Y114" s="9">
        <f t="shared" si="2"/>
        <v>1149.9231332357247</v>
      </c>
      <c r="Z114" s="60" t="s">
        <v>73</v>
      </c>
      <c r="AA114" s="58" t="s">
        <v>362</v>
      </c>
      <c r="AB114" s="58" t="s">
        <v>75</v>
      </c>
      <c r="AC114" s="61" t="s">
        <v>221</v>
      </c>
      <c r="AD114" s="53" t="s">
        <v>77</v>
      </c>
      <c r="AE114" s="56">
        <f t="shared" si="3"/>
        <v>658.37673312000004</v>
      </c>
      <c r="AF114" s="56">
        <v>658.37673312000004</v>
      </c>
      <c r="AG114" s="62"/>
      <c r="AH114" s="63"/>
      <c r="AI114" s="61"/>
      <c r="AJ114" s="58"/>
      <c r="AK114" s="58"/>
      <c r="AL114" s="58"/>
      <c r="AM114" s="58"/>
      <c r="AN114" s="58"/>
      <c r="AO114" s="58"/>
    </row>
    <row r="115" spans="1:41" x14ac:dyDescent="0.2">
      <c r="A115" s="49" t="s">
        <v>67</v>
      </c>
      <c r="B115" s="50">
        <v>43206</v>
      </c>
      <c r="C115" s="51">
        <v>0.77708333333333302</v>
      </c>
      <c r="D115" s="49" t="s">
        <v>154</v>
      </c>
      <c r="E115" s="49">
        <v>3</v>
      </c>
      <c r="F115" s="52">
        <v>61</v>
      </c>
      <c r="G115" s="53">
        <v>2</v>
      </c>
      <c r="H115" s="54">
        <v>3.2786885245901641E-2</v>
      </c>
      <c r="I115" s="55">
        <v>6.83E-2</v>
      </c>
      <c r="J115" s="53">
        <v>314.15899999999999</v>
      </c>
      <c r="K115" s="53">
        <v>0.4098</v>
      </c>
      <c r="L115" s="53">
        <v>6</v>
      </c>
      <c r="M115" s="56">
        <v>383.30771107857493</v>
      </c>
      <c r="N115" s="53">
        <v>1037</v>
      </c>
      <c r="O115" s="57" t="s">
        <v>86</v>
      </c>
      <c r="P115" s="57" t="s">
        <v>82</v>
      </c>
      <c r="Q115" s="53" t="s">
        <v>87</v>
      </c>
      <c r="R115" s="53" t="s">
        <v>84</v>
      </c>
      <c r="S115" s="53"/>
      <c r="T115" s="59">
        <v>2</v>
      </c>
      <c r="U115" s="59">
        <v>2</v>
      </c>
      <c r="V115" s="53">
        <v>3.7</v>
      </c>
      <c r="W115" s="53"/>
      <c r="X115" s="53"/>
      <c r="Y115" s="9">
        <f t="shared" si="2"/>
        <v>766.61542215714985</v>
      </c>
      <c r="Z115" s="60" t="s">
        <v>73</v>
      </c>
      <c r="AA115" s="58" t="s">
        <v>362</v>
      </c>
      <c r="AB115" s="58" t="s">
        <v>75</v>
      </c>
      <c r="AC115" s="61" t="s">
        <v>221</v>
      </c>
      <c r="AD115" s="53" t="s">
        <v>85</v>
      </c>
      <c r="AE115" s="56">
        <f t="shared" si="3"/>
        <v>11.494030613333329</v>
      </c>
      <c r="AF115" s="56">
        <v>11.494030613333329</v>
      </c>
      <c r="AG115" s="62"/>
      <c r="AH115" s="63"/>
      <c r="AI115" s="61"/>
      <c r="AJ115" s="58"/>
      <c r="AK115" s="58"/>
      <c r="AL115" s="58"/>
      <c r="AM115" s="58"/>
      <c r="AN115" s="58"/>
      <c r="AO115" s="58"/>
    </row>
    <row r="116" spans="1:41" x14ac:dyDescent="0.2">
      <c r="A116" s="49" t="s">
        <v>67</v>
      </c>
      <c r="B116" s="50">
        <v>43206</v>
      </c>
      <c r="C116" s="51">
        <v>0.77708333333333302</v>
      </c>
      <c r="D116" s="49" t="s">
        <v>154</v>
      </c>
      <c r="E116" s="49">
        <v>3</v>
      </c>
      <c r="F116" s="52">
        <v>61</v>
      </c>
      <c r="G116" s="53">
        <v>2</v>
      </c>
      <c r="H116" s="54">
        <v>3.2786885245901641E-2</v>
      </c>
      <c r="I116" s="55">
        <v>6.83E-2</v>
      </c>
      <c r="J116" s="53">
        <v>314.15899999999999</v>
      </c>
      <c r="K116" s="53">
        <v>0.4098</v>
      </c>
      <c r="L116" s="53">
        <v>6</v>
      </c>
      <c r="M116" s="56">
        <v>383.30771107857493</v>
      </c>
      <c r="N116" s="53">
        <v>1162</v>
      </c>
      <c r="O116" s="57" t="s">
        <v>360</v>
      </c>
      <c r="P116" s="57" t="s">
        <v>82</v>
      </c>
      <c r="Q116" s="53" t="s">
        <v>361</v>
      </c>
      <c r="R116" s="53" t="s">
        <v>84</v>
      </c>
      <c r="S116" s="53"/>
      <c r="T116" s="59">
        <v>1</v>
      </c>
      <c r="U116" s="59">
        <v>4</v>
      </c>
      <c r="V116" s="53">
        <v>5.6</v>
      </c>
      <c r="W116" s="53"/>
      <c r="X116" s="53"/>
      <c r="Y116" s="9">
        <f t="shared" si="2"/>
        <v>383.30771107857493</v>
      </c>
      <c r="Z116" s="60" t="s">
        <v>97</v>
      </c>
      <c r="AA116" s="58" t="s">
        <v>362</v>
      </c>
      <c r="AB116" s="58" t="s">
        <v>75</v>
      </c>
      <c r="AC116" s="61" t="s">
        <v>221</v>
      </c>
      <c r="AD116" s="53" t="s">
        <v>120</v>
      </c>
      <c r="AE116" s="56">
        <f t="shared" si="3"/>
        <v>40.141142626666664</v>
      </c>
      <c r="AF116" s="56">
        <v>40.141142626666664</v>
      </c>
      <c r="AG116" s="62"/>
      <c r="AH116" s="63"/>
      <c r="AI116" s="61"/>
      <c r="AJ116" s="58"/>
      <c r="AK116" s="58"/>
      <c r="AL116" s="58"/>
      <c r="AM116" s="58"/>
      <c r="AN116" s="58"/>
      <c r="AO116" s="58"/>
    </row>
    <row r="117" spans="1:41" x14ac:dyDescent="0.2">
      <c r="A117" s="49" t="s">
        <v>67</v>
      </c>
      <c r="B117" s="50">
        <v>43206</v>
      </c>
      <c r="C117" s="51">
        <v>0.77708333333333302</v>
      </c>
      <c r="D117" s="49" t="s">
        <v>154</v>
      </c>
      <c r="E117" s="49">
        <v>3</v>
      </c>
      <c r="F117" s="52">
        <v>61</v>
      </c>
      <c r="G117" s="53">
        <v>2</v>
      </c>
      <c r="H117" s="54">
        <v>3.2786885245901641E-2</v>
      </c>
      <c r="I117" s="55">
        <v>6.83E-2</v>
      </c>
      <c r="J117" s="53">
        <v>314.15899999999999</v>
      </c>
      <c r="K117" s="53">
        <v>0.4098</v>
      </c>
      <c r="L117" s="53">
        <v>6</v>
      </c>
      <c r="M117" s="56">
        <v>383.30771107857493</v>
      </c>
      <c r="N117" s="53">
        <v>1419</v>
      </c>
      <c r="O117" s="57" t="s">
        <v>94</v>
      </c>
      <c r="P117" s="57" t="s">
        <v>82</v>
      </c>
      <c r="Q117" s="53" t="s">
        <v>95</v>
      </c>
      <c r="R117" s="53" t="s">
        <v>96</v>
      </c>
      <c r="S117" s="53"/>
      <c r="T117" s="59">
        <v>394</v>
      </c>
      <c r="U117" s="59">
        <v>789</v>
      </c>
      <c r="V117" s="53">
        <v>0.8</v>
      </c>
      <c r="W117" s="53">
        <v>0.8</v>
      </c>
      <c r="X117" s="53">
        <v>0.8</v>
      </c>
      <c r="Y117" s="9">
        <f t="shared" si="2"/>
        <v>151023.23816495851</v>
      </c>
      <c r="Z117" s="60" t="s">
        <v>97</v>
      </c>
      <c r="AA117" s="58" t="s">
        <v>362</v>
      </c>
      <c r="AB117" s="58" t="s">
        <v>75</v>
      </c>
      <c r="AC117" s="61" t="s">
        <v>221</v>
      </c>
      <c r="AD117" s="53" t="s">
        <v>85</v>
      </c>
      <c r="AE117" s="56">
        <f t="shared" si="3"/>
        <v>0.17999999999999997</v>
      </c>
      <c r="AF117" s="56">
        <v>0.18</v>
      </c>
      <c r="AG117" s="56">
        <v>0.18</v>
      </c>
      <c r="AH117" s="56">
        <v>0.18</v>
      </c>
      <c r="AI117" s="56">
        <v>0.18</v>
      </c>
      <c r="AJ117" s="56">
        <v>0.18</v>
      </c>
      <c r="AK117" s="56">
        <v>0.18</v>
      </c>
      <c r="AL117" s="56">
        <v>0.18</v>
      </c>
      <c r="AM117" s="56">
        <v>0.18</v>
      </c>
      <c r="AN117" s="56">
        <v>0.18</v>
      </c>
      <c r="AO117" s="56">
        <v>0.18</v>
      </c>
    </row>
    <row r="118" spans="1:41" x14ac:dyDescent="0.2">
      <c r="A118" s="49" t="s">
        <v>67</v>
      </c>
      <c r="B118" s="50">
        <v>43206</v>
      </c>
      <c r="C118" s="51">
        <v>0.77708333333333302</v>
      </c>
      <c r="D118" s="49" t="s">
        <v>154</v>
      </c>
      <c r="E118" s="49">
        <v>3</v>
      </c>
      <c r="F118" s="52">
        <v>61</v>
      </c>
      <c r="G118" s="53">
        <v>2</v>
      </c>
      <c r="H118" s="54">
        <v>3.2786885245901641E-2</v>
      </c>
      <c r="I118" s="55">
        <v>6.83E-2</v>
      </c>
      <c r="J118" s="53">
        <v>314.15899999999999</v>
      </c>
      <c r="K118" s="53">
        <v>0.4098</v>
      </c>
      <c r="L118" s="53">
        <v>6</v>
      </c>
      <c r="M118" s="56">
        <v>383.30771107857493</v>
      </c>
      <c r="N118" s="53">
        <v>1519</v>
      </c>
      <c r="O118" s="58" t="s">
        <v>301</v>
      </c>
      <c r="P118" s="57" t="s">
        <v>82</v>
      </c>
      <c r="Q118" s="53" t="s">
        <v>302</v>
      </c>
      <c r="R118" s="53" t="s">
        <v>84</v>
      </c>
      <c r="S118" s="53"/>
      <c r="T118" s="59">
        <v>1</v>
      </c>
      <c r="U118" s="59">
        <v>5</v>
      </c>
      <c r="V118" s="53">
        <v>0.8</v>
      </c>
      <c r="W118" s="53"/>
      <c r="X118" s="53"/>
      <c r="Y118" s="9">
        <f t="shared" si="2"/>
        <v>383.30771107857493</v>
      </c>
      <c r="Z118" s="60" t="s">
        <v>97</v>
      </c>
      <c r="AA118" s="58" t="s">
        <v>362</v>
      </c>
      <c r="AB118" s="58" t="s">
        <v>75</v>
      </c>
      <c r="AC118" s="61" t="s">
        <v>221</v>
      </c>
      <c r="AD118" s="53" t="s">
        <v>85</v>
      </c>
      <c r="AE118" s="56">
        <f t="shared" si="3"/>
        <v>0.26808234666666664</v>
      </c>
      <c r="AF118" s="56">
        <v>0.26808234666666664</v>
      </c>
      <c r="AG118" s="62"/>
      <c r="AH118" s="63"/>
      <c r="AI118" s="61"/>
      <c r="AJ118" s="58"/>
      <c r="AK118" s="58"/>
      <c r="AL118" s="58"/>
      <c r="AM118" s="58"/>
      <c r="AN118" s="58"/>
      <c r="AO118" s="58"/>
    </row>
    <row r="119" spans="1:41" x14ac:dyDescent="0.2">
      <c r="A119" s="49" t="s">
        <v>67</v>
      </c>
      <c r="B119" s="50">
        <v>43206</v>
      </c>
      <c r="C119" s="51">
        <v>0.80208333333333304</v>
      </c>
      <c r="D119" s="49" t="s">
        <v>256</v>
      </c>
      <c r="E119" s="49">
        <v>3</v>
      </c>
      <c r="F119" s="52">
        <v>62</v>
      </c>
      <c r="G119" s="53">
        <v>2</v>
      </c>
      <c r="H119" s="54">
        <v>3.2258064516129031E-2</v>
      </c>
      <c r="I119" s="55">
        <v>6.83E-2</v>
      </c>
      <c r="J119" s="53">
        <v>314.15899999999999</v>
      </c>
      <c r="K119" s="53">
        <v>0.47809999999999997</v>
      </c>
      <c r="L119" s="53">
        <v>7</v>
      </c>
      <c r="M119" s="56">
        <v>328.54946663877848</v>
      </c>
      <c r="N119" s="53">
        <v>1037</v>
      </c>
      <c r="O119" s="57" t="s">
        <v>86</v>
      </c>
      <c r="P119" s="57" t="s">
        <v>82</v>
      </c>
      <c r="Q119" s="53" t="s">
        <v>87</v>
      </c>
      <c r="R119" s="53" t="s">
        <v>84</v>
      </c>
      <c r="S119" s="53"/>
      <c r="T119" s="59">
        <v>4</v>
      </c>
      <c r="U119" s="59">
        <v>4</v>
      </c>
      <c r="V119" s="53">
        <v>3.7</v>
      </c>
      <c r="W119" s="53"/>
      <c r="X119" s="53"/>
      <c r="Y119" s="9">
        <f t="shared" si="2"/>
        <v>1314.1978665551139</v>
      </c>
      <c r="Z119" s="60" t="s">
        <v>73</v>
      </c>
      <c r="AA119" s="58" t="s">
        <v>374</v>
      </c>
      <c r="AB119" s="58" t="s">
        <v>75</v>
      </c>
      <c r="AC119" s="61" t="s">
        <v>221</v>
      </c>
      <c r="AD119" s="53" t="s">
        <v>85</v>
      </c>
      <c r="AE119" s="56">
        <f t="shared" si="3"/>
        <v>18.816553304999996</v>
      </c>
      <c r="AF119" s="56">
        <v>18.816553304999996</v>
      </c>
      <c r="AG119" s="62"/>
      <c r="AH119" s="63"/>
      <c r="AI119" s="61"/>
      <c r="AJ119" s="58"/>
      <c r="AK119" s="58"/>
      <c r="AL119" s="58"/>
      <c r="AM119" s="58"/>
      <c r="AN119" s="58"/>
      <c r="AO119" s="58"/>
    </row>
    <row r="120" spans="1:41" x14ac:dyDescent="0.2">
      <c r="A120" s="49" t="s">
        <v>67</v>
      </c>
      <c r="B120" s="50">
        <v>43206</v>
      </c>
      <c r="C120" s="51">
        <v>0.80208333333333304</v>
      </c>
      <c r="D120" s="49" t="s">
        <v>256</v>
      </c>
      <c r="E120" s="49">
        <v>3</v>
      </c>
      <c r="F120" s="52">
        <v>62</v>
      </c>
      <c r="G120" s="53">
        <v>2</v>
      </c>
      <c r="H120" s="54">
        <v>3.2258064516129031E-2</v>
      </c>
      <c r="I120" s="55">
        <v>6.83E-2</v>
      </c>
      <c r="J120" s="53">
        <v>314.15899999999999</v>
      </c>
      <c r="K120" s="53">
        <v>0.47809999999999997</v>
      </c>
      <c r="L120" s="53">
        <v>7</v>
      </c>
      <c r="M120" s="56">
        <v>328.54946663877848</v>
      </c>
      <c r="N120" s="53">
        <v>1134</v>
      </c>
      <c r="O120" s="58" t="s">
        <v>375</v>
      </c>
      <c r="P120" s="57" t="s">
        <v>82</v>
      </c>
      <c r="Q120" s="53" t="s">
        <v>127</v>
      </c>
      <c r="R120" s="53" t="s">
        <v>376</v>
      </c>
      <c r="S120" s="53"/>
      <c r="T120" s="59">
        <v>1</v>
      </c>
      <c r="U120" s="59">
        <v>1</v>
      </c>
      <c r="V120" s="53">
        <v>13</v>
      </c>
      <c r="W120" s="53"/>
      <c r="X120" s="53"/>
      <c r="Y120" s="9">
        <f t="shared" si="2"/>
        <v>328.54946663877848</v>
      </c>
      <c r="Z120" s="60" t="s">
        <v>73</v>
      </c>
      <c r="AA120" s="58" t="s">
        <v>374</v>
      </c>
      <c r="AB120" s="58" t="s">
        <v>75</v>
      </c>
      <c r="AC120" s="61" t="s">
        <v>221</v>
      </c>
      <c r="AD120" s="53" t="s">
        <v>129</v>
      </c>
      <c r="AE120" s="56">
        <f t="shared" si="3"/>
        <v>24.572469783333329</v>
      </c>
      <c r="AF120" s="56">
        <v>24.572469783333329</v>
      </c>
      <c r="AG120" s="62"/>
      <c r="AH120" s="63"/>
      <c r="AI120" s="61"/>
      <c r="AJ120" s="58"/>
      <c r="AK120" s="58"/>
      <c r="AL120" s="58"/>
      <c r="AM120" s="58"/>
      <c r="AN120" s="58"/>
      <c r="AO120" s="58"/>
    </row>
    <row r="121" spans="1:41" x14ac:dyDescent="0.2">
      <c r="A121" s="49" t="s">
        <v>67</v>
      </c>
      <c r="B121" s="50">
        <v>43206</v>
      </c>
      <c r="C121" s="51">
        <v>0.80208333333333304</v>
      </c>
      <c r="D121" s="49" t="s">
        <v>256</v>
      </c>
      <c r="E121" s="49">
        <v>3</v>
      </c>
      <c r="F121" s="52">
        <v>62</v>
      </c>
      <c r="G121" s="53">
        <v>2</v>
      </c>
      <c r="H121" s="54">
        <v>3.2258064516129031E-2</v>
      </c>
      <c r="I121" s="55">
        <v>6.83E-2</v>
      </c>
      <c r="J121" s="53">
        <v>314.15899999999999</v>
      </c>
      <c r="K121" s="53">
        <v>0.47809999999999997</v>
      </c>
      <c r="L121" s="53">
        <v>7</v>
      </c>
      <c r="M121" s="56">
        <v>328.54946663877848</v>
      </c>
      <c r="N121" s="53">
        <v>1419</v>
      </c>
      <c r="O121" s="57" t="s">
        <v>94</v>
      </c>
      <c r="P121" s="57" t="s">
        <v>82</v>
      </c>
      <c r="Q121" s="53" t="s">
        <v>95</v>
      </c>
      <c r="R121" s="53" t="s">
        <v>96</v>
      </c>
      <c r="S121" s="53"/>
      <c r="T121" s="59">
        <v>450</v>
      </c>
      <c r="U121" s="59">
        <v>902</v>
      </c>
      <c r="V121" s="53">
        <v>0.8</v>
      </c>
      <c r="W121" s="53">
        <v>0.8</v>
      </c>
      <c r="X121" s="53">
        <v>0.8</v>
      </c>
      <c r="Y121" s="9">
        <f t="shared" si="2"/>
        <v>147847.25998745032</v>
      </c>
      <c r="Z121" s="60" t="s">
        <v>97</v>
      </c>
      <c r="AA121" s="58" t="s">
        <v>374</v>
      </c>
      <c r="AB121" s="58" t="s">
        <v>75</v>
      </c>
      <c r="AC121" s="61" t="s">
        <v>221</v>
      </c>
      <c r="AD121" s="53" t="s">
        <v>85</v>
      </c>
      <c r="AE121" s="56">
        <f t="shared" si="3"/>
        <v>0.17999999999999997</v>
      </c>
      <c r="AF121" s="56">
        <v>0.18</v>
      </c>
      <c r="AG121" s="56">
        <v>0.18</v>
      </c>
      <c r="AH121" s="56">
        <v>0.18</v>
      </c>
      <c r="AI121" s="56">
        <v>0.18</v>
      </c>
      <c r="AJ121" s="56">
        <v>0.18</v>
      </c>
      <c r="AK121" s="56">
        <v>0.18</v>
      </c>
      <c r="AL121" s="56">
        <v>0.18</v>
      </c>
      <c r="AM121" s="56">
        <v>0.18</v>
      </c>
      <c r="AN121" s="56">
        <v>0.18</v>
      </c>
      <c r="AO121" s="56">
        <v>0.18</v>
      </c>
    </row>
    <row r="122" spans="1:41" x14ac:dyDescent="0.2">
      <c r="A122" s="49" t="s">
        <v>67</v>
      </c>
      <c r="B122" s="50">
        <v>43206</v>
      </c>
      <c r="C122" s="51">
        <v>0.80208333333333304</v>
      </c>
      <c r="D122" s="49" t="s">
        <v>256</v>
      </c>
      <c r="E122" s="49">
        <v>3</v>
      </c>
      <c r="F122" s="52">
        <v>62</v>
      </c>
      <c r="G122" s="53">
        <v>2</v>
      </c>
      <c r="H122" s="54">
        <v>3.2258064516129031E-2</v>
      </c>
      <c r="I122" s="55">
        <v>6.83E-2</v>
      </c>
      <c r="J122" s="53">
        <v>314.15899999999999</v>
      </c>
      <c r="K122" s="53">
        <v>0.47809999999999997</v>
      </c>
      <c r="L122" s="53">
        <v>7</v>
      </c>
      <c r="M122" s="56">
        <v>328.54946663877848</v>
      </c>
      <c r="N122" s="53">
        <v>1519</v>
      </c>
      <c r="O122" s="58" t="s">
        <v>301</v>
      </c>
      <c r="P122" s="57" t="s">
        <v>82</v>
      </c>
      <c r="Q122" s="53" t="s">
        <v>302</v>
      </c>
      <c r="R122" s="53" t="s">
        <v>84</v>
      </c>
      <c r="S122" s="53"/>
      <c r="T122" s="59">
        <v>1</v>
      </c>
      <c r="U122" s="59">
        <v>6</v>
      </c>
      <c r="V122" s="53">
        <v>0.8</v>
      </c>
      <c r="W122" s="53"/>
      <c r="X122" s="53"/>
      <c r="Y122" s="9">
        <f t="shared" si="2"/>
        <v>328.54946663877848</v>
      </c>
      <c r="Z122" s="60" t="s">
        <v>97</v>
      </c>
      <c r="AA122" s="58" t="s">
        <v>374</v>
      </c>
      <c r="AB122" s="58" t="s">
        <v>75</v>
      </c>
      <c r="AC122" s="61" t="s">
        <v>221</v>
      </c>
      <c r="AD122" s="53" t="s">
        <v>85</v>
      </c>
      <c r="AE122" s="56">
        <f t="shared" si="3"/>
        <v>0.26808234666666664</v>
      </c>
      <c r="AF122" s="56">
        <v>0.26808234666666664</v>
      </c>
      <c r="AG122" s="62"/>
      <c r="AH122" s="63"/>
      <c r="AI122" s="61"/>
      <c r="AJ122" s="58"/>
      <c r="AK122" s="58"/>
      <c r="AL122" s="58"/>
      <c r="AM122" s="58"/>
      <c r="AN122" s="58"/>
      <c r="AO122" s="58"/>
    </row>
    <row r="123" spans="1:41" x14ac:dyDescent="0.2">
      <c r="A123" s="49" t="s">
        <v>67</v>
      </c>
      <c r="B123" s="50">
        <v>43207</v>
      </c>
      <c r="C123" s="51">
        <v>0.8125</v>
      </c>
      <c r="D123" s="49" t="s">
        <v>141</v>
      </c>
      <c r="E123" s="49"/>
      <c r="F123" s="52">
        <v>57.5</v>
      </c>
      <c r="G123" s="53">
        <v>2</v>
      </c>
      <c r="H123" s="54">
        <v>3.4782608695652174E-2</v>
      </c>
      <c r="I123" s="55">
        <v>6.83E-2</v>
      </c>
      <c r="J123" s="53">
        <v>314.15899999999999</v>
      </c>
      <c r="K123" s="53">
        <v>0.47809999999999997</v>
      </c>
      <c r="L123" s="53">
        <v>7</v>
      </c>
      <c r="M123" s="56">
        <v>328.54946663877848</v>
      </c>
      <c r="N123" s="53">
        <v>37</v>
      </c>
      <c r="O123" s="58" t="s">
        <v>363</v>
      </c>
      <c r="P123" s="58" t="s">
        <v>70</v>
      </c>
      <c r="Q123" s="53" t="s">
        <v>110</v>
      </c>
      <c r="R123" s="53" t="s">
        <v>364</v>
      </c>
      <c r="S123" s="53"/>
      <c r="T123" s="59">
        <v>2</v>
      </c>
      <c r="U123" s="59">
        <v>2</v>
      </c>
      <c r="V123" s="53">
        <v>18.5</v>
      </c>
      <c r="W123" s="53"/>
      <c r="X123" s="53"/>
      <c r="Y123" s="9">
        <f t="shared" si="2"/>
        <v>657.09893327755697</v>
      </c>
      <c r="Z123" s="60" t="s">
        <v>73</v>
      </c>
      <c r="AA123" s="58" t="s">
        <v>365</v>
      </c>
      <c r="AB123" s="58" t="s">
        <v>75</v>
      </c>
      <c r="AC123" s="61" t="s">
        <v>366</v>
      </c>
      <c r="AD123" s="53" t="s">
        <v>77</v>
      </c>
      <c r="AE123" s="56">
        <f t="shared" si="3"/>
        <v>150.52928484999998</v>
      </c>
      <c r="AF123" s="56">
        <v>150.52928484999998</v>
      </c>
      <c r="AG123" s="62"/>
      <c r="AH123" s="63"/>
      <c r="AI123" s="61"/>
      <c r="AJ123" s="58"/>
      <c r="AK123" s="58"/>
      <c r="AL123" s="58"/>
      <c r="AM123" s="58"/>
      <c r="AN123" s="58"/>
      <c r="AO123" s="58"/>
    </row>
    <row r="124" spans="1:41" x14ac:dyDescent="0.2">
      <c r="A124" s="49" t="s">
        <v>67</v>
      </c>
      <c r="B124" s="50">
        <v>43207</v>
      </c>
      <c r="C124" s="51">
        <v>0.8125</v>
      </c>
      <c r="D124" s="49" t="s">
        <v>141</v>
      </c>
      <c r="E124" s="49"/>
      <c r="F124" s="52">
        <v>57.5</v>
      </c>
      <c r="G124" s="53">
        <v>2</v>
      </c>
      <c r="H124" s="54">
        <v>3.4782608695652174E-2</v>
      </c>
      <c r="I124" s="55">
        <v>6.83E-2</v>
      </c>
      <c r="J124" s="53">
        <v>314.15899999999999</v>
      </c>
      <c r="K124" s="53">
        <v>0.47809999999999997</v>
      </c>
      <c r="L124" s="53">
        <v>7</v>
      </c>
      <c r="M124" s="56">
        <v>328.54946663877848</v>
      </c>
      <c r="N124" s="53">
        <v>147</v>
      </c>
      <c r="O124" s="57" t="s">
        <v>367</v>
      </c>
      <c r="P124" s="58" t="s">
        <v>70</v>
      </c>
      <c r="Q124" s="53" t="s">
        <v>71</v>
      </c>
      <c r="R124" s="53" t="s">
        <v>84</v>
      </c>
      <c r="S124" s="53"/>
      <c r="T124" s="59">
        <v>1</v>
      </c>
      <c r="U124" s="59">
        <v>1</v>
      </c>
      <c r="V124" s="53">
        <v>11.1</v>
      </c>
      <c r="W124" s="53"/>
      <c r="X124" s="53"/>
      <c r="Y124" s="9">
        <f t="shared" si="2"/>
        <v>328.54946663877848</v>
      </c>
      <c r="Z124" s="60" t="s">
        <v>73</v>
      </c>
      <c r="AA124" s="58" t="s">
        <v>365</v>
      </c>
      <c r="AB124" s="58" t="s">
        <v>75</v>
      </c>
      <c r="AC124" s="61" t="s">
        <v>366</v>
      </c>
      <c r="AD124" s="53" t="s">
        <v>77</v>
      </c>
      <c r="AE124" s="56">
        <f t="shared" si="3"/>
        <v>180.63514182</v>
      </c>
      <c r="AF124" s="56">
        <v>180.63514182</v>
      </c>
      <c r="AG124" s="62"/>
      <c r="AH124" s="63"/>
      <c r="AI124" s="61"/>
      <c r="AJ124" s="58"/>
      <c r="AK124" s="58"/>
      <c r="AL124" s="58"/>
      <c r="AM124" s="58"/>
      <c r="AN124" s="58"/>
      <c r="AO124" s="58"/>
    </row>
    <row r="125" spans="1:41" x14ac:dyDescent="0.2">
      <c r="A125" s="49" t="s">
        <v>67</v>
      </c>
      <c r="B125" s="50">
        <v>43207</v>
      </c>
      <c r="C125" s="51">
        <v>0.8125</v>
      </c>
      <c r="D125" s="49" t="s">
        <v>141</v>
      </c>
      <c r="E125" s="49"/>
      <c r="F125" s="52">
        <v>57.5</v>
      </c>
      <c r="G125" s="53">
        <v>2</v>
      </c>
      <c r="H125" s="54">
        <v>3.4782608695652174E-2</v>
      </c>
      <c r="I125" s="55">
        <v>6.83E-2</v>
      </c>
      <c r="J125" s="53">
        <v>314.15899999999999</v>
      </c>
      <c r="K125" s="53">
        <v>0.47809999999999997</v>
      </c>
      <c r="L125" s="53">
        <v>7</v>
      </c>
      <c r="M125" s="56">
        <v>328.54946663877848</v>
      </c>
      <c r="N125" s="53">
        <v>190</v>
      </c>
      <c r="O125" s="57" t="s">
        <v>102</v>
      </c>
      <c r="P125" s="58" t="s">
        <v>70</v>
      </c>
      <c r="Q125" s="53" t="s">
        <v>103</v>
      </c>
      <c r="R125" s="53" t="s">
        <v>84</v>
      </c>
      <c r="S125" s="53"/>
      <c r="T125" s="59">
        <v>1</v>
      </c>
      <c r="U125" s="59">
        <v>1</v>
      </c>
      <c r="V125" s="53">
        <v>7.4</v>
      </c>
      <c r="W125" s="53"/>
      <c r="X125" s="53"/>
      <c r="Y125" s="9">
        <f t="shared" si="2"/>
        <v>328.54946663877848</v>
      </c>
      <c r="Z125" s="60" t="s">
        <v>73</v>
      </c>
      <c r="AA125" s="58" t="s">
        <v>365</v>
      </c>
      <c r="AB125" s="58" t="s">
        <v>75</v>
      </c>
      <c r="AC125" s="61" t="s">
        <v>366</v>
      </c>
      <c r="AD125" s="53" t="s">
        <v>104</v>
      </c>
      <c r="AE125" s="56">
        <f t="shared" si="3"/>
        <v>240.84685575999998</v>
      </c>
      <c r="AF125" s="56">
        <v>240.84685575999998</v>
      </c>
      <c r="AG125" s="62"/>
      <c r="AH125" s="63"/>
      <c r="AI125" s="61"/>
      <c r="AJ125" s="58"/>
      <c r="AK125" s="58"/>
      <c r="AL125" s="58"/>
      <c r="AM125" s="58"/>
      <c r="AN125" s="58"/>
      <c r="AO125" s="58"/>
    </row>
    <row r="126" spans="1:41" x14ac:dyDescent="0.2">
      <c r="A126" s="49" t="s">
        <v>67</v>
      </c>
      <c r="B126" s="50">
        <v>43207</v>
      </c>
      <c r="C126" s="51">
        <v>0.8125</v>
      </c>
      <c r="D126" s="49" t="s">
        <v>141</v>
      </c>
      <c r="E126" s="49"/>
      <c r="F126" s="52">
        <v>57.5</v>
      </c>
      <c r="G126" s="53">
        <v>2</v>
      </c>
      <c r="H126" s="54">
        <v>3.4782608695652174E-2</v>
      </c>
      <c r="I126" s="55">
        <v>6.83E-2</v>
      </c>
      <c r="J126" s="53">
        <v>314.15899999999999</v>
      </c>
      <c r="K126" s="53">
        <v>0.47809999999999997</v>
      </c>
      <c r="L126" s="53">
        <v>7</v>
      </c>
      <c r="M126" s="56">
        <v>328.54946663877848</v>
      </c>
      <c r="N126" s="53">
        <v>458</v>
      </c>
      <c r="O126" s="57" t="s">
        <v>368</v>
      </c>
      <c r="P126" s="58" t="s">
        <v>70</v>
      </c>
      <c r="Q126" s="53" t="s">
        <v>344</v>
      </c>
      <c r="R126" s="53" t="s">
        <v>369</v>
      </c>
      <c r="S126" s="53"/>
      <c r="T126" s="59">
        <v>1</v>
      </c>
      <c r="U126" s="59">
        <v>1</v>
      </c>
      <c r="V126" s="53">
        <v>13</v>
      </c>
      <c r="W126" s="53"/>
      <c r="X126" s="53"/>
      <c r="Y126" s="9">
        <f t="shared" si="2"/>
        <v>328.54946663877848</v>
      </c>
      <c r="Z126" s="60" t="s">
        <v>73</v>
      </c>
      <c r="AA126" s="58" t="s">
        <v>365</v>
      </c>
      <c r="AB126" s="58" t="s">
        <v>75</v>
      </c>
      <c r="AC126" s="61" t="s">
        <v>366</v>
      </c>
      <c r="AD126" s="53" t="s">
        <v>346</v>
      </c>
      <c r="AE126" s="56">
        <f t="shared" si="3"/>
        <v>303.70343033333324</v>
      </c>
      <c r="AF126" s="56">
        <v>303.70343033333324</v>
      </c>
      <c r="AG126" s="62"/>
      <c r="AH126" s="63"/>
      <c r="AI126" s="61"/>
      <c r="AJ126" s="58"/>
      <c r="AK126" s="58"/>
      <c r="AL126" s="58"/>
      <c r="AM126" s="58"/>
      <c r="AN126" s="58"/>
      <c r="AO126" s="58"/>
    </row>
    <row r="127" spans="1:41" x14ac:dyDescent="0.2">
      <c r="A127" s="49" t="s">
        <v>67</v>
      </c>
      <c r="B127" s="50">
        <v>43207</v>
      </c>
      <c r="C127" s="51">
        <v>0.8125</v>
      </c>
      <c r="D127" s="49" t="s">
        <v>141</v>
      </c>
      <c r="E127" s="49"/>
      <c r="F127" s="52">
        <v>57.5</v>
      </c>
      <c r="G127" s="53">
        <v>2</v>
      </c>
      <c r="H127" s="54">
        <v>3.4782608695652174E-2</v>
      </c>
      <c r="I127" s="55">
        <v>6.83E-2</v>
      </c>
      <c r="J127" s="53">
        <v>314.15899999999999</v>
      </c>
      <c r="K127" s="53">
        <v>0.47809999999999997</v>
      </c>
      <c r="L127" s="53">
        <v>7</v>
      </c>
      <c r="M127" s="56">
        <v>328.54946663877848</v>
      </c>
      <c r="N127" s="53">
        <v>464</v>
      </c>
      <c r="O127" s="57" t="s">
        <v>343</v>
      </c>
      <c r="P127" s="58" t="s">
        <v>70</v>
      </c>
      <c r="Q127" s="53" t="s">
        <v>344</v>
      </c>
      <c r="R127" s="53" t="s">
        <v>84</v>
      </c>
      <c r="S127" s="53"/>
      <c r="T127" s="59">
        <v>1</v>
      </c>
      <c r="U127" s="59">
        <v>1</v>
      </c>
      <c r="V127" s="53">
        <v>9.3000000000000007</v>
      </c>
      <c r="W127" s="53"/>
      <c r="X127" s="53"/>
      <c r="Y127" s="9">
        <f t="shared" si="2"/>
        <v>328.54946663877848</v>
      </c>
      <c r="Z127" s="60" t="s">
        <v>73</v>
      </c>
      <c r="AA127" s="58" t="s">
        <v>365</v>
      </c>
      <c r="AB127" s="58" t="s">
        <v>75</v>
      </c>
      <c r="AC127" s="61" t="s">
        <v>370</v>
      </c>
      <c r="AD127" s="53" t="s">
        <v>346</v>
      </c>
      <c r="AE127" s="56">
        <f t="shared" si="3"/>
        <v>242.81942836666664</v>
      </c>
      <c r="AF127" s="56">
        <v>242.81942836666664</v>
      </c>
      <c r="AG127" s="62"/>
      <c r="AH127" s="63"/>
      <c r="AI127" s="61"/>
      <c r="AJ127" s="58"/>
      <c r="AK127" s="58"/>
      <c r="AL127" s="58"/>
      <c r="AM127" s="58"/>
      <c r="AN127" s="58"/>
      <c r="AO127" s="58"/>
    </row>
    <row r="128" spans="1:41" x14ac:dyDescent="0.2">
      <c r="A128" s="49" t="s">
        <v>67</v>
      </c>
      <c r="B128" s="50">
        <v>43207</v>
      </c>
      <c r="C128" s="51">
        <v>0.8125</v>
      </c>
      <c r="D128" s="49" t="s">
        <v>141</v>
      </c>
      <c r="E128" s="49"/>
      <c r="F128" s="52">
        <v>57.5</v>
      </c>
      <c r="G128" s="53">
        <v>2</v>
      </c>
      <c r="H128" s="54">
        <v>3.4782608695652174E-2</v>
      </c>
      <c r="I128" s="55">
        <v>6.83E-2</v>
      </c>
      <c r="J128" s="53">
        <v>314.15899999999999</v>
      </c>
      <c r="K128" s="53">
        <v>0.47809999999999997</v>
      </c>
      <c r="L128" s="53">
        <v>7</v>
      </c>
      <c r="M128" s="56">
        <v>328.54946663877848</v>
      </c>
      <c r="N128" s="53">
        <v>1037</v>
      </c>
      <c r="O128" s="57" t="s">
        <v>86</v>
      </c>
      <c r="P128" s="57" t="s">
        <v>82</v>
      </c>
      <c r="Q128" s="53" t="s">
        <v>87</v>
      </c>
      <c r="R128" s="53" t="s">
        <v>84</v>
      </c>
      <c r="S128" s="53"/>
      <c r="T128" s="59">
        <v>4</v>
      </c>
      <c r="U128" s="59">
        <v>4</v>
      </c>
      <c r="V128" s="53">
        <v>3.7</v>
      </c>
      <c r="W128" s="53"/>
      <c r="X128" s="53"/>
      <c r="Y128" s="9">
        <f t="shared" si="2"/>
        <v>1314.1978665551139</v>
      </c>
      <c r="Z128" s="60" t="s">
        <v>73</v>
      </c>
      <c r="AA128" s="58" t="s">
        <v>365</v>
      </c>
      <c r="AB128" s="58" t="s">
        <v>75</v>
      </c>
      <c r="AC128" s="61" t="s">
        <v>366</v>
      </c>
      <c r="AD128" s="53" t="s">
        <v>85</v>
      </c>
      <c r="AE128" s="56">
        <f t="shared" si="3"/>
        <v>11.494030613333329</v>
      </c>
      <c r="AF128" s="56">
        <v>11.494030613333329</v>
      </c>
      <c r="AG128" s="62"/>
      <c r="AH128" s="63"/>
      <c r="AI128" s="61"/>
      <c r="AJ128" s="58"/>
      <c r="AK128" s="58"/>
      <c r="AL128" s="58"/>
      <c r="AM128" s="58"/>
      <c r="AN128" s="58"/>
      <c r="AO128" s="58"/>
    </row>
    <row r="129" spans="1:41" x14ac:dyDescent="0.2">
      <c r="A129" s="49" t="s">
        <v>67</v>
      </c>
      <c r="B129" s="50">
        <v>43207</v>
      </c>
      <c r="C129" s="51">
        <v>0.8125</v>
      </c>
      <c r="D129" s="49" t="s">
        <v>141</v>
      </c>
      <c r="E129" s="49"/>
      <c r="F129" s="52">
        <v>57.5</v>
      </c>
      <c r="G129" s="53">
        <v>2</v>
      </c>
      <c r="H129" s="54">
        <v>3.4782608695652174E-2</v>
      </c>
      <c r="I129" s="55">
        <v>6.83E-2</v>
      </c>
      <c r="J129" s="53">
        <v>314.15899999999999</v>
      </c>
      <c r="K129" s="53">
        <v>0.47809999999999997</v>
      </c>
      <c r="L129" s="53">
        <v>7</v>
      </c>
      <c r="M129" s="56">
        <v>328.54946663877848</v>
      </c>
      <c r="N129" s="53">
        <v>1419</v>
      </c>
      <c r="O129" s="57" t="s">
        <v>94</v>
      </c>
      <c r="P129" s="57" t="s">
        <v>82</v>
      </c>
      <c r="Q129" s="53" t="s">
        <v>95</v>
      </c>
      <c r="R129" s="53" t="s">
        <v>96</v>
      </c>
      <c r="S129" s="53"/>
      <c r="T129" s="59">
        <v>433</v>
      </c>
      <c r="U129" s="59">
        <v>873</v>
      </c>
      <c r="V129" s="53">
        <v>0.8</v>
      </c>
      <c r="W129" s="53">
        <v>0.8</v>
      </c>
      <c r="X129" s="53">
        <v>0.8</v>
      </c>
      <c r="Y129" s="9">
        <f t="shared" si="2"/>
        <v>142261.9190545911</v>
      </c>
      <c r="Z129" s="60" t="s">
        <v>97</v>
      </c>
      <c r="AA129" s="58" t="s">
        <v>365</v>
      </c>
      <c r="AB129" s="58" t="s">
        <v>75</v>
      </c>
      <c r="AC129" s="61" t="s">
        <v>366</v>
      </c>
      <c r="AD129" s="53" t="s">
        <v>85</v>
      </c>
      <c r="AE129" s="56">
        <f t="shared" si="3"/>
        <v>0.17999999999999997</v>
      </c>
      <c r="AF129" s="56">
        <v>0.18</v>
      </c>
      <c r="AG129" s="56">
        <v>0.18</v>
      </c>
      <c r="AH129" s="56">
        <v>0.18</v>
      </c>
      <c r="AI129" s="56">
        <v>0.18</v>
      </c>
      <c r="AJ129" s="56">
        <v>0.18</v>
      </c>
      <c r="AK129" s="56">
        <v>0.18</v>
      </c>
      <c r="AL129" s="56">
        <v>0.18</v>
      </c>
      <c r="AM129" s="56">
        <v>0.18</v>
      </c>
      <c r="AN129" s="56">
        <v>0.18</v>
      </c>
      <c r="AO129" s="56">
        <v>0.18</v>
      </c>
    </row>
    <row r="130" spans="1:41" x14ac:dyDescent="0.2">
      <c r="A130" s="49" t="s">
        <v>67</v>
      </c>
      <c r="B130" s="50">
        <v>43207</v>
      </c>
      <c r="C130" s="51">
        <v>0.82291666666666696</v>
      </c>
      <c r="D130" s="49" t="s">
        <v>278</v>
      </c>
      <c r="E130" s="49"/>
      <c r="F130" s="52">
        <v>62</v>
      </c>
      <c r="G130" s="53">
        <v>2</v>
      </c>
      <c r="H130" s="54">
        <v>3.2258064516129031E-2</v>
      </c>
      <c r="I130" s="55">
        <v>6.83E-2</v>
      </c>
      <c r="J130" s="53">
        <v>314.15899999999999</v>
      </c>
      <c r="K130" s="53">
        <v>0.47809999999999997</v>
      </c>
      <c r="L130" s="53">
        <v>7</v>
      </c>
      <c r="M130" s="56">
        <v>328.54946663877848</v>
      </c>
      <c r="N130" s="53">
        <v>846</v>
      </c>
      <c r="O130" s="58" t="s">
        <v>381</v>
      </c>
      <c r="P130" s="58" t="s">
        <v>70</v>
      </c>
      <c r="Q130" s="53" t="s">
        <v>382</v>
      </c>
      <c r="R130" s="53" t="s">
        <v>84</v>
      </c>
      <c r="S130" s="53"/>
      <c r="T130" s="59">
        <v>1</v>
      </c>
      <c r="U130" s="59">
        <v>1</v>
      </c>
      <c r="V130" s="53">
        <v>9.3000000000000007</v>
      </c>
      <c r="W130" s="53"/>
      <c r="X130" s="53"/>
      <c r="Y130" s="9">
        <f t="shared" si="2"/>
        <v>328.54946663877848</v>
      </c>
      <c r="Z130" s="60" t="s">
        <v>73</v>
      </c>
      <c r="AA130" s="58" t="s">
        <v>383</v>
      </c>
      <c r="AB130" s="58" t="s">
        <v>75</v>
      </c>
      <c r="AC130" s="61" t="s">
        <v>76</v>
      </c>
      <c r="AD130" s="53" t="s">
        <v>77</v>
      </c>
      <c r="AE130" s="56">
        <f t="shared" si="3"/>
        <v>124.317428685</v>
      </c>
      <c r="AF130" s="56">
        <v>124.317428685</v>
      </c>
      <c r="AG130" s="62"/>
      <c r="AH130" s="63"/>
      <c r="AI130" s="61"/>
      <c r="AJ130" s="58"/>
      <c r="AK130" s="58"/>
      <c r="AL130" s="58"/>
      <c r="AM130" s="58"/>
      <c r="AN130" s="58"/>
      <c r="AO130" s="58"/>
    </row>
    <row r="131" spans="1:41" x14ac:dyDescent="0.2">
      <c r="A131" s="49" t="s">
        <v>67</v>
      </c>
      <c r="B131" s="50">
        <v>43207</v>
      </c>
      <c r="C131" s="51">
        <v>0.82291666666666696</v>
      </c>
      <c r="D131" s="49" t="s">
        <v>278</v>
      </c>
      <c r="E131" s="49"/>
      <c r="F131" s="52">
        <v>62</v>
      </c>
      <c r="G131" s="53">
        <v>2</v>
      </c>
      <c r="H131" s="54">
        <v>3.2258064516129031E-2</v>
      </c>
      <c r="I131" s="55">
        <v>6.83E-2</v>
      </c>
      <c r="J131" s="53">
        <v>314.15899999999999</v>
      </c>
      <c r="K131" s="53">
        <v>0.47809999999999997</v>
      </c>
      <c r="L131" s="53">
        <v>7</v>
      </c>
      <c r="M131" s="56">
        <v>328.54946663877848</v>
      </c>
      <c r="N131" s="53">
        <v>1134</v>
      </c>
      <c r="O131" s="58" t="s">
        <v>375</v>
      </c>
      <c r="P131" s="57" t="s">
        <v>82</v>
      </c>
      <c r="Q131" s="53" t="s">
        <v>127</v>
      </c>
      <c r="R131" s="53" t="s">
        <v>376</v>
      </c>
      <c r="S131" s="53"/>
      <c r="T131" s="59">
        <v>1</v>
      </c>
      <c r="U131" s="59">
        <v>1</v>
      </c>
      <c r="V131" s="53">
        <v>29.6</v>
      </c>
      <c r="W131" s="53"/>
      <c r="X131" s="53"/>
      <c r="Y131" s="9">
        <f t="shared" ref="Y131:Y194" si="4">(T131*J131)/(G131*I131*L131)</f>
        <v>328.54946663877848</v>
      </c>
      <c r="Z131" s="60" t="s">
        <v>73</v>
      </c>
      <c r="AA131" s="58" t="s">
        <v>383</v>
      </c>
      <c r="AB131" s="58" t="s">
        <v>75</v>
      </c>
      <c r="AC131" s="61" t="s">
        <v>76</v>
      </c>
      <c r="AD131" s="53" t="s">
        <v>129</v>
      </c>
      <c r="AE131" s="56">
        <f t="shared" ref="AE131:AE194" si="5">AVERAGE(AF131:AO131)</f>
        <v>55.949623506666654</v>
      </c>
      <c r="AF131" s="56">
        <v>55.949623506666654</v>
      </c>
      <c r="AG131" s="62"/>
      <c r="AH131" s="63"/>
      <c r="AI131" s="61"/>
      <c r="AJ131" s="58"/>
      <c r="AK131" s="58"/>
      <c r="AL131" s="58"/>
      <c r="AM131" s="58"/>
      <c r="AN131" s="58"/>
      <c r="AO131" s="58"/>
    </row>
    <row r="132" spans="1:41" x14ac:dyDescent="0.2">
      <c r="A132" s="49" t="s">
        <v>67</v>
      </c>
      <c r="B132" s="50">
        <v>43207</v>
      </c>
      <c r="C132" s="51">
        <v>0.82291666666666696</v>
      </c>
      <c r="D132" s="49" t="s">
        <v>278</v>
      </c>
      <c r="E132" s="49"/>
      <c r="F132" s="52">
        <v>62</v>
      </c>
      <c r="G132" s="53">
        <v>2</v>
      </c>
      <c r="H132" s="54">
        <v>3.2258064516129031E-2</v>
      </c>
      <c r="I132" s="55">
        <v>6.83E-2</v>
      </c>
      <c r="J132" s="53">
        <v>314.15899999999999</v>
      </c>
      <c r="K132" s="53">
        <v>0.47809999999999997</v>
      </c>
      <c r="L132" s="53">
        <v>7</v>
      </c>
      <c r="M132" s="56">
        <v>328.54946663877848</v>
      </c>
      <c r="N132" s="53">
        <v>1419</v>
      </c>
      <c r="O132" s="57" t="s">
        <v>94</v>
      </c>
      <c r="P132" s="57" t="s">
        <v>82</v>
      </c>
      <c r="Q132" s="53" t="s">
        <v>95</v>
      </c>
      <c r="R132" s="53" t="s">
        <v>96</v>
      </c>
      <c r="S132" s="53"/>
      <c r="T132" s="59">
        <v>463</v>
      </c>
      <c r="U132" s="59">
        <v>934</v>
      </c>
      <c r="V132" s="53">
        <v>0.8</v>
      </c>
      <c r="W132" s="53">
        <v>0.8</v>
      </c>
      <c r="X132" s="53">
        <v>0.8</v>
      </c>
      <c r="Y132" s="9">
        <f t="shared" si="4"/>
        <v>152118.40305375445</v>
      </c>
      <c r="Z132" s="60" t="s">
        <v>97</v>
      </c>
      <c r="AA132" s="58" t="s">
        <v>383</v>
      </c>
      <c r="AB132" s="58" t="s">
        <v>75</v>
      </c>
      <c r="AC132" s="61" t="s">
        <v>76</v>
      </c>
      <c r="AD132" s="53" t="s">
        <v>85</v>
      </c>
      <c r="AE132" s="56">
        <f t="shared" si="5"/>
        <v>0.17999999999999997</v>
      </c>
      <c r="AF132" s="56">
        <v>0.18</v>
      </c>
      <c r="AG132" s="56">
        <v>0.18</v>
      </c>
      <c r="AH132" s="56">
        <v>0.18</v>
      </c>
      <c r="AI132" s="56">
        <v>0.18</v>
      </c>
      <c r="AJ132" s="56">
        <v>0.18</v>
      </c>
      <c r="AK132" s="56">
        <v>0.18</v>
      </c>
      <c r="AL132" s="56">
        <v>0.18</v>
      </c>
      <c r="AM132" s="56">
        <v>0.18</v>
      </c>
      <c r="AN132" s="56">
        <v>0.18</v>
      </c>
      <c r="AO132" s="56">
        <v>0.18</v>
      </c>
    </row>
    <row r="133" spans="1:41" x14ac:dyDescent="0.2">
      <c r="A133" s="49" t="s">
        <v>67</v>
      </c>
      <c r="B133" s="50">
        <v>43207</v>
      </c>
      <c r="C133" s="51">
        <v>0.82291666666666696</v>
      </c>
      <c r="D133" s="49" t="s">
        <v>278</v>
      </c>
      <c r="E133" s="49"/>
      <c r="F133" s="52">
        <v>62</v>
      </c>
      <c r="G133" s="53">
        <v>2</v>
      </c>
      <c r="H133" s="54">
        <v>3.2258064516129031E-2</v>
      </c>
      <c r="I133" s="55">
        <v>6.83E-2</v>
      </c>
      <c r="J133" s="53">
        <v>314.15899999999999</v>
      </c>
      <c r="K133" s="53">
        <v>0.47809999999999997</v>
      </c>
      <c r="L133" s="53">
        <v>7</v>
      </c>
      <c r="M133" s="56">
        <v>328.54946663877848</v>
      </c>
      <c r="N133" s="53">
        <v>1519</v>
      </c>
      <c r="O133" s="58" t="s">
        <v>301</v>
      </c>
      <c r="P133" s="57" t="s">
        <v>82</v>
      </c>
      <c r="Q133" s="53" t="s">
        <v>302</v>
      </c>
      <c r="R133" s="53" t="s">
        <v>84</v>
      </c>
      <c r="S133" s="53"/>
      <c r="T133" s="59">
        <v>1</v>
      </c>
      <c r="U133" s="59">
        <v>8</v>
      </c>
      <c r="V133" s="53">
        <v>0.8</v>
      </c>
      <c r="W133" s="53"/>
      <c r="X133" s="53"/>
      <c r="Y133" s="9">
        <f t="shared" si="4"/>
        <v>328.54946663877848</v>
      </c>
      <c r="Z133" s="60" t="s">
        <v>97</v>
      </c>
      <c r="AA133" s="58" t="s">
        <v>383</v>
      </c>
      <c r="AB133" s="58" t="s">
        <v>75</v>
      </c>
      <c r="AC133" s="61" t="s">
        <v>76</v>
      </c>
      <c r="AD133" s="53" t="s">
        <v>85</v>
      </c>
      <c r="AE133" s="56">
        <f t="shared" si="5"/>
        <v>0.26808234666666664</v>
      </c>
      <c r="AF133" s="56">
        <v>0.26808234666666664</v>
      </c>
      <c r="AG133" s="62"/>
      <c r="AH133" s="63"/>
      <c r="AI133" s="61"/>
      <c r="AJ133" s="58"/>
      <c r="AK133" s="58"/>
      <c r="AL133" s="58"/>
      <c r="AM133" s="58"/>
      <c r="AN133" s="58"/>
      <c r="AO133" s="58"/>
    </row>
    <row r="134" spans="1:41" x14ac:dyDescent="0.2">
      <c r="A134" s="5" t="s">
        <v>67</v>
      </c>
      <c r="B134" s="25">
        <v>43227</v>
      </c>
      <c r="C134" s="26">
        <v>0.35416666666666702</v>
      </c>
      <c r="D134" s="5" t="s">
        <v>256</v>
      </c>
      <c r="E134" s="5">
        <v>3</v>
      </c>
      <c r="F134" s="32">
        <v>62</v>
      </c>
      <c r="G134" s="9">
        <v>2</v>
      </c>
      <c r="H134" s="6">
        <v>3.2258064516129031E-2</v>
      </c>
      <c r="I134" s="7">
        <v>6.83E-2</v>
      </c>
      <c r="J134" s="9">
        <v>314.15899999999999</v>
      </c>
      <c r="K134" s="9">
        <v>0.47809999999999997</v>
      </c>
      <c r="L134" s="9">
        <v>7</v>
      </c>
      <c r="M134" s="14">
        <v>328.54946663877848</v>
      </c>
      <c r="N134" s="9">
        <v>190</v>
      </c>
      <c r="O134" s="12" t="s">
        <v>102</v>
      </c>
      <c r="P134" s="8" t="s">
        <v>70</v>
      </c>
      <c r="Q134" s="9" t="s">
        <v>103</v>
      </c>
      <c r="R134" s="9" t="s">
        <v>84</v>
      </c>
      <c r="S134" s="9"/>
      <c r="T134" s="18">
        <v>1</v>
      </c>
      <c r="U134" s="18">
        <v>1</v>
      </c>
      <c r="V134" s="9">
        <v>4.5999999999999996</v>
      </c>
      <c r="Y134" s="9">
        <f t="shared" si="4"/>
        <v>328.54946663877848</v>
      </c>
      <c r="Z134" s="19" t="s">
        <v>73</v>
      </c>
      <c r="AA134" s="8" t="s">
        <v>257</v>
      </c>
      <c r="AB134" s="8" t="s">
        <v>75</v>
      </c>
      <c r="AC134" s="11" t="s">
        <v>258</v>
      </c>
      <c r="AD134" s="9" t="s">
        <v>104</v>
      </c>
      <c r="AE134" s="56">
        <f t="shared" si="5"/>
        <v>46.533231079999993</v>
      </c>
      <c r="AF134" s="14">
        <v>46.533231079999993</v>
      </c>
      <c r="AG134" s="13"/>
    </row>
    <row r="135" spans="1:41" x14ac:dyDescent="0.2">
      <c r="A135" s="5" t="s">
        <v>67</v>
      </c>
      <c r="B135" s="25">
        <v>43227</v>
      </c>
      <c r="C135" s="26">
        <v>0.35416666666666702</v>
      </c>
      <c r="D135" s="5" t="s">
        <v>256</v>
      </c>
      <c r="E135" s="5">
        <v>3</v>
      </c>
      <c r="F135" s="32">
        <v>62</v>
      </c>
      <c r="G135" s="9">
        <v>2</v>
      </c>
      <c r="H135" s="6">
        <v>3.2258064516129031E-2</v>
      </c>
      <c r="I135" s="7">
        <v>6.83E-2</v>
      </c>
      <c r="J135" s="9">
        <v>314.15899999999999</v>
      </c>
      <c r="K135" s="9">
        <v>0.47809999999999997</v>
      </c>
      <c r="L135" s="9">
        <v>7</v>
      </c>
      <c r="M135" s="14">
        <v>328.54946663877848</v>
      </c>
      <c r="N135" s="9">
        <v>1031</v>
      </c>
      <c r="O135" s="12" t="s">
        <v>81</v>
      </c>
      <c r="P135" s="12" t="s">
        <v>82</v>
      </c>
      <c r="Q135" s="9" t="s">
        <v>83</v>
      </c>
      <c r="R135" s="9" t="s">
        <v>84</v>
      </c>
      <c r="S135" s="9"/>
      <c r="T135" s="18">
        <v>1</v>
      </c>
      <c r="U135" s="18">
        <v>1</v>
      </c>
      <c r="V135" s="9">
        <v>7.4</v>
      </c>
      <c r="Y135" s="9">
        <f t="shared" si="4"/>
        <v>328.54946663877848</v>
      </c>
      <c r="Z135" s="19" t="s">
        <v>73</v>
      </c>
      <c r="AA135" s="8" t="s">
        <v>257</v>
      </c>
      <c r="AB135" s="8" t="s">
        <v>75</v>
      </c>
      <c r="AC135" s="11" t="s">
        <v>258</v>
      </c>
      <c r="AD135" s="9" t="s">
        <v>85</v>
      </c>
      <c r="AE135" s="56">
        <f t="shared" si="5"/>
        <v>141.03644706666665</v>
      </c>
      <c r="AF135" s="14">
        <v>141.03644706666665</v>
      </c>
      <c r="AG135" s="13"/>
    </row>
    <row r="136" spans="1:41" x14ac:dyDescent="0.2">
      <c r="A136" s="5" t="s">
        <v>67</v>
      </c>
      <c r="B136" s="25">
        <v>43227</v>
      </c>
      <c r="C136" s="26">
        <v>0.35416666666666702</v>
      </c>
      <c r="D136" s="5" t="s">
        <v>256</v>
      </c>
      <c r="E136" s="5">
        <v>3</v>
      </c>
      <c r="F136" s="32">
        <v>62</v>
      </c>
      <c r="G136" s="9">
        <v>2</v>
      </c>
      <c r="H136" s="6">
        <v>3.2258064516129031E-2</v>
      </c>
      <c r="I136" s="7">
        <v>6.83E-2</v>
      </c>
      <c r="J136" s="9">
        <v>314.15899999999999</v>
      </c>
      <c r="K136" s="9">
        <v>0.47809999999999997</v>
      </c>
      <c r="L136" s="9">
        <v>7</v>
      </c>
      <c r="M136" s="14">
        <v>328.54946663877848</v>
      </c>
      <c r="N136" s="9">
        <v>1037</v>
      </c>
      <c r="O136" s="12" t="s">
        <v>86</v>
      </c>
      <c r="P136" s="12" t="s">
        <v>82</v>
      </c>
      <c r="Q136" s="9" t="s">
        <v>87</v>
      </c>
      <c r="R136" s="9" t="s">
        <v>84</v>
      </c>
      <c r="S136" s="9"/>
      <c r="T136" s="18">
        <v>4</v>
      </c>
      <c r="U136" s="18">
        <v>4</v>
      </c>
      <c r="V136" s="9">
        <v>3.7</v>
      </c>
      <c r="Y136" s="9">
        <f t="shared" si="4"/>
        <v>1314.1978665551139</v>
      </c>
      <c r="Z136" s="19" t="s">
        <v>73</v>
      </c>
      <c r="AA136" s="8" t="s">
        <v>257</v>
      </c>
      <c r="AB136" s="8" t="s">
        <v>75</v>
      </c>
      <c r="AC136" s="11" t="s">
        <v>258</v>
      </c>
      <c r="AD136" s="9" t="s">
        <v>85</v>
      </c>
      <c r="AE136" s="56">
        <f t="shared" si="5"/>
        <v>14.137154999999998</v>
      </c>
      <c r="AF136" s="14">
        <v>14.137154999999998</v>
      </c>
      <c r="AG136" s="13"/>
    </row>
    <row r="137" spans="1:41" x14ac:dyDescent="0.2">
      <c r="A137" s="5" t="s">
        <v>67</v>
      </c>
      <c r="B137" s="25">
        <v>43227</v>
      </c>
      <c r="C137" s="26">
        <v>0.35416666666666702</v>
      </c>
      <c r="D137" s="5" t="s">
        <v>256</v>
      </c>
      <c r="E137" s="5">
        <v>3</v>
      </c>
      <c r="F137" s="32">
        <v>62</v>
      </c>
      <c r="G137" s="9">
        <v>2</v>
      </c>
      <c r="H137" s="6">
        <v>3.2258064516129031E-2</v>
      </c>
      <c r="I137" s="7">
        <v>6.83E-2</v>
      </c>
      <c r="J137" s="9">
        <v>314.15899999999999</v>
      </c>
      <c r="K137" s="9">
        <v>0.47809999999999997</v>
      </c>
      <c r="L137" s="9">
        <v>7</v>
      </c>
      <c r="M137" s="14">
        <v>328.54946663877848</v>
      </c>
      <c r="N137" s="9">
        <v>1733</v>
      </c>
      <c r="O137" s="12" t="s">
        <v>92</v>
      </c>
      <c r="P137" s="12" t="s">
        <v>82</v>
      </c>
      <c r="Q137" s="9" t="s">
        <v>89</v>
      </c>
      <c r="R137" s="9" t="s">
        <v>93</v>
      </c>
      <c r="S137" s="9"/>
      <c r="T137" s="18">
        <v>1</v>
      </c>
      <c r="U137" s="18">
        <v>1</v>
      </c>
      <c r="V137" s="9">
        <v>5.6</v>
      </c>
      <c r="Y137" s="9">
        <f t="shared" si="4"/>
        <v>328.54946663877848</v>
      </c>
      <c r="Z137" s="19" t="s">
        <v>73</v>
      </c>
      <c r="AA137" s="8" t="s">
        <v>257</v>
      </c>
      <c r="AB137" s="8" t="s">
        <v>75</v>
      </c>
      <c r="AC137" s="11" t="s">
        <v>258</v>
      </c>
      <c r="AD137" s="9" t="s">
        <v>91</v>
      </c>
      <c r="AE137" s="56">
        <f t="shared" si="5"/>
        <v>76.353203359999995</v>
      </c>
      <c r="AF137" s="14">
        <v>76.353203359999995</v>
      </c>
      <c r="AG137" s="13"/>
    </row>
    <row r="138" spans="1:41" x14ac:dyDescent="0.2">
      <c r="A138" s="5" t="s">
        <v>67</v>
      </c>
      <c r="B138" s="25">
        <v>43227</v>
      </c>
      <c r="C138" s="26">
        <v>0.35416666666666702</v>
      </c>
      <c r="D138" s="5" t="s">
        <v>256</v>
      </c>
      <c r="E138" s="5">
        <v>3</v>
      </c>
      <c r="F138" s="32">
        <v>62</v>
      </c>
      <c r="G138" s="9">
        <v>2</v>
      </c>
      <c r="H138" s="6">
        <v>3.2258064516129031E-2</v>
      </c>
      <c r="I138" s="7">
        <v>6.83E-2</v>
      </c>
      <c r="J138" s="9">
        <v>314.15899999999999</v>
      </c>
      <c r="K138" s="9">
        <v>0.47809999999999997</v>
      </c>
      <c r="L138" s="9">
        <v>7</v>
      </c>
      <c r="M138" s="14">
        <v>328.54946663877848</v>
      </c>
      <c r="N138" s="9">
        <v>1419</v>
      </c>
      <c r="O138" s="12" t="s">
        <v>94</v>
      </c>
      <c r="P138" s="12" t="s">
        <v>82</v>
      </c>
      <c r="Q138" s="9" t="s">
        <v>95</v>
      </c>
      <c r="R138" s="9" t="s">
        <v>96</v>
      </c>
      <c r="S138" s="9"/>
      <c r="T138" s="18">
        <v>428</v>
      </c>
      <c r="U138" s="18">
        <v>858</v>
      </c>
      <c r="V138" s="9">
        <v>0.8</v>
      </c>
      <c r="W138" s="9">
        <v>0.8</v>
      </c>
      <c r="X138" s="9">
        <v>0.8</v>
      </c>
      <c r="Y138" s="9">
        <f t="shared" si="4"/>
        <v>140619.1717213972</v>
      </c>
      <c r="Z138" s="19" t="s">
        <v>97</v>
      </c>
      <c r="AA138" s="8" t="s">
        <v>257</v>
      </c>
      <c r="AB138" s="8" t="s">
        <v>75</v>
      </c>
      <c r="AC138" s="11" t="s">
        <v>258</v>
      </c>
      <c r="AD138" s="9" t="s">
        <v>85</v>
      </c>
      <c r="AE138" s="56">
        <f t="shared" si="5"/>
        <v>0.17999999999999997</v>
      </c>
      <c r="AF138" s="14">
        <v>0.18</v>
      </c>
      <c r="AG138" s="14">
        <v>0.18</v>
      </c>
      <c r="AH138" s="14">
        <v>0.18</v>
      </c>
      <c r="AI138" s="14">
        <v>0.18</v>
      </c>
      <c r="AJ138" s="14">
        <v>0.18</v>
      </c>
      <c r="AK138" s="14">
        <v>0.18</v>
      </c>
      <c r="AL138" s="14">
        <v>0.18</v>
      </c>
      <c r="AM138" s="14">
        <v>0.18</v>
      </c>
      <c r="AN138" s="14">
        <v>0.18</v>
      </c>
      <c r="AO138" s="14">
        <v>0.18</v>
      </c>
    </row>
    <row r="139" spans="1:41" x14ac:dyDescent="0.2">
      <c r="A139" s="5" t="s">
        <v>67</v>
      </c>
      <c r="B139" s="25">
        <v>43227</v>
      </c>
      <c r="C139" s="26">
        <v>0.36805555555555602</v>
      </c>
      <c r="D139" s="5" t="s">
        <v>154</v>
      </c>
      <c r="E139" s="5">
        <v>3</v>
      </c>
      <c r="F139" s="32">
        <v>57</v>
      </c>
      <c r="G139" s="9">
        <v>2</v>
      </c>
      <c r="H139" s="6">
        <v>3.5087719298245612E-2</v>
      </c>
      <c r="I139" s="7">
        <v>6.83E-2</v>
      </c>
      <c r="J139" s="9">
        <v>314.15899999999999</v>
      </c>
      <c r="K139" s="9">
        <v>0.47809999999999997</v>
      </c>
      <c r="L139" s="9">
        <v>7</v>
      </c>
      <c r="M139" s="14">
        <v>328.54946663877848</v>
      </c>
      <c r="N139" s="9">
        <v>44</v>
      </c>
      <c r="O139" s="12" t="s">
        <v>266</v>
      </c>
      <c r="P139" s="8" t="s">
        <v>70</v>
      </c>
      <c r="Q139" s="9" t="s">
        <v>110</v>
      </c>
      <c r="R139" s="9" t="s">
        <v>267</v>
      </c>
      <c r="S139" s="9"/>
      <c r="T139" s="18">
        <v>1</v>
      </c>
      <c r="U139" s="18">
        <v>1</v>
      </c>
      <c r="V139" s="9">
        <v>13</v>
      </c>
      <c r="Y139" s="9">
        <f t="shared" si="4"/>
        <v>328.54946663877848</v>
      </c>
      <c r="Z139" s="19" t="s">
        <v>73</v>
      </c>
      <c r="AA139" s="8" t="s">
        <v>268</v>
      </c>
      <c r="AB139" s="8" t="s">
        <v>75</v>
      </c>
      <c r="AC139" s="11" t="s">
        <v>221</v>
      </c>
      <c r="AD139" s="9" t="s">
        <v>77</v>
      </c>
      <c r="AE139" s="56">
        <f t="shared" si="5"/>
        <v>105.77733529999999</v>
      </c>
      <c r="AF139" s="14">
        <v>105.77733529999999</v>
      </c>
      <c r="AG139" s="13"/>
    </row>
    <row r="140" spans="1:41" x14ac:dyDescent="0.2">
      <c r="A140" s="5" t="s">
        <v>67</v>
      </c>
      <c r="B140" s="25">
        <v>43227</v>
      </c>
      <c r="C140" s="26">
        <v>0.36805555555555602</v>
      </c>
      <c r="D140" s="5" t="s">
        <v>154</v>
      </c>
      <c r="E140" s="5">
        <v>3</v>
      </c>
      <c r="F140" s="32">
        <v>57</v>
      </c>
      <c r="G140" s="9">
        <v>2</v>
      </c>
      <c r="H140" s="6">
        <v>3.5087719298245612E-2</v>
      </c>
      <c r="I140" s="7">
        <v>6.83E-2</v>
      </c>
      <c r="J140" s="9">
        <v>314.15899999999999</v>
      </c>
      <c r="K140" s="9">
        <v>0.47809999999999997</v>
      </c>
      <c r="L140" s="9">
        <v>7</v>
      </c>
      <c r="M140" s="14">
        <v>328.54946663877848</v>
      </c>
      <c r="N140" s="9">
        <v>145</v>
      </c>
      <c r="O140" s="12" t="s">
        <v>69</v>
      </c>
      <c r="P140" s="8" t="s">
        <v>70</v>
      </c>
      <c r="Q140" s="9" t="s">
        <v>71</v>
      </c>
      <c r="R140" s="9" t="s">
        <v>72</v>
      </c>
      <c r="S140" s="9"/>
      <c r="T140" s="18">
        <v>8</v>
      </c>
      <c r="U140" s="18">
        <v>8</v>
      </c>
      <c r="V140" s="9">
        <v>20.399999999999999</v>
      </c>
      <c r="Y140" s="9">
        <f t="shared" si="4"/>
        <v>2628.3957331102279</v>
      </c>
      <c r="Z140" s="19" t="s">
        <v>73</v>
      </c>
      <c r="AA140" s="8" t="s">
        <v>268</v>
      </c>
      <c r="AB140" s="8" t="s">
        <v>75</v>
      </c>
      <c r="AC140" s="11" t="s">
        <v>221</v>
      </c>
      <c r="AD140" s="9" t="s">
        <v>77</v>
      </c>
      <c r="AE140" s="56">
        <f t="shared" si="5"/>
        <v>339.16919798999999</v>
      </c>
      <c r="AF140" s="14">
        <v>339.16919798999999</v>
      </c>
      <c r="AG140" s="13"/>
    </row>
    <row r="141" spans="1:41" x14ac:dyDescent="0.2">
      <c r="A141" s="5" t="s">
        <v>67</v>
      </c>
      <c r="B141" s="25">
        <v>43227</v>
      </c>
      <c r="C141" s="26">
        <v>0.36805555555555602</v>
      </c>
      <c r="D141" s="5" t="s">
        <v>154</v>
      </c>
      <c r="E141" s="5">
        <v>3</v>
      </c>
      <c r="F141" s="32">
        <v>57</v>
      </c>
      <c r="G141" s="9">
        <v>2</v>
      </c>
      <c r="H141" s="6">
        <v>3.5087719298245612E-2</v>
      </c>
      <c r="I141" s="7">
        <v>6.83E-2</v>
      </c>
      <c r="J141" s="9">
        <v>314.15899999999999</v>
      </c>
      <c r="K141" s="9">
        <v>0.47809999999999997</v>
      </c>
      <c r="L141" s="9">
        <v>7</v>
      </c>
      <c r="M141" s="14">
        <v>328.54946663877848</v>
      </c>
      <c r="N141" s="9">
        <v>1037</v>
      </c>
      <c r="O141" s="12" t="s">
        <v>86</v>
      </c>
      <c r="P141" s="12" t="s">
        <v>82</v>
      </c>
      <c r="Q141" s="9" t="s">
        <v>87</v>
      </c>
      <c r="R141" s="9" t="s">
        <v>84</v>
      </c>
      <c r="S141" s="9"/>
      <c r="T141" s="18">
        <v>5</v>
      </c>
      <c r="U141" s="18">
        <v>5</v>
      </c>
      <c r="V141" s="9">
        <v>3.7</v>
      </c>
      <c r="Y141" s="9">
        <f t="shared" si="4"/>
        <v>1642.7473331938927</v>
      </c>
      <c r="Z141" s="19" t="s">
        <v>73</v>
      </c>
      <c r="AA141" s="8" t="s">
        <v>268</v>
      </c>
      <c r="AB141" s="8" t="s">
        <v>75</v>
      </c>
      <c r="AC141" s="11" t="s">
        <v>221</v>
      </c>
      <c r="AD141" s="9" t="s">
        <v>85</v>
      </c>
      <c r="AE141" s="56">
        <f t="shared" si="5"/>
        <v>17.157270186666665</v>
      </c>
      <c r="AF141" s="14">
        <v>17.157270186666665</v>
      </c>
      <c r="AG141" s="13"/>
    </row>
    <row r="142" spans="1:41" x14ac:dyDescent="0.2">
      <c r="A142" s="5" t="s">
        <v>67</v>
      </c>
      <c r="B142" s="25">
        <v>43227</v>
      </c>
      <c r="C142" s="26">
        <v>0.36805555555555602</v>
      </c>
      <c r="D142" s="5" t="s">
        <v>154</v>
      </c>
      <c r="E142" s="5">
        <v>3</v>
      </c>
      <c r="F142" s="32">
        <v>57</v>
      </c>
      <c r="G142" s="9">
        <v>2</v>
      </c>
      <c r="H142" s="6">
        <v>3.5087719298245612E-2</v>
      </c>
      <c r="I142" s="7">
        <v>6.83E-2</v>
      </c>
      <c r="J142" s="9">
        <v>314.15899999999999</v>
      </c>
      <c r="K142" s="9">
        <v>0.47809999999999997</v>
      </c>
      <c r="L142" s="9">
        <v>7</v>
      </c>
      <c r="M142" s="14">
        <v>328.54946663877848</v>
      </c>
      <c r="N142" s="9">
        <v>1235</v>
      </c>
      <c r="O142" s="12" t="s">
        <v>216</v>
      </c>
      <c r="P142" s="12" t="s">
        <v>82</v>
      </c>
      <c r="Q142" s="9" t="s">
        <v>217</v>
      </c>
      <c r="R142" s="9" t="s">
        <v>84</v>
      </c>
      <c r="S142" s="9"/>
      <c r="T142" s="18">
        <v>1</v>
      </c>
      <c r="U142" s="18">
        <v>2</v>
      </c>
      <c r="V142" s="9">
        <v>3.7</v>
      </c>
      <c r="Y142" s="9">
        <f t="shared" si="4"/>
        <v>328.54946663877848</v>
      </c>
      <c r="Z142" s="19" t="s">
        <v>97</v>
      </c>
      <c r="AA142" s="8" t="s">
        <v>268</v>
      </c>
      <c r="AB142" s="8" t="s">
        <v>75</v>
      </c>
      <c r="AC142" s="11" t="s">
        <v>221</v>
      </c>
      <c r="AD142" s="9" t="s">
        <v>120</v>
      </c>
      <c r="AE142" s="56">
        <f t="shared" si="5"/>
        <v>6.9937029383333318</v>
      </c>
      <c r="AF142" s="14">
        <v>6.9937029383333318</v>
      </c>
      <c r="AG142" s="13"/>
    </row>
    <row r="143" spans="1:41" x14ac:dyDescent="0.2">
      <c r="A143" s="5" t="s">
        <v>67</v>
      </c>
      <c r="B143" s="25">
        <v>43227</v>
      </c>
      <c r="C143" s="26">
        <v>0.36805555555555602</v>
      </c>
      <c r="D143" s="5" t="s">
        <v>154</v>
      </c>
      <c r="E143" s="5">
        <v>3</v>
      </c>
      <c r="F143" s="32">
        <v>57</v>
      </c>
      <c r="G143" s="9">
        <v>2</v>
      </c>
      <c r="H143" s="6">
        <v>3.5087719298245612E-2</v>
      </c>
      <c r="I143" s="7">
        <v>6.83E-2</v>
      </c>
      <c r="J143" s="9">
        <v>314.15899999999999</v>
      </c>
      <c r="K143" s="9">
        <v>0.47809999999999997</v>
      </c>
      <c r="L143" s="9">
        <v>7</v>
      </c>
      <c r="M143" s="14">
        <v>328.54946663877848</v>
      </c>
      <c r="N143" s="9">
        <v>1806</v>
      </c>
      <c r="O143" s="12" t="s">
        <v>206</v>
      </c>
      <c r="P143" s="12" t="s">
        <v>82</v>
      </c>
      <c r="Q143" s="9" t="s">
        <v>207</v>
      </c>
      <c r="R143" s="9" t="s">
        <v>84</v>
      </c>
      <c r="S143" s="9"/>
      <c r="T143" s="18">
        <v>1</v>
      </c>
      <c r="U143" s="18">
        <v>1</v>
      </c>
      <c r="V143" s="9">
        <v>2.8</v>
      </c>
      <c r="Y143" s="9">
        <f t="shared" si="4"/>
        <v>328.54946663877848</v>
      </c>
      <c r="Z143" s="19" t="s">
        <v>73</v>
      </c>
      <c r="AA143" s="8" t="s">
        <v>268</v>
      </c>
      <c r="AB143" s="8" t="s">
        <v>75</v>
      </c>
      <c r="AC143" s="11" t="s">
        <v>221</v>
      </c>
      <c r="AD143" s="9" t="s">
        <v>120</v>
      </c>
      <c r="AE143" s="56">
        <f t="shared" si="5"/>
        <v>11.494030613333329</v>
      </c>
      <c r="AF143" s="14">
        <v>11.494030613333329</v>
      </c>
      <c r="AG143" s="13"/>
    </row>
    <row r="144" spans="1:41" x14ac:dyDescent="0.2">
      <c r="A144" s="5" t="s">
        <v>67</v>
      </c>
      <c r="B144" s="25">
        <v>43227</v>
      </c>
      <c r="C144" s="26">
        <v>0.36805555555555602</v>
      </c>
      <c r="D144" s="5" t="s">
        <v>154</v>
      </c>
      <c r="E144" s="5">
        <v>3</v>
      </c>
      <c r="F144" s="32">
        <v>57</v>
      </c>
      <c r="G144" s="9">
        <v>2</v>
      </c>
      <c r="H144" s="6">
        <v>3.5087719298245612E-2</v>
      </c>
      <c r="I144" s="7">
        <v>6.83E-2</v>
      </c>
      <c r="J144" s="9">
        <v>314.15899999999999</v>
      </c>
      <c r="K144" s="9">
        <v>0.47809999999999997</v>
      </c>
      <c r="L144" s="9">
        <v>7</v>
      </c>
      <c r="M144" s="14">
        <v>328.54946663877848</v>
      </c>
      <c r="N144" s="9">
        <v>1419</v>
      </c>
      <c r="O144" s="12" t="s">
        <v>94</v>
      </c>
      <c r="P144" s="12" t="s">
        <v>82</v>
      </c>
      <c r="Q144" s="9" t="s">
        <v>95</v>
      </c>
      <c r="R144" s="9" t="s">
        <v>96</v>
      </c>
      <c r="S144" s="9"/>
      <c r="T144" s="18">
        <v>380</v>
      </c>
      <c r="U144" s="18">
        <v>761</v>
      </c>
      <c r="V144" s="9">
        <v>0.8</v>
      </c>
      <c r="W144" s="9">
        <v>0.8</v>
      </c>
      <c r="X144" s="9">
        <v>0.8</v>
      </c>
      <c r="Y144" s="9">
        <f t="shared" si="4"/>
        <v>124848.79732273583</v>
      </c>
      <c r="Z144" s="19" t="s">
        <v>97</v>
      </c>
      <c r="AA144" s="8" t="s">
        <v>268</v>
      </c>
      <c r="AB144" s="8" t="s">
        <v>75</v>
      </c>
      <c r="AC144" s="11" t="s">
        <v>221</v>
      </c>
      <c r="AD144" s="9" t="s">
        <v>85</v>
      </c>
      <c r="AE144" s="56">
        <f t="shared" si="5"/>
        <v>0.17999999999999997</v>
      </c>
      <c r="AF144" s="14">
        <v>0.18</v>
      </c>
      <c r="AG144" s="14">
        <v>0.18</v>
      </c>
      <c r="AH144" s="14">
        <v>0.18</v>
      </c>
      <c r="AI144" s="14">
        <v>0.18</v>
      </c>
      <c r="AJ144" s="14">
        <v>0.18</v>
      </c>
      <c r="AK144" s="14">
        <v>0.18</v>
      </c>
      <c r="AL144" s="14">
        <v>0.18</v>
      </c>
      <c r="AM144" s="14">
        <v>0.18</v>
      </c>
      <c r="AN144" s="14">
        <v>0.18</v>
      </c>
      <c r="AO144" s="14">
        <v>0.18</v>
      </c>
    </row>
    <row r="145" spans="1:41" x14ac:dyDescent="0.2">
      <c r="A145" s="5" t="s">
        <v>67</v>
      </c>
      <c r="B145" s="25">
        <v>43227</v>
      </c>
      <c r="C145" s="26">
        <v>0.36805555555555602</v>
      </c>
      <c r="D145" s="5" t="s">
        <v>154</v>
      </c>
      <c r="E145" s="5">
        <v>3</v>
      </c>
      <c r="F145" s="32">
        <v>57</v>
      </c>
      <c r="G145" s="9">
        <v>2</v>
      </c>
      <c r="H145" s="6">
        <v>3.5087719298245612E-2</v>
      </c>
      <c r="I145" s="7">
        <v>6.83E-2</v>
      </c>
      <c r="J145" s="9">
        <v>314.15899999999999</v>
      </c>
      <c r="K145" s="9">
        <v>0.47809999999999997</v>
      </c>
      <c r="L145" s="9">
        <v>7</v>
      </c>
      <c r="M145" s="14">
        <v>328.54946663877848</v>
      </c>
      <c r="N145" s="9">
        <v>1421</v>
      </c>
      <c r="O145" s="12" t="s">
        <v>130</v>
      </c>
      <c r="P145" s="12" t="s">
        <v>82</v>
      </c>
      <c r="Q145" s="9" t="s">
        <v>95</v>
      </c>
      <c r="R145" s="9" t="s">
        <v>131</v>
      </c>
      <c r="S145" s="9"/>
      <c r="T145" s="18">
        <v>5</v>
      </c>
      <c r="U145" s="18">
        <v>5</v>
      </c>
      <c r="V145" s="9">
        <v>5.6</v>
      </c>
      <c r="Y145" s="9">
        <f t="shared" si="4"/>
        <v>1642.7473331938927</v>
      </c>
      <c r="Z145" s="19" t="s">
        <v>73</v>
      </c>
      <c r="AA145" s="8" t="s">
        <v>268</v>
      </c>
      <c r="AB145" s="8" t="s">
        <v>75</v>
      </c>
      <c r="AC145" s="11" t="s">
        <v>221</v>
      </c>
      <c r="AD145" s="9" t="s">
        <v>85</v>
      </c>
      <c r="AE145" s="56">
        <f t="shared" si="5"/>
        <v>57.905786879999994</v>
      </c>
      <c r="AF145" s="14">
        <v>57.905786879999994</v>
      </c>
      <c r="AG145" s="13"/>
    </row>
    <row r="146" spans="1:41" x14ac:dyDescent="0.2">
      <c r="A146" s="5" t="s">
        <v>67</v>
      </c>
      <c r="B146" s="25">
        <v>43227</v>
      </c>
      <c r="C146" s="26">
        <v>0.43055555555555602</v>
      </c>
      <c r="D146" s="5" t="s">
        <v>141</v>
      </c>
      <c r="E146" s="5"/>
      <c r="F146" s="32">
        <v>59</v>
      </c>
      <c r="G146" s="9">
        <v>2</v>
      </c>
      <c r="H146" s="6">
        <v>3.3898305084745763E-2</v>
      </c>
      <c r="I146" s="7">
        <v>6.83E-2</v>
      </c>
      <c r="J146" s="9">
        <v>314.15899999999999</v>
      </c>
      <c r="K146" s="9">
        <v>0.5464</v>
      </c>
      <c r="L146" s="9">
        <v>8</v>
      </c>
      <c r="M146" s="14">
        <v>287.48078330893117</v>
      </c>
      <c r="N146" s="9">
        <v>145</v>
      </c>
      <c r="O146" s="12" t="s">
        <v>69</v>
      </c>
      <c r="P146" s="8" t="s">
        <v>70</v>
      </c>
      <c r="Q146" s="9" t="s">
        <v>71</v>
      </c>
      <c r="R146" s="9" t="s">
        <v>72</v>
      </c>
      <c r="S146" s="9"/>
      <c r="T146" s="18">
        <v>1</v>
      </c>
      <c r="U146" s="18">
        <v>1</v>
      </c>
      <c r="V146" s="9">
        <v>13</v>
      </c>
      <c r="Y146" s="9">
        <f t="shared" si="4"/>
        <v>287.48078330893117</v>
      </c>
      <c r="Z146" s="19" t="s">
        <v>73</v>
      </c>
      <c r="AA146" s="8" t="s">
        <v>263</v>
      </c>
      <c r="AB146" s="8" t="s">
        <v>75</v>
      </c>
      <c r="AC146" s="11" t="s">
        <v>264</v>
      </c>
      <c r="AD146" s="9" t="s">
        <v>77</v>
      </c>
      <c r="AE146" s="56">
        <f t="shared" si="5"/>
        <v>317.33200589999996</v>
      </c>
      <c r="AF146" s="14">
        <v>317.33200589999996</v>
      </c>
      <c r="AG146" s="13"/>
    </row>
    <row r="147" spans="1:41" x14ac:dyDescent="0.2">
      <c r="A147" s="5" t="s">
        <v>67</v>
      </c>
      <c r="B147" s="25">
        <v>43227</v>
      </c>
      <c r="C147" s="26">
        <v>0.43055555555555602</v>
      </c>
      <c r="D147" s="5" t="s">
        <v>141</v>
      </c>
      <c r="E147" s="5"/>
      <c r="F147" s="32">
        <v>59</v>
      </c>
      <c r="G147" s="9">
        <v>2</v>
      </c>
      <c r="H147" s="6">
        <v>3.3898305084745763E-2</v>
      </c>
      <c r="I147" s="7">
        <v>6.83E-2</v>
      </c>
      <c r="J147" s="9">
        <v>314.15899999999999</v>
      </c>
      <c r="K147" s="9">
        <v>0.5464</v>
      </c>
      <c r="L147" s="9">
        <v>8</v>
      </c>
      <c r="M147" s="14">
        <v>287.48078330893117</v>
      </c>
      <c r="N147" s="9">
        <v>1037</v>
      </c>
      <c r="O147" s="12" t="s">
        <v>86</v>
      </c>
      <c r="P147" s="12" t="s">
        <v>82</v>
      </c>
      <c r="Q147" s="9" t="s">
        <v>87</v>
      </c>
      <c r="R147" s="9" t="s">
        <v>84</v>
      </c>
      <c r="S147" s="9"/>
      <c r="T147" s="18">
        <v>2</v>
      </c>
      <c r="U147" s="18">
        <v>2</v>
      </c>
      <c r="V147" s="9">
        <v>2.8</v>
      </c>
      <c r="Y147" s="9">
        <f t="shared" si="4"/>
        <v>574.96156661786233</v>
      </c>
      <c r="Z147" s="19" t="s">
        <v>73</v>
      </c>
      <c r="AA147" s="8" t="s">
        <v>263</v>
      </c>
      <c r="AB147" s="8" t="s">
        <v>75</v>
      </c>
      <c r="AC147" s="11" t="s">
        <v>221</v>
      </c>
      <c r="AD147" s="9" t="s">
        <v>85</v>
      </c>
      <c r="AE147" s="56">
        <f t="shared" si="5"/>
        <v>7.2382233599999992</v>
      </c>
      <c r="AF147" s="14">
        <v>7.2382233599999992</v>
      </c>
      <c r="AG147" s="13"/>
    </row>
    <row r="148" spans="1:41" x14ac:dyDescent="0.2">
      <c r="A148" s="5" t="s">
        <v>67</v>
      </c>
      <c r="B148" s="25">
        <v>43227</v>
      </c>
      <c r="C148" s="26">
        <v>0.43055555555555602</v>
      </c>
      <c r="D148" s="5" t="s">
        <v>141</v>
      </c>
      <c r="E148" s="5"/>
      <c r="F148" s="32">
        <v>59</v>
      </c>
      <c r="G148" s="9">
        <v>2</v>
      </c>
      <c r="H148" s="6">
        <v>3.3898305084745763E-2</v>
      </c>
      <c r="I148" s="7">
        <v>6.83E-2</v>
      </c>
      <c r="J148" s="9">
        <v>314.15899999999999</v>
      </c>
      <c r="K148" s="9">
        <v>0.5464</v>
      </c>
      <c r="L148" s="9">
        <v>8</v>
      </c>
      <c r="M148" s="14">
        <v>287.48078330893117</v>
      </c>
      <c r="N148" s="9">
        <v>1324</v>
      </c>
      <c r="O148" s="12" t="s">
        <v>232</v>
      </c>
      <c r="P148" s="12" t="s">
        <v>82</v>
      </c>
      <c r="Q148" s="9" t="s">
        <v>233</v>
      </c>
      <c r="R148" s="9" t="s">
        <v>84</v>
      </c>
      <c r="S148" s="9"/>
      <c r="T148" s="18">
        <v>1</v>
      </c>
      <c r="U148" s="18">
        <v>1</v>
      </c>
      <c r="V148" s="9">
        <v>7.4</v>
      </c>
      <c r="Y148" s="9">
        <f t="shared" si="4"/>
        <v>287.48078330893117</v>
      </c>
      <c r="Z148" s="19" t="s">
        <v>73</v>
      </c>
      <c r="AA148" s="8" t="s">
        <v>263</v>
      </c>
      <c r="AB148" s="8" t="s">
        <v>75</v>
      </c>
      <c r="AC148" s="11" t="s">
        <v>221</v>
      </c>
      <c r="AD148" s="9" t="s">
        <v>91</v>
      </c>
      <c r="AE148" s="56">
        <f t="shared" si="5"/>
        <v>199.27210089666667</v>
      </c>
      <c r="AF148" s="14">
        <v>199.27210089666667</v>
      </c>
      <c r="AG148" s="13"/>
    </row>
    <row r="149" spans="1:41" x14ac:dyDescent="0.2">
      <c r="A149" s="5" t="s">
        <v>67</v>
      </c>
      <c r="B149" s="25">
        <v>43227</v>
      </c>
      <c r="C149" s="26">
        <v>0.43055555555555602</v>
      </c>
      <c r="D149" s="5" t="s">
        <v>141</v>
      </c>
      <c r="E149" s="5"/>
      <c r="F149" s="32">
        <v>59</v>
      </c>
      <c r="G149" s="9">
        <v>2</v>
      </c>
      <c r="H149" s="6">
        <v>3.3898305084745763E-2</v>
      </c>
      <c r="I149" s="7">
        <v>6.83E-2</v>
      </c>
      <c r="J149" s="9">
        <v>314.15899999999999</v>
      </c>
      <c r="K149" s="9">
        <v>0.5464</v>
      </c>
      <c r="L149" s="9">
        <v>8</v>
      </c>
      <c r="M149" s="14">
        <v>287.48078330893117</v>
      </c>
      <c r="N149" s="9">
        <v>1419</v>
      </c>
      <c r="O149" s="12" t="s">
        <v>94</v>
      </c>
      <c r="P149" s="12" t="s">
        <v>82</v>
      </c>
      <c r="Q149" s="9" t="s">
        <v>95</v>
      </c>
      <c r="R149" s="9" t="s">
        <v>96</v>
      </c>
      <c r="S149" s="9"/>
      <c r="T149" s="18">
        <v>434</v>
      </c>
      <c r="U149" s="18">
        <v>873</v>
      </c>
      <c r="V149" s="9">
        <v>0.8</v>
      </c>
      <c r="W149" s="9">
        <v>0.8</v>
      </c>
      <c r="X149" s="9">
        <v>0.8</v>
      </c>
      <c r="Y149" s="9">
        <f t="shared" si="4"/>
        <v>124766.65995607612</v>
      </c>
      <c r="Z149" s="19" t="s">
        <v>97</v>
      </c>
      <c r="AA149" s="8" t="s">
        <v>263</v>
      </c>
      <c r="AB149" s="8" t="s">
        <v>75</v>
      </c>
      <c r="AC149" s="11" t="s">
        <v>221</v>
      </c>
      <c r="AD149" s="9" t="s">
        <v>85</v>
      </c>
      <c r="AE149" s="56">
        <f t="shared" si="5"/>
        <v>0.17999999999999997</v>
      </c>
      <c r="AF149" s="14">
        <v>0.18</v>
      </c>
      <c r="AG149" s="14">
        <v>0.18</v>
      </c>
      <c r="AH149" s="14">
        <v>0.18</v>
      </c>
      <c r="AI149" s="14">
        <v>0.18</v>
      </c>
      <c r="AJ149" s="14">
        <v>0.18</v>
      </c>
      <c r="AK149" s="14">
        <v>0.18</v>
      </c>
      <c r="AL149" s="14">
        <v>0.18</v>
      </c>
      <c r="AM149" s="14">
        <v>0.18</v>
      </c>
      <c r="AN149" s="14">
        <v>0.18</v>
      </c>
      <c r="AO149" s="14">
        <v>0.18</v>
      </c>
    </row>
    <row r="150" spans="1:41" x14ac:dyDescent="0.2">
      <c r="A150" s="5" t="s">
        <v>67</v>
      </c>
      <c r="B150" s="25">
        <v>43227</v>
      </c>
      <c r="C150" s="26">
        <v>0.44791666666666702</v>
      </c>
      <c r="D150" s="5" t="s">
        <v>219</v>
      </c>
      <c r="E150" s="5"/>
      <c r="F150" s="32">
        <v>58.5</v>
      </c>
      <c r="G150" s="9">
        <v>2</v>
      </c>
      <c r="H150" s="6">
        <v>3.4188034188034191E-2</v>
      </c>
      <c r="I150" s="7">
        <v>6.83E-2</v>
      </c>
      <c r="J150" s="9">
        <v>314.15899999999999</v>
      </c>
      <c r="K150" s="9">
        <v>0.4098</v>
      </c>
      <c r="L150" s="9">
        <v>6</v>
      </c>
      <c r="M150" s="14">
        <v>383.30771107857493</v>
      </c>
      <c r="N150" s="9">
        <v>1037</v>
      </c>
      <c r="O150" s="12" t="s">
        <v>86</v>
      </c>
      <c r="P150" s="12" t="s">
        <v>82</v>
      </c>
      <c r="Q150" s="9" t="s">
        <v>87</v>
      </c>
      <c r="R150" s="9" t="s">
        <v>84</v>
      </c>
      <c r="S150" s="9"/>
      <c r="T150" s="18">
        <v>1</v>
      </c>
      <c r="U150" s="18">
        <v>1</v>
      </c>
      <c r="V150" s="9">
        <v>1.9</v>
      </c>
      <c r="Y150" s="9">
        <f t="shared" si="4"/>
        <v>383.30771107857493</v>
      </c>
      <c r="Z150" s="19" t="s">
        <v>73</v>
      </c>
      <c r="AA150" s="8" t="s">
        <v>254</v>
      </c>
      <c r="AB150" s="8" t="s">
        <v>75</v>
      </c>
      <c r="AC150" s="11" t="s">
        <v>76</v>
      </c>
      <c r="AD150" s="9" t="s">
        <v>85</v>
      </c>
      <c r="AE150" s="56">
        <f t="shared" si="5"/>
        <v>3.5913609683333325</v>
      </c>
      <c r="AF150" s="14">
        <v>3.5913609683333325</v>
      </c>
      <c r="AG150" s="13"/>
    </row>
    <row r="151" spans="1:41" x14ac:dyDescent="0.2">
      <c r="A151" s="5" t="s">
        <v>67</v>
      </c>
      <c r="B151" s="25">
        <v>43227</v>
      </c>
      <c r="C151" s="26">
        <v>0.44791666666666702</v>
      </c>
      <c r="D151" s="5" t="s">
        <v>219</v>
      </c>
      <c r="E151" s="5"/>
      <c r="F151" s="32">
        <v>58.5</v>
      </c>
      <c r="G151" s="9">
        <v>2</v>
      </c>
      <c r="H151" s="6">
        <v>3.4188034188034191E-2</v>
      </c>
      <c r="I151" s="7">
        <v>6.83E-2</v>
      </c>
      <c r="J151" s="9">
        <v>314.15899999999999</v>
      </c>
      <c r="K151" s="9">
        <v>0.4098</v>
      </c>
      <c r="L151" s="9">
        <v>6</v>
      </c>
      <c r="M151" s="14">
        <v>383.30771107857493</v>
      </c>
      <c r="N151" s="9">
        <v>1806</v>
      </c>
      <c r="O151" s="12" t="s">
        <v>206</v>
      </c>
      <c r="P151" s="12" t="s">
        <v>82</v>
      </c>
      <c r="Q151" s="9" t="s">
        <v>207</v>
      </c>
      <c r="R151" s="9" t="s">
        <v>84</v>
      </c>
      <c r="S151" s="9"/>
      <c r="T151" s="18">
        <v>3</v>
      </c>
      <c r="U151" s="18">
        <v>3</v>
      </c>
      <c r="V151" s="9">
        <v>3.7</v>
      </c>
      <c r="Y151" s="9">
        <f t="shared" si="4"/>
        <v>1149.9231332357247</v>
      </c>
      <c r="Z151" s="19" t="s">
        <v>73</v>
      </c>
      <c r="AA151" s="8" t="s">
        <v>254</v>
      </c>
      <c r="AB151" s="8" t="s">
        <v>75</v>
      </c>
      <c r="AC151" s="11" t="s">
        <v>76</v>
      </c>
      <c r="AD151" s="9" t="s">
        <v>120</v>
      </c>
      <c r="AE151" s="56">
        <f t="shared" si="5"/>
        <v>12.108211458333333</v>
      </c>
      <c r="AF151" s="14">
        <v>12.108211458333333</v>
      </c>
      <c r="AG151" s="13"/>
    </row>
    <row r="152" spans="1:41" x14ac:dyDescent="0.2">
      <c r="A152" s="5" t="s">
        <v>67</v>
      </c>
      <c r="B152" s="25">
        <v>43227</v>
      </c>
      <c r="C152" s="26">
        <v>0.44791666666666702</v>
      </c>
      <c r="D152" s="5" t="s">
        <v>219</v>
      </c>
      <c r="E152" s="5"/>
      <c r="F152" s="32">
        <v>58.5</v>
      </c>
      <c r="G152" s="9">
        <v>2</v>
      </c>
      <c r="H152" s="6">
        <v>3.4188034188034191E-2</v>
      </c>
      <c r="I152" s="7">
        <v>6.83E-2</v>
      </c>
      <c r="J152" s="9">
        <v>314.15899999999999</v>
      </c>
      <c r="K152" s="9">
        <v>0.4098</v>
      </c>
      <c r="L152" s="9">
        <v>6</v>
      </c>
      <c r="M152" s="14">
        <v>383.30771107857493</v>
      </c>
      <c r="N152" s="9">
        <v>1733</v>
      </c>
      <c r="O152" s="12" t="s">
        <v>92</v>
      </c>
      <c r="P152" s="12" t="s">
        <v>82</v>
      </c>
      <c r="Q152" s="9" t="s">
        <v>89</v>
      </c>
      <c r="R152" s="9" t="s">
        <v>93</v>
      </c>
      <c r="S152" s="9"/>
      <c r="T152" s="18">
        <v>3</v>
      </c>
      <c r="U152" s="18">
        <v>3</v>
      </c>
      <c r="V152" s="9">
        <v>5.6</v>
      </c>
      <c r="Y152" s="9">
        <f t="shared" si="4"/>
        <v>1149.9231332357247</v>
      </c>
      <c r="Z152" s="19" t="s">
        <v>73</v>
      </c>
      <c r="AA152" s="8" t="s">
        <v>254</v>
      </c>
      <c r="AB152" s="8" t="s">
        <v>75</v>
      </c>
      <c r="AC152" s="11" t="s">
        <v>76</v>
      </c>
      <c r="AD152" s="9" t="s">
        <v>91</v>
      </c>
      <c r="AE152" s="56">
        <f t="shared" si="5"/>
        <v>76.353203359999995</v>
      </c>
      <c r="AF152" s="14">
        <v>76.353203359999995</v>
      </c>
      <c r="AG152" s="13"/>
    </row>
    <row r="153" spans="1:41" x14ac:dyDescent="0.2">
      <c r="A153" s="5" t="s">
        <v>67</v>
      </c>
      <c r="B153" s="25">
        <v>43227</v>
      </c>
      <c r="C153" s="26">
        <v>0.44791666666666702</v>
      </c>
      <c r="D153" s="5" t="s">
        <v>219</v>
      </c>
      <c r="E153" s="5"/>
      <c r="F153" s="32">
        <v>58.5</v>
      </c>
      <c r="G153" s="9">
        <v>2</v>
      </c>
      <c r="H153" s="6">
        <v>3.4188034188034191E-2</v>
      </c>
      <c r="I153" s="7">
        <v>6.83E-2</v>
      </c>
      <c r="J153" s="9">
        <v>314.15899999999999</v>
      </c>
      <c r="K153" s="9">
        <v>0.4098</v>
      </c>
      <c r="L153" s="9">
        <v>6</v>
      </c>
      <c r="M153" s="14">
        <v>383.30771107857493</v>
      </c>
      <c r="N153" s="9">
        <v>1419</v>
      </c>
      <c r="O153" s="12" t="s">
        <v>94</v>
      </c>
      <c r="P153" s="12" t="s">
        <v>82</v>
      </c>
      <c r="Q153" s="9" t="s">
        <v>95</v>
      </c>
      <c r="R153" s="9" t="s">
        <v>96</v>
      </c>
      <c r="S153" s="9"/>
      <c r="T153" s="18">
        <v>436</v>
      </c>
      <c r="U153" s="18">
        <v>880</v>
      </c>
      <c r="V153" s="9">
        <v>0.8</v>
      </c>
      <c r="W153" s="9">
        <v>0.8</v>
      </c>
      <c r="X153" s="9">
        <v>0.8</v>
      </c>
      <c r="Y153" s="9">
        <f t="shared" si="4"/>
        <v>167122.16203025865</v>
      </c>
      <c r="Z153" s="19" t="s">
        <v>97</v>
      </c>
      <c r="AA153" s="8" t="s">
        <v>254</v>
      </c>
      <c r="AB153" s="8" t="s">
        <v>75</v>
      </c>
      <c r="AC153" s="11" t="s">
        <v>76</v>
      </c>
      <c r="AD153" s="9" t="s">
        <v>85</v>
      </c>
      <c r="AE153" s="56">
        <f t="shared" si="5"/>
        <v>0.17999999999999997</v>
      </c>
      <c r="AF153" s="14">
        <v>0.18</v>
      </c>
      <c r="AG153" s="14">
        <v>0.18</v>
      </c>
      <c r="AH153" s="14">
        <v>0.18</v>
      </c>
      <c r="AI153" s="14">
        <v>0.18</v>
      </c>
      <c r="AJ153" s="14">
        <v>0.18</v>
      </c>
      <c r="AK153" s="14">
        <v>0.18</v>
      </c>
      <c r="AL153" s="14">
        <v>0.18</v>
      </c>
      <c r="AM153" s="14">
        <v>0.18</v>
      </c>
      <c r="AN153" s="14">
        <v>0.18</v>
      </c>
      <c r="AO153" s="14">
        <v>0.18</v>
      </c>
    </row>
    <row r="154" spans="1:41" x14ac:dyDescent="0.2">
      <c r="A154" s="5" t="s">
        <v>67</v>
      </c>
      <c r="B154" s="25">
        <v>43227</v>
      </c>
      <c r="C154" s="26">
        <v>0.48958333333333298</v>
      </c>
      <c r="D154" s="5" t="s">
        <v>124</v>
      </c>
      <c r="E154" s="5">
        <v>3</v>
      </c>
      <c r="F154" s="32">
        <v>62</v>
      </c>
      <c r="G154" s="9">
        <v>2</v>
      </c>
      <c r="H154" s="6">
        <v>3.2258064516129031E-2</v>
      </c>
      <c r="I154" s="7">
        <v>6.83E-2</v>
      </c>
      <c r="J154" s="9">
        <v>314.15899999999999</v>
      </c>
      <c r="K154" s="9">
        <v>0.4098</v>
      </c>
      <c r="L154" s="9">
        <v>6</v>
      </c>
      <c r="M154" s="14">
        <v>383.30771107857493</v>
      </c>
      <c r="N154" s="9">
        <v>46</v>
      </c>
      <c r="O154" s="12" t="s">
        <v>109</v>
      </c>
      <c r="P154" s="8" t="s">
        <v>70</v>
      </c>
      <c r="Q154" s="9" t="s">
        <v>110</v>
      </c>
      <c r="R154" s="9" t="s">
        <v>84</v>
      </c>
      <c r="S154" s="9"/>
      <c r="T154" s="18">
        <v>1</v>
      </c>
      <c r="U154" s="18">
        <v>1</v>
      </c>
      <c r="V154" s="9">
        <v>9.3000000000000007</v>
      </c>
      <c r="Y154" s="9">
        <f t="shared" si="4"/>
        <v>383.30771107857493</v>
      </c>
      <c r="Z154" s="19" t="s">
        <v>73</v>
      </c>
      <c r="AA154" s="8" t="s">
        <v>249</v>
      </c>
      <c r="AB154" s="8" t="s">
        <v>75</v>
      </c>
      <c r="AC154" s="11" t="s">
        <v>250</v>
      </c>
      <c r="AD154" s="9" t="s">
        <v>77</v>
      </c>
      <c r="AE154" s="56">
        <f t="shared" si="5"/>
        <v>57.26490252</v>
      </c>
      <c r="AF154" s="14">
        <v>57.26490252</v>
      </c>
      <c r="AG154" s="13"/>
    </row>
    <row r="155" spans="1:41" x14ac:dyDescent="0.2">
      <c r="A155" s="5" t="s">
        <v>67</v>
      </c>
      <c r="B155" s="25">
        <v>43227</v>
      </c>
      <c r="C155" s="26">
        <v>0.48958333333333298</v>
      </c>
      <c r="D155" s="5" t="s">
        <v>124</v>
      </c>
      <c r="E155" s="5">
        <v>3</v>
      </c>
      <c r="F155" s="32">
        <v>62</v>
      </c>
      <c r="G155" s="9">
        <v>2</v>
      </c>
      <c r="H155" s="6">
        <v>3.2258064516129031E-2</v>
      </c>
      <c r="I155" s="7">
        <v>6.83E-2</v>
      </c>
      <c r="J155" s="9">
        <v>314.15899999999999</v>
      </c>
      <c r="K155" s="9">
        <v>0.4098</v>
      </c>
      <c r="L155" s="9">
        <v>6</v>
      </c>
      <c r="M155" s="14">
        <v>383.30771107857493</v>
      </c>
      <c r="N155" s="9">
        <v>145</v>
      </c>
      <c r="O155" s="12" t="s">
        <v>69</v>
      </c>
      <c r="P155" s="8" t="s">
        <v>70</v>
      </c>
      <c r="Q155" s="9" t="s">
        <v>71</v>
      </c>
      <c r="R155" s="9" t="s">
        <v>72</v>
      </c>
      <c r="S155" s="9"/>
      <c r="T155" s="18">
        <v>9</v>
      </c>
      <c r="U155" s="18">
        <v>9</v>
      </c>
      <c r="V155" s="9">
        <v>18.5</v>
      </c>
      <c r="Y155" s="9">
        <f t="shared" si="4"/>
        <v>3449.7693997071742</v>
      </c>
      <c r="Z155" s="19" t="s">
        <v>73</v>
      </c>
      <c r="AA155" s="8" t="s">
        <v>249</v>
      </c>
      <c r="AB155" s="8" t="s">
        <v>75</v>
      </c>
      <c r="AC155" s="11" t="s">
        <v>250</v>
      </c>
      <c r="AD155" s="9" t="s">
        <v>77</v>
      </c>
      <c r="AE155" s="56">
        <f t="shared" si="5"/>
        <v>441.48921349499994</v>
      </c>
      <c r="AF155" s="14">
        <v>441.48921349499994</v>
      </c>
      <c r="AG155" s="13"/>
    </row>
    <row r="156" spans="1:41" x14ac:dyDescent="0.2">
      <c r="A156" s="5" t="s">
        <v>67</v>
      </c>
      <c r="B156" s="25">
        <v>43227</v>
      </c>
      <c r="C156" s="26">
        <v>0.48958333333333298</v>
      </c>
      <c r="D156" s="5" t="s">
        <v>124</v>
      </c>
      <c r="E156" s="5">
        <v>3</v>
      </c>
      <c r="F156" s="32">
        <v>62</v>
      </c>
      <c r="G156" s="9">
        <v>2</v>
      </c>
      <c r="H156" s="6">
        <v>3.2258064516129031E-2</v>
      </c>
      <c r="I156" s="7">
        <v>6.83E-2</v>
      </c>
      <c r="J156" s="9">
        <v>314.15899999999999</v>
      </c>
      <c r="K156" s="9">
        <v>0.4098</v>
      </c>
      <c r="L156" s="9">
        <v>6</v>
      </c>
      <c r="M156" s="14">
        <v>383.30771107857493</v>
      </c>
      <c r="N156" s="9">
        <v>1015</v>
      </c>
      <c r="O156" s="12" t="s">
        <v>251</v>
      </c>
      <c r="P156" s="12" t="s">
        <v>82</v>
      </c>
      <c r="Q156" s="9" t="s">
        <v>252</v>
      </c>
      <c r="R156" s="9" t="s">
        <v>84</v>
      </c>
      <c r="S156" s="9"/>
      <c r="T156" s="18">
        <v>1</v>
      </c>
      <c r="U156" s="18">
        <v>1</v>
      </c>
      <c r="V156" s="9">
        <v>13</v>
      </c>
      <c r="Y156" s="9">
        <f t="shared" si="4"/>
        <v>383.30771107857493</v>
      </c>
      <c r="Z156" s="19" t="s">
        <v>73</v>
      </c>
      <c r="AA156" s="8" t="s">
        <v>249</v>
      </c>
      <c r="AB156" s="8" t="s">
        <v>75</v>
      </c>
      <c r="AC156" s="11" t="s">
        <v>250</v>
      </c>
      <c r="AD156" s="9" t="s">
        <v>215</v>
      </c>
      <c r="AE156" s="56">
        <f t="shared" si="5"/>
        <v>8.5565130637499998</v>
      </c>
      <c r="AF156" s="14">
        <v>8.5565130637499998</v>
      </c>
      <c r="AG156" s="13"/>
    </row>
    <row r="157" spans="1:41" x14ac:dyDescent="0.2">
      <c r="A157" s="5" t="s">
        <v>67</v>
      </c>
      <c r="B157" s="25">
        <v>43227</v>
      </c>
      <c r="C157" s="26">
        <v>0.48958333333333298</v>
      </c>
      <c r="D157" s="5" t="s">
        <v>124</v>
      </c>
      <c r="E157" s="5">
        <v>3</v>
      </c>
      <c r="F157" s="32">
        <v>62</v>
      </c>
      <c r="G157" s="9">
        <v>2</v>
      </c>
      <c r="H157" s="6">
        <v>3.2258064516129031E-2</v>
      </c>
      <c r="I157" s="7">
        <v>6.83E-2</v>
      </c>
      <c r="J157" s="9">
        <v>314.15899999999999</v>
      </c>
      <c r="K157" s="9">
        <v>0.4098</v>
      </c>
      <c r="L157" s="9">
        <v>6</v>
      </c>
      <c r="M157" s="14">
        <v>383.30771107857493</v>
      </c>
      <c r="N157" s="9">
        <v>1037</v>
      </c>
      <c r="O157" s="12" t="s">
        <v>86</v>
      </c>
      <c r="P157" s="12" t="s">
        <v>82</v>
      </c>
      <c r="Q157" s="9" t="s">
        <v>87</v>
      </c>
      <c r="R157" s="9" t="s">
        <v>84</v>
      </c>
      <c r="S157" s="9"/>
      <c r="T157" s="18">
        <v>7</v>
      </c>
      <c r="U157" s="18">
        <v>7</v>
      </c>
      <c r="V157" s="9">
        <v>2.8</v>
      </c>
      <c r="Y157" s="9">
        <f t="shared" si="4"/>
        <v>2683.1539775500241</v>
      </c>
      <c r="Z157" s="19" t="s">
        <v>73</v>
      </c>
      <c r="AA157" s="8" t="s">
        <v>249</v>
      </c>
      <c r="AB157" s="8" t="s">
        <v>75</v>
      </c>
      <c r="AC157" s="11" t="s">
        <v>250</v>
      </c>
      <c r="AD157" s="9" t="s">
        <v>85</v>
      </c>
      <c r="AE157" s="56">
        <f t="shared" si="5"/>
        <v>4.8490441650000005</v>
      </c>
      <c r="AF157" s="14">
        <v>4.8490441650000005</v>
      </c>
      <c r="AG157" s="13"/>
    </row>
    <row r="158" spans="1:41" x14ac:dyDescent="0.2">
      <c r="A158" s="5" t="s">
        <v>67</v>
      </c>
      <c r="B158" s="25">
        <v>43227</v>
      </c>
      <c r="C158" s="26">
        <v>0.48958333333333298</v>
      </c>
      <c r="D158" s="5" t="s">
        <v>124</v>
      </c>
      <c r="E158" s="5">
        <v>3</v>
      </c>
      <c r="F158" s="32">
        <v>62</v>
      </c>
      <c r="G158" s="9">
        <v>2</v>
      </c>
      <c r="H158" s="6">
        <v>3.2258064516129031E-2</v>
      </c>
      <c r="I158" s="7">
        <v>6.83E-2</v>
      </c>
      <c r="J158" s="9">
        <v>314.15899999999999</v>
      </c>
      <c r="K158" s="9">
        <v>0.4098</v>
      </c>
      <c r="L158" s="9">
        <v>6</v>
      </c>
      <c r="M158" s="14">
        <v>383.30771107857493</v>
      </c>
      <c r="N158" s="9">
        <v>1733</v>
      </c>
      <c r="O158" s="12" t="s">
        <v>92</v>
      </c>
      <c r="P158" s="12" t="s">
        <v>82</v>
      </c>
      <c r="Q158" s="9" t="s">
        <v>89</v>
      </c>
      <c r="R158" s="9" t="s">
        <v>93</v>
      </c>
      <c r="S158" s="9"/>
      <c r="T158" s="18">
        <v>1</v>
      </c>
      <c r="U158" s="18">
        <v>1</v>
      </c>
      <c r="V158" s="9">
        <v>5.6</v>
      </c>
      <c r="Y158" s="9">
        <f t="shared" si="4"/>
        <v>383.30771107857493</v>
      </c>
      <c r="Z158" s="19" t="s">
        <v>73</v>
      </c>
      <c r="AA158" s="8" t="s">
        <v>249</v>
      </c>
      <c r="AB158" s="8" t="s">
        <v>75</v>
      </c>
      <c r="AC158" s="11" t="s">
        <v>250</v>
      </c>
      <c r="AD158" s="9" t="s">
        <v>91</v>
      </c>
      <c r="AE158" s="56">
        <f t="shared" si="5"/>
        <v>76.353203359999995</v>
      </c>
      <c r="AF158" s="14">
        <v>76.353203359999995</v>
      </c>
      <c r="AG158" s="13"/>
    </row>
    <row r="159" spans="1:41" x14ac:dyDescent="0.2">
      <c r="A159" s="5" t="s">
        <v>67</v>
      </c>
      <c r="B159" s="25">
        <v>43227</v>
      </c>
      <c r="C159" s="26">
        <v>0.48958333333333298</v>
      </c>
      <c r="D159" s="5" t="s">
        <v>124</v>
      </c>
      <c r="E159" s="5">
        <v>3</v>
      </c>
      <c r="F159" s="32">
        <v>62</v>
      </c>
      <c r="G159" s="9">
        <v>2</v>
      </c>
      <c r="H159" s="6">
        <v>3.2258064516129031E-2</v>
      </c>
      <c r="I159" s="7">
        <v>6.83E-2</v>
      </c>
      <c r="J159" s="9">
        <v>314.15899999999999</v>
      </c>
      <c r="K159" s="9">
        <v>0.4098</v>
      </c>
      <c r="L159" s="9">
        <v>6</v>
      </c>
      <c r="M159" s="14">
        <v>383.30771107857493</v>
      </c>
      <c r="N159" s="9">
        <v>1419</v>
      </c>
      <c r="O159" s="12" t="s">
        <v>94</v>
      </c>
      <c r="P159" s="12" t="s">
        <v>82</v>
      </c>
      <c r="Q159" s="9" t="s">
        <v>95</v>
      </c>
      <c r="R159" s="9" t="s">
        <v>96</v>
      </c>
      <c r="S159" s="9"/>
      <c r="T159" s="18">
        <v>392</v>
      </c>
      <c r="U159" s="18">
        <v>793</v>
      </c>
      <c r="V159" s="9">
        <v>0.8</v>
      </c>
      <c r="W159" s="9">
        <v>0.8</v>
      </c>
      <c r="X159" s="9">
        <v>0.8</v>
      </c>
      <c r="Y159" s="9">
        <f t="shared" si="4"/>
        <v>150256.62274280135</v>
      </c>
      <c r="Z159" s="19" t="s">
        <v>97</v>
      </c>
      <c r="AA159" s="8" t="s">
        <v>249</v>
      </c>
      <c r="AB159" s="8" t="s">
        <v>75</v>
      </c>
      <c r="AC159" s="11" t="s">
        <v>250</v>
      </c>
      <c r="AD159" s="9" t="s">
        <v>85</v>
      </c>
      <c r="AE159" s="56">
        <f t="shared" si="5"/>
        <v>0.17999999999999997</v>
      </c>
      <c r="AF159" s="14">
        <v>0.18</v>
      </c>
      <c r="AG159" s="14">
        <v>0.18</v>
      </c>
      <c r="AH159" s="14">
        <v>0.18</v>
      </c>
      <c r="AI159" s="14">
        <v>0.18</v>
      </c>
      <c r="AJ159" s="14">
        <v>0.18</v>
      </c>
      <c r="AK159" s="14">
        <v>0.18</v>
      </c>
      <c r="AL159" s="14">
        <v>0.18</v>
      </c>
      <c r="AM159" s="14">
        <v>0.18</v>
      </c>
      <c r="AN159" s="14">
        <v>0.18</v>
      </c>
      <c r="AO159" s="14">
        <v>0.18</v>
      </c>
    </row>
    <row r="160" spans="1:41" x14ac:dyDescent="0.2">
      <c r="A160" s="5" t="s">
        <v>67</v>
      </c>
      <c r="B160" s="25">
        <v>43227</v>
      </c>
      <c r="C160" s="26">
        <v>0.48958333333333298</v>
      </c>
      <c r="D160" s="5" t="s">
        <v>124</v>
      </c>
      <c r="E160" s="5">
        <v>3</v>
      </c>
      <c r="F160" s="32">
        <v>62</v>
      </c>
      <c r="G160" s="9">
        <v>2</v>
      </c>
      <c r="H160" s="6">
        <v>3.2258064516129031E-2</v>
      </c>
      <c r="I160" s="7">
        <v>6.83E-2</v>
      </c>
      <c r="J160" s="9">
        <v>314.15899999999999</v>
      </c>
      <c r="K160" s="9">
        <v>0.4098</v>
      </c>
      <c r="L160" s="9">
        <v>6</v>
      </c>
      <c r="M160" s="14">
        <v>383.30771107857493</v>
      </c>
      <c r="N160" s="9">
        <v>1420</v>
      </c>
      <c r="O160" s="12" t="s">
        <v>98</v>
      </c>
      <c r="P160" s="12" t="s">
        <v>82</v>
      </c>
      <c r="Q160" s="9" t="s">
        <v>95</v>
      </c>
      <c r="R160" s="9" t="s">
        <v>99</v>
      </c>
      <c r="S160" s="9"/>
      <c r="T160" s="18">
        <v>1</v>
      </c>
      <c r="U160" s="18">
        <v>2</v>
      </c>
      <c r="V160" s="9">
        <v>1.9</v>
      </c>
      <c r="Y160" s="9">
        <f t="shared" si="4"/>
        <v>383.30771107857493</v>
      </c>
      <c r="Z160" s="19" t="s">
        <v>97</v>
      </c>
      <c r="AA160" s="8" t="s">
        <v>249</v>
      </c>
      <c r="AB160" s="8" t="s">
        <v>75</v>
      </c>
      <c r="AC160" s="11" t="s">
        <v>250</v>
      </c>
      <c r="AD160" s="9" t="s">
        <v>85</v>
      </c>
      <c r="AE160" s="56">
        <f t="shared" si="5"/>
        <v>3.5913609683333325</v>
      </c>
      <c r="AF160" s="14">
        <v>3.5913609683333325</v>
      </c>
      <c r="AG160" s="13"/>
    </row>
    <row r="161" spans="1:41" x14ac:dyDescent="0.2">
      <c r="A161" s="5" t="s">
        <v>67</v>
      </c>
      <c r="B161" s="25">
        <v>43227</v>
      </c>
      <c r="C161" s="26">
        <v>0.51041666666666696</v>
      </c>
      <c r="D161" s="25" t="s">
        <v>247</v>
      </c>
      <c r="E161" s="5">
        <v>3</v>
      </c>
      <c r="F161" s="32">
        <v>64</v>
      </c>
      <c r="G161" s="9">
        <v>2</v>
      </c>
      <c r="H161" s="6">
        <v>3.125E-2</v>
      </c>
      <c r="I161" s="7">
        <v>6.83E-2</v>
      </c>
      <c r="J161" s="9">
        <v>314.15899999999999</v>
      </c>
      <c r="K161" s="9">
        <v>0.95619999999999994</v>
      </c>
      <c r="L161" s="9">
        <v>14</v>
      </c>
      <c r="M161" s="14">
        <v>164.27473331938924</v>
      </c>
      <c r="N161" s="9">
        <v>1031</v>
      </c>
      <c r="O161" s="12" t="s">
        <v>81</v>
      </c>
      <c r="P161" s="12" t="s">
        <v>82</v>
      </c>
      <c r="Q161" s="9" t="s">
        <v>83</v>
      </c>
      <c r="R161" s="9" t="s">
        <v>84</v>
      </c>
      <c r="S161" s="9"/>
      <c r="T161" s="18">
        <v>1</v>
      </c>
      <c r="U161" s="18">
        <v>1</v>
      </c>
      <c r="V161" s="9">
        <v>5.6</v>
      </c>
      <c r="Y161" s="9">
        <f t="shared" si="4"/>
        <v>164.27473331938924</v>
      </c>
      <c r="Z161" s="19" t="s">
        <v>73</v>
      </c>
      <c r="AA161" s="8" t="s">
        <v>248</v>
      </c>
      <c r="AB161" s="8" t="s">
        <v>75</v>
      </c>
      <c r="AC161" s="11" t="s">
        <v>112</v>
      </c>
      <c r="AD161" s="9" t="s">
        <v>85</v>
      </c>
      <c r="AE161" s="56">
        <f t="shared" si="5"/>
        <v>62.044308106666655</v>
      </c>
      <c r="AF161" s="14">
        <v>62.044308106666655</v>
      </c>
      <c r="AG161" s="13"/>
    </row>
    <row r="162" spans="1:41" x14ac:dyDescent="0.2">
      <c r="A162" s="5" t="s">
        <v>67</v>
      </c>
      <c r="B162" s="25">
        <v>43227</v>
      </c>
      <c r="C162" s="26">
        <v>0.51041666666666696</v>
      </c>
      <c r="D162" s="25" t="s">
        <v>247</v>
      </c>
      <c r="E162" s="5">
        <v>3</v>
      </c>
      <c r="F162" s="32">
        <v>64</v>
      </c>
      <c r="G162" s="9">
        <v>2</v>
      </c>
      <c r="H162" s="6">
        <v>3.125E-2</v>
      </c>
      <c r="I162" s="7">
        <v>6.83E-2</v>
      </c>
      <c r="J162" s="9">
        <v>314.15899999999999</v>
      </c>
      <c r="K162" s="9">
        <v>0.95619999999999994</v>
      </c>
      <c r="L162" s="9">
        <v>14</v>
      </c>
      <c r="M162" s="14">
        <v>164.27473331938924</v>
      </c>
      <c r="N162" s="9">
        <v>1037</v>
      </c>
      <c r="O162" s="12" t="s">
        <v>86</v>
      </c>
      <c r="P162" s="12" t="s">
        <v>82</v>
      </c>
      <c r="Q162" s="9" t="s">
        <v>87</v>
      </c>
      <c r="R162" s="9" t="s">
        <v>84</v>
      </c>
      <c r="S162" s="9"/>
      <c r="T162" s="18">
        <v>31</v>
      </c>
      <c r="U162" s="18">
        <v>31</v>
      </c>
      <c r="V162" s="9">
        <v>2.8</v>
      </c>
      <c r="Y162" s="9">
        <f t="shared" si="4"/>
        <v>5092.5167329010674</v>
      </c>
      <c r="Z162" s="19" t="s">
        <v>73</v>
      </c>
      <c r="AA162" s="8" t="s">
        <v>248</v>
      </c>
      <c r="AB162" s="8" t="s">
        <v>75</v>
      </c>
      <c r="AC162" s="11" t="s">
        <v>112</v>
      </c>
      <c r="AD162" s="9" t="s">
        <v>85</v>
      </c>
      <c r="AE162" s="56">
        <f t="shared" si="5"/>
        <v>4.8490441650000005</v>
      </c>
      <c r="AF162" s="14">
        <v>4.8490441650000005</v>
      </c>
      <c r="AG162" s="13"/>
    </row>
    <row r="163" spans="1:41" x14ac:dyDescent="0.2">
      <c r="A163" s="5" t="s">
        <v>67</v>
      </c>
      <c r="B163" s="25">
        <v>43227</v>
      </c>
      <c r="C163" s="26">
        <v>0.51041666666666696</v>
      </c>
      <c r="D163" s="25" t="s">
        <v>247</v>
      </c>
      <c r="E163" s="5">
        <v>3</v>
      </c>
      <c r="F163" s="32">
        <v>64</v>
      </c>
      <c r="G163" s="9">
        <v>2</v>
      </c>
      <c r="H163" s="6">
        <v>3.125E-2</v>
      </c>
      <c r="I163" s="7">
        <v>6.83E-2</v>
      </c>
      <c r="J163" s="9">
        <v>314.15899999999999</v>
      </c>
      <c r="K163" s="9">
        <v>0.95619999999999994</v>
      </c>
      <c r="L163" s="9">
        <v>14</v>
      </c>
      <c r="M163" s="14">
        <v>164.27473331938924</v>
      </c>
      <c r="N163" s="9">
        <v>1364</v>
      </c>
      <c r="O163" s="12" t="s">
        <v>88</v>
      </c>
      <c r="P163" s="12" t="s">
        <v>82</v>
      </c>
      <c r="Q163" s="9" t="s">
        <v>89</v>
      </c>
      <c r="R163" s="9" t="s">
        <v>90</v>
      </c>
      <c r="S163" s="9"/>
      <c r="T163" s="18">
        <v>1</v>
      </c>
      <c r="U163" s="18">
        <v>1</v>
      </c>
      <c r="V163" s="9">
        <v>5.6</v>
      </c>
      <c r="Y163" s="9">
        <f t="shared" si="4"/>
        <v>164.27473331938924</v>
      </c>
      <c r="Z163" s="19" t="s">
        <v>73</v>
      </c>
      <c r="AA163" s="8" t="s">
        <v>248</v>
      </c>
      <c r="AB163" s="8" t="s">
        <v>75</v>
      </c>
      <c r="AC163" s="11" t="s">
        <v>112</v>
      </c>
      <c r="AD163" s="9" t="s">
        <v>91</v>
      </c>
      <c r="AE163" s="56">
        <f t="shared" si="5"/>
        <v>76.353203359999995</v>
      </c>
      <c r="AF163" s="14">
        <v>76.353203359999995</v>
      </c>
      <c r="AG163" s="13"/>
    </row>
    <row r="164" spans="1:41" x14ac:dyDescent="0.2">
      <c r="A164" s="5" t="s">
        <v>67</v>
      </c>
      <c r="B164" s="25">
        <v>43227</v>
      </c>
      <c r="C164" s="26">
        <v>0.51041666666666696</v>
      </c>
      <c r="D164" s="25" t="s">
        <v>247</v>
      </c>
      <c r="E164" s="5">
        <v>3</v>
      </c>
      <c r="F164" s="32">
        <v>64</v>
      </c>
      <c r="G164" s="9">
        <v>2</v>
      </c>
      <c r="H164" s="6">
        <v>3.125E-2</v>
      </c>
      <c r="I164" s="7">
        <v>6.83E-2</v>
      </c>
      <c r="J164" s="9">
        <v>314.15899999999999</v>
      </c>
      <c r="K164" s="9">
        <v>0.95619999999999994</v>
      </c>
      <c r="L164" s="9">
        <v>14</v>
      </c>
      <c r="M164" s="14">
        <v>164.27473331938924</v>
      </c>
      <c r="N164" s="9">
        <v>1419</v>
      </c>
      <c r="O164" s="12" t="s">
        <v>94</v>
      </c>
      <c r="P164" s="12" t="s">
        <v>82</v>
      </c>
      <c r="Q164" s="9" t="s">
        <v>95</v>
      </c>
      <c r="R164" s="9" t="s">
        <v>96</v>
      </c>
      <c r="S164" s="9"/>
      <c r="T164" s="18">
        <v>368</v>
      </c>
      <c r="U164" s="18">
        <v>736</v>
      </c>
      <c r="V164" s="9">
        <v>0.8</v>
      </c>
      <c r="W164" s="9">
        <v>0.8</v>
      </c>
      <c r="X164" s="9">
        <v>0.8</v>
      </c>
      <c r="Y164" s="9">
        <f t="shared" si="4"/>
        <v>60453.101861535251</v>
      </c>
      <c r="Z164" s="19" t="s">
        <v>97</v>
      </c>
      <c r="AA164" s="8" t="s">
        <v>248</v>
      </c>
      <c r="AB164" s="8" t="s">
        <v>75</v>
      </c>
      <c r="AC164" s="11" t="s">
        <v>112</v>
      </c>
      <c r="AD164" s="9" t="s">
        <v>85</v>
      </c>
      <c r="AE164" s="56">
        <f t="shared" si="5"/>
        <v>0.17999999999999997</v>
      </c>
      <c r="AF164" s="14">
        <v>0.18</v>
      </c>
      <c r="AG164" s="14">
        <v>0.18</v>
      </c>
      <c r="AH164" s="14">
        <v>0.18</v>
      </c>
      <c r="AI164" s="14">
        <v>0.18</v>
      </c>
      <c r="AJ164" s="14">
        <v>0.18</v>
      </c>
      <c r="AK164" s="14">
        <v>0.18</v>
      </c>
      <c r="AL164" s="14">
        <v>0.18</v>
      </c>
      <c r="AM164" s="14">
        <v>0.18</v>
      </c>
      <c r="AN164" s="14">
        <v>0.18</v>
      </c>
      <c r="AO164" s="14">
        <v>0.18</v>
      </c>
    </row>
    <row r="165" spans="1:41" x14ac:dyDescent="0.2">
      <c r="A165" s="5" t="s">
        <v>67</v>
      </c>
      <c r="B165" s="25">
        <v>43227</v>
      </c>
      <c r="C165" s="26">
        <v>0.52430555555555602</v>
      </c>
      <c r="D165" s="5" t="s">
        <v>135</v>
      </c>
      <c r="E165" s="5"/>
      <c r="F165" s="32">
        <v>61</v>
      </c>
      <c r="G165" s="9">
        <v>2</v>
      </c>
      <c r="H165" s="6">
        <v>3.2786885245901641E-2</v>
      </c>
      <c r="I165" s="7">
        <v>6.83E-2</v>
      </c>
      <c r="J165" s="9">
        <v>314.15899999999999</v>
      </c>
      <c r="K165" s="9">
        <v>0.47809999999999997</v>
      </c>
      <c r="L165" s="9">
        <v>7</v>
      </c>
      <c r="M165" s="14">
        <v>328.54946663877848</v>
      </c>
      <c r="N165" s="9">
        <v>1037</v>
      </c>
      <c r="O165" s="12" t="s">
        <v>243</v>
      </c>
      <c r="P165" s="12" t="s">
        <v>82</v>
      </c>
      <c r="Q165" s="9" t="s">
        <v>87</v>
      </c>
      <c r="R165" s="9" t="s">
        <v>84</v>
      </c>
      <c r="S165" s="9"/>
      <c r="T165" s="18">
        <v>4</v>
      </c>
      <c r="U165" s="18">
        <v>4</v>
      </c>
      <c r="V165" s="9">
        <v>2.8</v>
      </c>
      <c r="Y165" s="9">
        <f t="shared" si="4"/>
        <v>1314.1978665551139</v>
      </c>
      <c r="Z165" s="19" t="s">
        <v>73</v>
      </c>
      <c r="AA165" s="8" t="s">
        <v>244</v>
      </c>
      <c r="AB165" s="8" t="s">
        <v>75</v>
      </c>
      <c r="AC165" s="11" t="s">
        <v>221</v>
      </c>
      <c r="AD165" s="9" t="s">
        <v>85</v>
      </c>
      <c r="AE165" s="56">
        <f t="shared" si="5"/>
        <v>9.2027643066666673</v>
      </c>
      <c r="AF165" s="14">
        <v>9.2027643066666673</v>
      </c>
      <c r="AG165" s="13"/>
    </row>
    <row r="166" spans="1:41" x14ac:dyDescent="0.2">
      <c r="A166" s="5" t="s">
        <v>67</v>
      </c>
      <c r="B166" s="25">
        <v>43227</v>
      </c>
      <c r="C166" s="26">
        <v>0.52430555555555602</v>
      </c>
      <c r="D166" s="5" t="s">
        <v>135</v>
      </c>
      <c r="E166" s="5"/>
      <c r="F166" s="32">
        <v>61</v>
      </c>
      <c r="G166" s="9">
        <v>2</v>
      </c>
      <c r="H166" s="6">
        <v>3.2786885245901641E-2</v>
      </c>
      <c r="I166" s="7">
        <v>6.83E-2</v>
      </c>
      <c r="J166" s="9">
        <v>314.15899999999999</v>
      </c>
      <c r="K166" s="9">
        <v>0.47809999999999997</v>
      </c>
      <c r="L166" s="9">
        <v>7</v>
      </c>
      <c r="M166" s="14">
        <v>328.54946663877848</v>
      </c>
      <c r="N166" s="9">
        <v>1733</v>
      </c>
      <c r="O166" s="12" t="s">
        <v>92</v>
      </c>
      <c r="P166" s="12" t="s">
        <v>82</v>
      </c>
      <c r="Q166" s="9" t="s">
        <v>89</v>
      </c>
      <c r="R166" s="9" t="s">
        <v>93</v>
      </c>
      <c r="S166" s="9"/>
      <c r="T166" s="18">
        <v>1</v>
      </c>
      <c r="U166" s="18">
        <v>1</v>
      </c>
      <c r="V166" s="9">
        <v>5.6</v>
      </c>
      <c r="Y166" s="9">
        <f t="shared" si="4"/>
        <v>328.54946663877848</v>
      </c>
      <c r="Z166" s="19" t="s">
        <v>73</v>
      </c>
      <c r="AA166" s="8" t="s">
        <v>244</v>
      </c>
      <c r="AB166" s="8" t="s">
        <v>75</v>
      </c>
      <c r="AC166" s="11" t="s">
        <v>221</v>
      </c>
      <c r="AD166" s="9" t="s">
        <v>91</v>
      </c>
      <c r="AE166" s="56">
        <f t="shared" si="5"/>
        <v>68.964183679999977</v>
      </c>
      <c r="AF166" s="14">
        <v>68.964183679999977</v>
      </c>
      <c r="AG166" s="13"/>
    </row>
    <row r="167" spans="1:41" x14ac:dyDescent="0.2">
      <c r="A167" s="5" t="s">
        <v>67</v>
      </c>
      <c r="B167" s="25">
        <v>43227</v>
      </c>
      <c r="C167" s="26">
        <v>0.52430555555555602</v>
      </c>
      <c r="D167" s="5" t="s">
        <v>135</v>
      </c>
      <c r="E167" s="5"/>
      <c r="F167" s="32">
        <v>61</v>
      </c>
      <c r="G167" s="9">
        <v>2</v>
      </c>
      <c r="H167" s="6">
        <v>3.2786885245901641E-2</v>
      </c>
      <c r="I167" s="7">
        <v>6.83E-2</v>
      </c>
      <c r="J167" s="9">
        <v>314.15899999999999</v>
      </c>
      <c r="K167" s="9">
        <v>0.47809999999999997</v>
      </c>
      <c r="L167" s="9">
        <v>7</v>
      </c>
      <c r="M167" s="14">
        <v>328.54946663877848</v>
      </c>
      <c r="N167" s="9">
        <v>1419</v>
      </c>
      <c r="O167" s="12" t="s">
        <v>94</v>
      </c>
      <c r="P167" s="12" t="s">
        <v>82</v>
      </c>
      <c r="Q167" s="9" t="s">
        <v>95</v>
      </c>
      <c r="R167" s="9" t="s">
        <v>96</v>
      </c>
      <c r="S167" s="9"/>
      <c r="T167" s="18">
        <v>401</v>
      </c>
      <c r="U167" s="18">
        <v>810</v>
      </c>
      <c r="V167" s="9">
        <v>0.8</v>
      </c>
      <c r="W167" s="9">
        <v>0.8</v>
      </c>
      <c r="X167" s="9">
        <v>0.8</v>
      </c>
      <c r="Y167" s="9">
        <f t="shared" si="4"/>
        <v>131748.33612215018</v>
      </c>
      <c r="Z167" s="19" t="s">
        <v>97</v>
      </c>
      <c r="AA167" s="8" t="s">
        <v>244</v>
      </c>
      <c r="AB167" s="8" t="s">
        <v>75</v>
      </c>
      <c r="AC167" s="11" t="s">
        <v>221</v>
      </c>
      <c r="AD167" s="9" t="s">
        <v>85</v>
      </c>
      <c r="AE167" s="56">
        <f t="shared" si="5"/>
        <v>0.17999999999999997</v>
      </c>
      <c r="AF167" s="14">
        <v>0.18</v>
      </c>
      <c r="AG167" s="14">
        <v>0.18</v>
      </c>
      <c r="AH167" s="14">
        <v>0.18</v>
      </c>
      <c r="AI167" s="14">
        <v>0.18</v>
      </c>
      <c r="AJ167" s="14">
        <v>0.18</v>
      </c>
      <c r="AK167" s="14">
        <v>0.18</v>
      </c>
      <c r="AL167" s="14">
        <v>0.18</v>
      </c>
      <c r="AM167" s="14">
        <v>0.18</v>
      </c>
      <c r="AN167" s="14">
        <v>0.18</v>
      </c>
      <c r="AO167" s="14">
        <v>0.18</v>
      </c>
    </row>
    <row r="168" spans="1:41" x14ac:dyDescent="0.2">
      <c r="A168" s="5" t="s">
        <v>67</v>
      </c>
      <c r="B168" s="25">
        <v>43227</v>
      </c>
      <c r="C168" s="26">
        <v>0.54513888888888895</v>
      </c>
      <c r="D168" s="5" t="s">
        <v>245</v>
      </c>
      <c r="E168" s="5"/>
      <c r="F168" s="32">
        <v>57.5</v>
      </c>
      <c r="G168" s="9">
        <v>2</v>
      </c>
      <c r="H168" s="6">
        <v>3.4782608695652174E-2</v>
      </c>
      <c r="I168" s="7">
        <v>6.83E-2</v>
      </c>
      <c r="J168" s="9">
        <v>314.15899999999999</v>
      </c>
      <c r="K168" s="9">
        <v>0.95619999999999994</v>
      </c>
      <c r="L168" s="9">
        <v>14</v>
      </c>
      <c r="M168" s="14">
        <v>164.27473331938924</v>
      </c>
      <c r="N168" s="9">
        <v>46</v>
      </c>
      <c r="O168" s="12" t="s">
        <v>109</v>
      </c>
      <c r="P168" s="8" t="s">
        <v>70</v>
      </c>
      <c r="Q168" s="9" t="s">
        <v>110</v>
      </c>
      <c r="R168" s="9" t="s">
        <v>84</v>
      </c>
      <c r="S168" s="9"/>
      <c r="T168" s="18">
        <v>1</v>
      </c>
      <c r="U168" s="18">
        <v>1</v>
      </c>
      <c r="V168" s="9">
        <v>11.1</v>
      </c>
      <c r="Y168" s="9">
        <f t="shared" si="4"/>
        <v>164.27473331938924</v>
      </c>
      <c r="Z168" s="19" t="s">
        <v>73</v>
      </c>
      <c r="AA168" s="8" t="s">
        <v>246</v>
      </c>
      <c r="AB168" s="8" t="s">
        <v>75</v>
      </c>
      <c r="AC168" s="11" t="s">
        <v>115</v>
      </c>
      <c r="AD168" s="9" t="s">
        <v>77</v>
      </c>
      <c r="AE168" s="56">
        <f t="shared" si="5"/>
        <v>90.317570909999986</v>
      </c>
      <c r="AF168" s="14">
        <v>90.317570909999986</v>
      </c>
      <c r="AG168" s="13"/>
    </row>
    <row r="169" spans="1:41" x14ac:dyDescent="0.2">
      <c r="A169" s="5" t="s">
        <v>67</v>
      </c>
      <c r="B169" s="25">
        <v>43227</v>
      </c>
      <c r="C169" s="26">
        <v>0.54513888888888895</v>
      </c>
      <c r="D169" s="5" t="s">
        <v>245</v>
      </c>
      <c r="E169" s="5"/>
      <c r="F169" s="32">
        <v>57.5</v>
      </c>
      <c r="G169" s="9">
        <v>2</v>
      </c>
      <c r="H169" s="6">
        <v>3.4782608695652174E-2</v>
      </c>
      <c r="I169" s="7">
        <v>6.83E-2</v>
      </c>
      <c r="J169" s="9">
        <v>314.15899999999999</v>
      </c>
      <c r="K169" s="9">
        <v>0.95619999999999994</v>
      </c>
      <c r="L169" s="9">
        <v>14</v>
      </c>
      <c r="M169" s="14">
        <v>164.27473331938924</v>
      </c>
      <c r="N169" s="9">
        <v>145</v>
      </c>
      <c r="O169" s="12" t="s">
        <v>69</v>
      </c>
      <c r="P169" s="8" t="s">
        <v>70</v>
      </c>
      <c r="Q169" s="9" t="s">
        <v>71</v>
      </c>
      <c r="R169" s="9" t="s">
        <v>72</v>
      </c>
      <c r="S169" s="9"/>
      <c r="T169" s="18">
        <v>1</v>
      </c>
      <c r="U169" s="18">
        <v>1</v>
      </c>
      <c r="V169" s="9">
        <v>22.2</v>
      </c>
      <c r="Y169" s="9">
        <f t="shared" si="4"/>
        <v>164.27473331938924</v>
      </c>
      <c r="Z169" s="19" t="s">
        <v>73</v>
      </c>
      <c r="AA169" s="8" t="s">
        <v>246</v>
      </c>
      <c r="AB169" s="8" t="s">
        <v>75</v>
      </c>
      <c r="AC169" s="11" t="s">
        <v>115</v>
      </c>
      <c r="AD169" s="9" t="s">
        <v>77</v>
      </c>
      <c r="AE169" s="56">
        <f t="shared" si="5"/>
        <v>774.15060779999999</v>
      </c>
      <c r="AF169" s="14">
        <v>774.15060779999999</v>
      </c>
      <c r="AG169" s="13"/>
    </row>
    <row r="170" spans="1:41" x14ac:dyDescent="0.2">
      <c r="A170" s="5" t="s">
        <v>67</v>
      </c>
      <c r="B170" s="25">
        <v>43227</v>
      </c>
      <c r="C170" s="26">
        <v>0.54513888888888895</v>
      </c>
      <c r="D170" s="5" t="s">
        <v>245</v>
      </c>
      <c r="E170" s="5"/>
      <c r="F170" s="32">
        <v>57.5</v>
      </c>
      <c r="G170" s="9">
        <v>2</v>
      </c>
      <c r="H170" s="6">
        <v>3.4782608695652174E-2</v>
      </c>
      <c r="I170" s="7">
        <v>6.83E-2</v>
      </c>
      <c r="J170" s="9">
        <v>314.15899999999999</v>
      </c>
      <c r="K170" s="9">
        <v>0.95619999999999994</v>
      </c>
      <c r="L170" s="9">
        <v>14</v>
      </c>
      <c r="M170" s="14">
        <v>164.27473331938924</v>
      </c>
      <c r="N170" s="9">
        <v>1031</v>
      </c>
      <c r="O170" s="12" t="s">
        <v>81</v>
      </c>
      <c r="P170" s="12" t="s">
        <v>82</v>
      </c>
      <c r="Q170" s="9" t="s">
        <v>83</v>
      </c>
      <c r="R170" s="9" t="s">
        <v>84</v>
      </c>
      <c r="S170" s="9"/>
      <c r="T170" s="18">
        <v>1</v>
      </c>
      <c r="U170" s="18">
        <v>1</v>
      </c>
      <c r="V170" s="9">
        <v>5.6</v>
      </c>
      <c r="Y170" s="9">
        <f t="shared" si="4"/>
        <v>164.27473331938924</v>
      </c>
      <c r="Z170" s="19" t="s">
        <v>73</v>
      </c>
      <c r="AA170" s="8" t="s">
        <v>246</v>
      </c>
      <c r="AB170" s="8" t="s">
        <v>75</v>
      </c>
      <c r="AC170" s="11" t="s">
        <v>115</v>
      </c>
      <c r="AD170" s="9" t="s">
        <v>85</v>
      </c>
      <c r="AE170" s="56">
        <f t="shared" si="5"/>
        <v>75.532201173333306</v>
      </c>
      <c r="AF170" s="14">
        <v>75.532201173333306</v>
      </c>
      <c r="AG170" s="13"/>
    </row>
    <row r="171" spans="1:41" x14ac:dyDescent="0.2">
      <c r="A171" s="5" t="s">
        <v>67</v>
      </c>
      <c r="B171" s="25">
        <v>43227</v>
      </c>
      <c r="C171" s="26">
        <v>0.54513888888888895</v>
      </c>
      <c r="D171" s="5" t="s">
        <v>245</v>
      </c>
      <c r="E171" s="5"/>
      <c r="F171" s="32">
        <v>57.5</v>
      </c>
      <c r="G171" s="9">
        <v>2</v>
      </c>
      <c r="H171" s="6">
        <v>3.4782608695652174E-2</v>
      </c>
      <c r="I171" s="7">
        <v>6.83E-2</v>
      </c>
      <c r="J171" s="9">
        <v>314.15899999999999</v>
      </c>
      <c r="K171" s="9">
        <v>0.95619999999999994</v>
      </c>
      <c r="L171" s="9">
        <v>14</v>
      </c>
      <c r="M171" s="14">
        <v>164.27473331938924</v>
      </c>
      <c r="N171" s="9">
        <v>1037</v>
      </c>
      <c r="O171" s="12" t="s">
        <v>86</v>
      </c>
      <c r="P171" s="12" t="s">
        <v>82</v>
      </c>
      <c r="Q171" s="9" t="s">
        <v>87</v>
      </c>
      <c r="R171" s="9" t="s">
        <v>84</v>
      </c>
      <c r="S171" s="9"/>
      <c r="T171" s="18">
        <v>21</v>
      </c>
      <c r="U171" s="18">
        <v>21</v>
      </c>
      <c r="V171" s="9">
        <v>3.7</v>
      </c>
      <c r="Y171" s="9">
        <f t="shared" si="4"/>
        <v>3449.7693997071742</v>
      </c>
      <c r="Z171" s="19" t="s">
        <v>73</v>
      </c>
      <c r="AA171" s="8" t="s">
        <v>246</v>
      </c>
      <c r="AB171" s="8" t="s">
        <v>75</v>
      </c>
      <c r="AC171" s="11" t="s">
        <v>115</v>
      </c>
      <c r="AD171" s="9" t="s">
        <v>85</v>
      </c>
      <c r="AE171" s="56">
        <f t="shared" si="5"/>
        <v>7.2382233599999992</v>
      </c>
      <c r="AF171" s="14">
        <v>7.2382233599999992</v>
      </c>
      <c r="AG171" s="13"/>
    </row>
    <row r="172" spans="1:41" x14ac:dyDescent="0.2">
      <c r="A172" s="5" t="s">
        <v>67</v>
      </c>
      <c r="B172" s="25">
        <v>43227</v>
      </c>
      <c r="C172" s="26">
        <v>0.54513888888888895</v>
      </c>
      <c r="D172" s="5" t="s">
        <v>245</v>
      </c>
      <c r="E172" s="5"/>
      <c r="F172" s="32">
        <v>57.5</v>
      </c>
      <c r="G172" s="9">
        <v>2</v>
      </c>
      <c r="H172" s="6">
        <v>3.4782608695652174E-2</v>
      </c>
      <c r="I172" s="7">
        <v>6.83E-2</v>
      </c>
      <c r="J172" s="9">
        <v>314.15899999999999</v>
      </c>
      <c r="K172" s="9">
        <v>0.95619999999999994</v>
      </c>
      <c r="L172" s="9">
        <v>14</v>
      </c>
      <c r="M172" s="14">
        <v>164.27473331938924</v>
      </c>
      <c r="N172" s="9">
        <v>1352</v>
      </c>
      <c r="O172" s="12" t="s">
        <v>118</v>
      </c>
      <c r="P172" s="12" t="s">
        <v>82</v>
      </c>
      <c r="Q172" s="9" t="s">
        <v>119</v>
      </c>
      <c r="R172" s="9" t="s">
        <v>84</v>
      </c>
      <c r="S172" s="9"/>
      <c r="T172" s="18">
        <v>1</v>
      </c>
      <c r="U172" s="18">
        <v>1</v>
      </c>
      <c r="V172" s="9">
        <v>18.5</v>
      </c>
      <c r="Y172" s="9">
        <f t="shared" si="4"/>
        <v>164.27473331938924</v>
      </c>
      <c r="Z172" s="19" t="s">
        <v>73</v>
      </c>
      <c r="AA172" s="8" t="s">
        <v>246</v>
      </c>
      <c r="AB172" s="8" t="s">
        <v>75</v>
      </c>
      <c r="AC172" s="11" t="s">
        <v>115</v>
      </c>
      <c r="AD172" s="9" t="s">
        <v>120</v>
      </c>
      <c r="AE172" s="56">
        <f t="shared" si="5"/>
        <v>1007.7906560999998</v>
      </c>
      <c r="AF172" s="14">
        <v>1007.7906560999998</v>
      </c>
      <c r="AG172" s="13"/>
    </row>
    <row r="173" spans="1:41" x14ac:dyDescent="0.2">
      <c r="A173" s="5" t="s">
        <v>67</v>
      </c>
      <c r="B173" s="25">
        <v>43227</v>
      </c>
      <c r="C173" s="26">
        <v>0.54513888888888895</v>
      </c>
      <c r="D173" s="5" t="s">
        <v>245</v>
      </c>
      <c r="E173" s="5"/>
      <c r="F173" s="32">
        <v>57.5</v>
      </c>
      <c r="G173" s="9">
        <v>2</v>
      </c>
      <c r="H173" s="6">
        <v>3.4782608695652174E-2</v>
      </c>
      <c r="I173" s="7">
        <v>6.83E-2</v>
      </c>
      <c r="J173" s="9">
        <v>314.15899999999999</v>
      </c>
      <c r="K173" s="9">
        <v>0.95619999999999994</v>
      </c>
      <c r="L173" s="9">
        <v>14</v>
      </c>
      <c r="M173" s="14">
        <v>164.27473331938924</v>
      </c>
      <c r="N173" s="9">
        <v>1364</v>
      </c>
      <c r="O173" s="12" t="s">
        <v>88</v>
      </c>
      <c r="P173" s="12" t="s">
        <v>82</v>
      </c>
      <c r="Q173" s="9" t="s">
        <v>89</v>
      </c>
      <c r="R173" s="9" t="s">
        <v>90</v>
      </c>
      <c r="S173" s="9"/>
      <c r="T173" s="18">
        <v>1</v>
      </c>
      <c r="U173" s="18">
        <v>1</v>
      </c>
      <c r="V173" s="9">
        <v>11.1</v>
      </c>
      <c r="Y173" s="9">
        <f t="shared" si="4"/>
        <v>164.27473331938924</v>
      </c>
      <c r="Z173" s="19" t="s">
        <v>73</v>
      </c>
      <c r="AA173" s="8" t="s">
        <v>246</v>
      </c>
      <c r="AB173" s="8" t="s">
        <v>75</v>
      </c>
      <c r="AC173" s="11" t="s">
        <v>115</v>
      </c>
      <c r="AD173" s="9" t="s">
        <v>91</v>
      </c>
      <c r="AE173" s="56">
        <f t="shared" si="5"/>
        <v>538.67979792749986</v>
      </c>
      <c r="AF173" s="14">
        <v>538.67979792749986</v>
      </c>
      <c r="AG173" s="13"/>
    </row>
    <row r="174" spans="1:41" x14ac:dyDescent="0.2">
      <c r="A174" s="5" t="s">
        <v>67</v>
      </c>
      <c r="B174" s="25">
        <v>43227</v>
      </c>
      <c r="C174" s="26">
        <v>0.54513888888888895</v>
      </c>
      <c r="D174" s="5" t="s">
        <v>245</v>
      </c>
      <c r="E174" s="5"/>
      <c r="F174" s="32">
        <v>57.5</v>
      </c>
      <c r="G174" s="9">
        <v>2</v>
      </c>
      <c r="H174" s="6">
        <v>3.4782608695652174E-2</v>
      </c>
      <c r="I174" s="7">
        <v>6.83E-2</v>
      </c>
      <c r="J174" s="9">
        <v>314.15899999999999</v>
      </c>
      <c r="K174" s="9">
        <v>0.95619999999999994</v>
      </c>
      <c r="L174" s="9">
        <v>14</v>
      </c>
      <c r="M174" s="14">
        <v>164.27473331938924</v>
      </c>
      <c r="N174" s="9">
        <v>1733</v>
      </c>
      <c r="O174" s="12" t="s">
        <v>92</v>
      </c>
      <c r="P174" s="12" t="s">
        <v>82</v>
      </c>
      <c r="Q174" s="9" t="s">
        <v>89</v>
      </c>
      <c r="R174" s="9" t="s">
        <v>93</v>
      </c>
      <c r="S174" s="9"/>
      <c r="T174" s="18">
        <v>3</v>
      </c>
      <c r="U174" s="18">
        <v>3</v>
      </c>
      <c r="V174" s="9">
        <v>7.4</v>
      </c>
      <c r="Y174" s="9">
        <f t="shared" si="4"/>
        <v>492.82419995816775</v>
      </c>
      <c r="Z174" s="19" t="s">
        <v>73</v>
      </c>
      <c r="AA174" s="8" t="s">
        <v>246</v>
      </c>
      <c r="AB174" s="8" t="s">
        <v>75</v>
      </c>
      <c r="AC174" s="11" t="s">
        <v>115</v>
      </c>
      <c r="AD174" s="9" t="s">
        <v>91</v>
      </c>
      <c r="AE174" s="56">
        <f t="shared" si="5"/>
        <v>102.64831165999999</v>
      </c>
      <c r="AF174" s="14">
        <v>102.64831165999999</v>
      </c>
      <c r="AG174" s="13"/>
    </row>
    <row r="175" spans="1:41" x14ac:dyDescent="0.2">
      <c r="A175" s="5" t="s">
        <v>67</v>
      </c>
      <c r="B175" s="25">
        <v>43227</v>
      </c>
      <c r="C175" s="26">
        <v>0.54513888888888895</v>
      </c>
      <c r="D175" s="5" t="s">
        <v>245</v>
      </c>
      <c r="E175" s="5"/>
      <c r="F175" s="32">
        <v>57.5</v>
      </c>
      <c r="G175" s="9">
        <v>2</v>
      </c>
      <c r="H175" s="6">
        <v>3.4782608695652174E-2</v>
      </c>
      <c r="I175" s="7">
        <v>6.83E-2</v>
      </c>
      <c r="J175" s="9">
        <v>314.15899999999999</v>
      </c>
      <c r="K175" s="9">
        <v>0.95619999999999994</v>
      </c>
      <c r="L175" s="9">
        <v>14</v>
      </c>
      <c r="M175" s="14">
        <v>164.27473331938924</v>
      </c>
      <c r="N175" s="9">
        <v>1419</v>
      </c>
      <c r="O175" s="12" t="s">
        <v>94</v>
      </c>
      <c r="P175" s="12" t="s">
        <v>82</v>
      </c>
      <c r="Q175" s="9" t="s">
        <v>95</v>
      </c>
      <c r="R175" s="9" t="s">
        <v>96</v>
      </c>
      <c r="S175" s="9"/>
      <c r="T175" s="18">
        <v>395</v>
      </c>
      <c r="U175" s="18">
        <v>794</v>
      </c>
      <c r="V175" s="9">
        <v>0.8</v>
      </c>
      <c r="W175" s="9">
        <v>0.8</v>
      </c>
      <c r="X175" s="9">
        <v>0.8</v>
      </c>
      <c r="Y175" s="9">
        <f t="shared" si="4"/>
        <v>64888.519661158753</v>
      </c>
      <c r="Z175" s="19" t="s">
        <v>97</v>
      </c>
      <c r="AA175" s="8" t="s">
        <v>246</v>
      </c>
      <c r="AB175" s="8" t="s">
        <v>75</v>
      </c>
      <c r="AC175" s="11" t="s">
        <v>115</v>
      </c>
      <c r="AD175" s="9" t="s">
        <v>85</v>
      </c>
      <c r="AE175" s="56">
        <f t="shared" si="5"/>
        <v>0.17999999999999997</v>
      </c>
      <c r="AF175" s="14">
        <v>0.18</v>
      </c>
      <c r="AG175" s="14">
        <v>0.18</v>
      </c>
      <c r="AH175" s="14">
        <v>0.18</v>
      </c>
      <c r="AI175" s="14">
        <v>0.18</v>
      </c>
      <c r="AJ175" s="14">
        <v>0.18</v>
      </c>
      <c r="AK175" s="14">
        <v>0.18</v>
      </c>
      <c r="AL175" s="14">
        <v>0.18</v>
      </c>
      <c r="AM175" s="14">
        <v>0.18</v>
      </c>
      <c r="AN175" s="14">
        <v>0.18</v>
      </c>
      <c r="AO175" s="14">
        <v>0.18</v>
      </c>
    </row>
    <row r="176" spans="1:41" x14ac:dyDescent="0.2">
      <c r="A176" s="49" t="s">
        <v>67</v>
      </c>
      <c r="B176" s="50">
        <v>43228</v>
      </c>
      <c r="C176" s="51">
        <v>0.48125000000000001</v>
      </c>
      <c r="D176" s="49" t="s">
        <v>68</v>
      </c>
      <c r="E176" s="49">
        <v>3</v>
      </c>
      <c r="F176" s="52">
        <v>59.5</v>
      </c>
      <c r="G176" s="53">
        <v>2</v>
      </c>
      <c r="H176" s="54">
        <v>3.3613445378151259E-2</v>
      </c>
      <c r="I176" s="55">
        <v>6.83E-2</v>
      </c>
      <c r="J176" s="53">
        <v>314.15899999999999</v>
      </c>
      <c r="K176" s="53">
        <v>0.75129999999999997</v>
      </c>
      <c r="L176" s="53">
        <v>11</v>
      </c>
      <c r="M176" s="56">
        <v>209.07693331558633</v>
      </c>
      <c r="N176" s="53">
        <v>190</v>
      </c>
      <c r="O176" s="57" t="s">
        <v>102</v>
      </c>
      <c r="P176" s="58" t="s">
        <v>70</v>
      </c>
      <c r="Q176" s="53" t="s">
        <v>103</v>
      </c>
      <c r="R176" s="53" t="s">
        <v>84</v>
      </c>
      <c r="S176" s="53"/>
      <c r="T176" s="59">
        <v>1</v>
      </c>
      <c r="U176" s="59">
        <v>1</v>
      </c>
      <c r="V176" s="53">
        <v>3.7</v>
      </c>
      <c r="W176" s="53"/>
      <c r="X176" s="53"/>
      <c r="Y176" s="9">
        <f t="shared" si="4"/>
        <v>209.07693331558633</v>
      </c>
      <c r="Z176" s="60" t="s">
        <v>73</v>
      </c>
      <c r="AA176" s="58" t="s">
        <v>342</v>
      </c>
      <c r="AB176" s="58" t="s">
        <v>75</v>
      </c>
      <c r="AC176" s="61" t="s">
        <v>221</v>
      </c>
      <c r="AD176" s="53" t="s">
        <v>104</v>
      </c>
      <c r="AE176" s="56">
        <f t="shared" si="5"/>
        <v>30.105856969999998</v>
      </c>
      <c r="AF176" s="56">
        <v>30.105856969999998</v>
      </c>
      <c r="AG176" s="62"/>
      <c r="AH176" s="63"/>
      <c r="AI176" s="61"/>
      <c r="AJ176" s="58"/>
      <c r="AK176" s="58"/>
      <c r="AL176" s="58"/>
      <c r="AM176" s="58"/>
      <c r="AN176" s="58"/>
      <c r="AO176" s="58"/>
    </row>
    <row r="177" spans="1:41" x14ac:dyDescent="0.2">
      <c r="A177" s="49" t="s">
        <v>67</v>
      </c>
      <c r="B177" s="50">
        <v>43228</v>
      </c>
      <c r="C177" s="51">
        <v>0.48125000000000001</v>
      </c>
      <c r="D177" s="49" t="s">
        <v>68</v>
      </c>
      <c r="E177" s="49">
        <v>3</v>
      </c>
      <c r="F177" s="52">
        <v>59.5</v>
      </c>
      <c r="G177" s="53">
        <v>2</v>
      </c>
      <c r="H177" s="54">
        <v>3.3613445378151259E-2</v>
      </c>
      <c r="I177" s="55">
        <v>6.83E-2</v>
      </c>
      <c r="J177" s="53">
        <v>314.15899999999999</v>
      </c>
      <c r="K177" s="53">
        <v>0.75129999999999997</v>
      </c>
      <c r="L177" s="53">
        <v>11</v>
      </c>
      <c r="M177" s="56">
        <v>209.07693331558633</v>
      </c>
      <c r="N177" s="53">
        <v>190</v>
      </c>
      <c r="O177" s="57" t="s">
        <v>296</v>
      </c>
      <c r="P177" s="58" t="s">
        <v>70</v>
      </c>
      <c r="Q177" s="53" t="s">
        <v>103</v>
      </c>
      <c r="R177" s="53" t="s">
        <v>84</v>
      </c>
      <c r="S177" s="53"/>
      <c r="T177" s="59">
        <v>1</v>
      </c>
      <c r="U177" s="59">
        <v>1</v>
      </c>
      <c r="V177" s="53">
        <v>5.6</v>
      </c>
      <c r="W177" s="53"/>
      <c r="X177" s="53"/>
      <c r="Y177" s="9">
        <f t="shared" si="4"/>
        <v>209.07693331558633</v>
      </c>
      <c r="Z177" s="60" t="s">
        <v>73</v>
      </c>
      <c r="AA177" s="58" t="s">
        <v>342</v>
      </c>
      <c r="AB177" s="58" t="s">
        <v>75</v>
      </c>
      <c r="AC177" s="61" t="s">
        <v>264</v>
      </c>
      <c r="AD177" s="53" t="s">
        <v>104</v>
      </c>
      <c r="AE177" s="56">
        <f t="shared" si="5"/>
        <v>137.92836735999995</v>
      </c>
      <c r="AF177" s="56">
        <v>137.92836735999995</v>
      </c>
      <c r="AG177" s="62"/>
      <c r="AH177" s="63"/>
      <c r="AI177" s="61"/>
      <c r="AJ177" s="58"/>
      <c r="AK177" s="58"/>
      <c r="AL177" s="58"/>
      <c r="AM177" s="58"/>
      <c r="AN177" s="58"/>
      <c r="AO177" s="58"/>
    </row>
    <row r="178" spans="1:41" x14ac:dyDescent="0.2">
      <c r="A178" s="49" t="s">
        <v>67</v>
      </c>
      <c r="B178" s="50">
        <v>43228</v>
      </c>
      <c r="C178" s="51">
        <v>0.48125000000000001</v>
      </c>
      <c r="D178" s="49" t="s">
        <v>68</v>
      </c>
      <c r="E178" s="49">
        <v>3</v>
      </c>
      <c r="F178" s="52">
        <v>59.5</v>
      </c>
      <c r="G178" s="53">
        <v>2</v>
      </c>
      <c r="H178" s="54">
        <v>3.3613445378151259E-2</v>
      </c>
      <c r="I178" s="55">
        <v>6.83E-2</v>
      </c>
      <c r="J178" s="53">
        <v>314.15899999999999</v>
      </c>
      <c r="K178" s="53">
        <v>0.75129999999999997</v>
      </c>
      <c r="L178" s="53">
        <v>11</v>
      </c>
      <c r="M178" s="56">
        <v>209.07693331558633</v>
      </c>
      <c r="N178" s="53">
        <v>749</v>
      </c>
      <c r="O178" s="57" t="s">
        <v>190</v>
      </c>
      <c r="P178" s="58" t="s">
        <v>70</v>
      </c>
      <c r="Q178" s="53" t="s">
        <v>191</v>
      </c>
      <c r="R178" s="53" t="s">
        <v>84</v>
      </c>
      <c r="S178" s="53"/>
      <c r="T178" s="59">
        <v>1</v>
      </c>
      <c r="U178" s="59">
        <v>1</v>
      </c>
      <c r="V178" s="53">
        <v>11.1</v>
      </c>
      <c r="W178" s="53"/>
      <c r="X178" s="53"/>
      <c r="Y178" s="9">
        <f t="shared" si="4"/>
        <v>209.07693331558633</v>
      </c>
      <c r="Z178" s="60" t="s">
        <v>73</v>
      </c>
      <c r="AA178" s="58" t="s">
        <v>342</v>
      </c>
      <c r="AB178" s="58" t="s">
        <v>75</v>
      </c>
      <c r="AC178" s="61" t="s">
        <v>221</v>
      </c>
      <c r="AD178" s="53" t="s">
        <v>193</v>
      </c>
      <c r="AE178" s="56">
        <f t="shared" si="5"/>
        <v>75.979500000000002</v>
      </c>
      <c r="AF178" s="56">
        <v>75.979500000000002</v>
      </c>
      <c r="AG178" s="62"/>
      <c r="AH178" s="63"/>
      <c r="AI178" s="61"/>
      <c r="AJ178" s="58"/>
      <c r="AK178" s="58"/>
      <c r="AL178" s="58"/>
      <c r="AM178" s="58"/>
      <c r="AN178" s="58"/>
      <c r="AO178" s="58"/>
    </row>
    <row r="179" spans="1:41" x14ac:dyDescent="0.2">
      <c r="A179" s="49" t="s">
        <v>67</v>
      </c>
      <c r="B179" s="50">
        <v>43228</v>
      </c>
      <c r="C179" s="51">
        <v>0.48125000000000001</v>
      </c>
      <c r="D179" s="49" t="s">
        <v>68</v>
      </c>
      <c r="E179" s="49">
        <v>3</v>
      </c>
      <c r="F179" s="52">
        <v>59.5</v>
      </c>
      <c r="G179" s="53">
        <v>2</v>
      </c>
      <c r="H179" s="54">
        <v>3.3613445378151259E-2</v>
      </c>
      <c r="I179" s="55">
        <v>6.83E-2</v>
      </c>
      <c r="J179" s="53">
        <v>314.15899999999999</v>
      </c>
      <c r="K179" s="53">
        <v>0.75129999999999997</v>
      </c>
      <c r="L179" s="53">
        <v>11</v>
      </c>
      <c r="M179" s="56">
        <v>209.07693331558633</v>
      </c>
      <c r="N179" s="53">
        <v>1037</v>
      </c>
      <c r="O179" s="57" t="s">
        <v>86</v>
      </c>
      <c r="P179" s="57" t="s">
        <v>82</v>
      </c>
      <c r="Q179" s="53" t="s">
        <v>87</v>
      </c>
      <c r="R179" s="53" t="s">
        <v>84</v>
      </c>
      <c r="S179" s="53"/>
      <c r="T179" s="59">
        <v>11</v>
      </c>
      <c r="U179" s="59">
        <v>11</v>
      </c>
      <c r="V179" s="53">
        <v>2.8</v>
      </c>
      <c r="W179" s="53"/>
      <c r="X179" s="53"/>
      <c r="Y179" s="9">
        <f t="shared" si="4"/>
        <v>2299.8462664714493</v>
      </c>
      <c r="Z179" s="60" t="s">
        <v>73</v>
      </c>
      <c r="AA179" s="58" t="s">
        <v>342</v>
      </c>
      <c r="AB179" s="58" t="s">
        <v>75</v>
      </c>
      <c r="AC179" s="61" t="s">
        <v>221</v>
      </c>
      <c r="AD179" s="53" t="s">
        <v>85</v>
      </c>
      <c r="AE179" s="56">
        <f t="shared" si="5"/>
        <v>4.8490441650000005</v>
      </c>
      <c r="AF179" s="56">
        <v>4.8490441650000005</v>
      </c>
      <c r="AG179" s="62"/>
      <c r="AH179" s="63"/>
      <c r="AI179" s="61"/>
      <c r="AJ179" s="58"/>
      <c r="AK179" s="58"/>
      <c r="AL179" s="58"/>
      <c r="AM179" s="58"/>
      <c r="AN179" s="58"/>
      <c r="AO179" s="58"/>
    </row>
    <row r="180" spans="1:41" x14ac:dyDescent="0.2">
      <c r="A180" s="49" t="s">
        <v>67</v>
      </c>
      <c r="B180" s="50">
        <v>43228</v>
      </c>
      <c r="C180" s="51">
        <v>0.48125000000000001</v>
      </c>
      <c r="D180" s="49" t="s">
        <v>68</v>
      </c>
      <c r="E180" s="49">
        <v>3</v>
      </c>
      <c r="F180" s="52">
        <v>59.5</v>
      </c>
      <c r="G180" s="53">
        <v>2</v>
      </c>
      <c r="H180" s="54">
        <v>3.3613445378151259E-2</v>
      </c>
      <c r="I180" s="55">
        <v>6.83E-2</v>
      </c>
      <c r="J180" s="53">
        <v>314.15899999999999</v>
      </c>
      <c r="K180" s="53">
        <v>0.75129999999999997</v>
      </c>
      <c r="L180" s="53">
        <v>11</v>
      </c>
      <c r="M180" s="56">
        <v>209.07693331558633</v>
      </c>
      <c r="N180" s="53">
        <v>1364</v>
      </c>
      <c r="O180" s="57" t="s">
        <v>88</v>
      </c>
      <c r="P180" s="57" t="s">
        <v>82</v>
      </c>
      <c r="Q180" s="53" t="s">
        <v>89</v>
      </c>
      <c r="R180" s="53" t="s">
        <v>90</v>
      </c>
      <c r="S180" s="53"/>
      <c r="T180" s="59">
        <v>3</v>
      </c>
      <c r="U180" s="59">
        <v>3</v>
      </c>
      <c r="V180" s="53">
        <v>11.1</v>
      </c>
      <c r="W180" s="53"/>
      <c r="X180" s="53"/>
      <c r="Y180" s="9">
        <f t="shared" si="4"/>
        <v>627.23079994675891</v>
      </c>
      <c r="Z180" s="60" t="s">
        <v>73</v>
      </c>
      <c r="AA180" s="58" t="s">
        <v>342</v>
      </c>
      <c r="AB180" s="58" t="s">
        <v>75</v>
      </c>
      <c r="AC180" s="61" t="s">
        <v>221</v>
      </c>
      <c r="AD180" s="53" t="s">
        <v>91</v>
      </c>
      <c r="AE180" s="56">
        <f t="shared" si="5"/>
        <v>366.73665023999996</v>
      </c>
      <c r="AF180" s="56">
        <v>366.73665023999996</v>
      </c>
      <c r="AG180" s="62"/>
      <c r="AH180" s="63"/>
      <c r="AI180" s="61"/>
      <c r="AJ180" s="58"/>
      <c r="AK180" s="58"/>
      <c r="AL180" s="58"/>
      <c r="AM180" s="58"/>
      <c r="AN180" s="58"/>
      <c r="AO180" s="58"/>
    </row>
    <row r="181" spans="1:41" x14ac:dyDescent="0.2">
      <c r="A181" s="49" t="s">
        <v>67</v>
      </c>
      <c r="B181" s="50">
        <v>43228</v>
      </c>
      <c r="C181" s="51">
        <v>0.48125000000000001</v>
      </c>
      <c r="D181" s="49" t="s">
        <v>68</v>
      </c>
      <c r="E181" s="49">
        <v>3</v>
      </c>
      <c r="F181" s="52">
        <v>59.5</v>
      </c>
      <c r="G181" s="53">
        <v>2</v>
      </c>
      <c r="H181" s="54">
        <v>3.3613445378151259E-2</v>
      </c>
      <c r="I181" s="55">
        <v>6.83E-2</v>
      </c>
      <c r="J181" s="53">
        <v>314.15899999999999</v>
      </c>
      <c r="K181" s="53">
        <v>0.75129999999999997</v>
      </c>
      <c r="L181" s="53">
        <v>11</v>
      </c>
      <c r="M181" s="56">
        <v>209.07693331558633</v>
      </c>
      <c r="N181" s="53">
        <v>1419</v>
      </c>
      <c r="O181" s="57" t="s">
        <v>94</v>
      </c>
      <c r="P181" s="57" t="s">
        <v>82</v>
      </c>
      <c r="Q181" s="53" t="s">
        <v>95</v>
      </c>
      <c r="R181" s="53" t="s">
        <v>96</v>
      </c>
      <c r="S181" s="53"/>
      <c r="T181" s="59">
        <v>414</v>
      </c>
      <c r="U181" s="59">
        <v>836</v>
      </c>
      <c r="V181" s="53">
        <v>0.8</v>
      </c>
      <c r="W181" s="53">
        <v>0.8</v>
      </c>
      <c r="X181" s="53">
        <v>0.8</v>
      </c>
      <c r="Y181" s="9">
        <f t="shared" si="4"/>
        <v>86557.850392652734</v>
      </c>
      <c r="Z181" s="60" t="s">
        <v>97</v>
      </c>
      <c r="AA181" s="58" t="s">
        <v>342</v>
      </c>
      <c r="AB181" s="58" t="s">
        <v>75</v>
      </c>
      <c r="AC181" s="61" t="s">
        <v>221</v>
      </c>
      <c r="AD181" s="53" t="s">
        <v>85</v>
      </c>
      <c r="AE181" s="56">
        <f t="shared" si="5"/>
        <v>0.17999999999999997</v>
      </c>
      <c r="AF181" s="56">
        <v>0.18</v>
      </c>
      <c r="AG181" s="56">
        <v>0.18</v>
      </c>
      <c r="AH181" s="56">
        <v>0.18</v>
      </c>
      <c r="AI181" s="56">
        <v>0.18</v>
      </c>
      <c r="AJ181" s="56">
        <v>0.18</v>
      </c>
      <c r="AK181" s="56">
        <v>0.18</v>
      </c>
      <c r="AL181" s="56">
        <v>0.18</v>
      </c>
      <c r="AM181" s="56">
        <v>0.18</v>
      </c>
      <c r="AN181" s="56">
        <v>0.18</v>
      </c>
      <c r="AO181" s="56">
        <v>0.18</v>
      </c>
    </row>
    <row r="182" spans="1:41" x14ac:dyDescent="0.2">
      <c r="A182" s="49" t="s">
        <v>67</v>
      </c>
      <c r="B182" s="50">
        <v>43228</v>
      </c>
      <c r="C182" s="51">
        <v>0.53125</v>
      </c>
      <c r="D182" s="49" t="s">
        <v>108</v>
      </c>
      <c r="E182" s="49">
        <v>3</v>
      </c>
      <c r="F182" s="52">
        <v>61</v>
      </c>
      <c r="G182" s="53">
        <v>2</v>
      </c>
      <c r="H182" s="54">
        <v>3.2786885245901641E-2</v>
      </c>
      <c r="I182" s="55">
        <v>6.83E-2</v>
      </c>
      <c r="J182" s="53">
        <v>314.15899999999999</v>
      </c>
      <c r="K182" s="53">
        <v>0.75129999999999997</v>
      </c>
      <c r="L182" s="53">
        <v>11</v>
      </c>
      <c r="M182" s="56">
        <v>209.07693331558633</v>
      </c>
      <c r="N182" s="53">
        <v>1037</v>
      </c>
      <c r="O182" s="57" t="s">
        <v>86</v>
      </c>
      <c r="P182" s="57" t="s">
        <v>82</v>
      </c>
      <c r="Q182" s="53" t="s">
        <v>87</v>
      </c>
      <c r="R182" s="53" t="s">
        <v>84</v>
      </c>
      <c r="S182" s="53"/>
      <c r="T182" s="59">
        <v>12</v>
      </c>
      <c r="U182" s="59">
        <v>12</v>
      </c>
      <c r="V182" s="53">
        <v>2.8</v>
      </c>
      <c r="W182" s="53"/>
      <c r="X182" s="53"/>
      <c r="Y182" s="9">
        <f t="shared" si="4"/>
        <v>2508.9231997870356</v>
      </c>
      <c r="Z182" s="60" t="s">
        <v>73</v>
      </c>
      <c r="AA182" s="58" t="s">
        <v>334</v>
      </c>
      <c r="AB182" s="58" t="s">
        <v>75</v>
      </c>
      <c r="AC182" s="61" t="s">
        <v>76</v>
      </c>
      <c r="AD182" s="53" t="s">
        <v>85</v>
      </c>
      <c r="AE182" s="56">
        <f t="shared" si="5"/>
        <v>6.3706209216666645</v>
      </c>
      <c r="AF182" s="56">
        <v>6.3706209216666645</v>
      </c>
      <c r="AG182" s="62"/>
      <c r="AH182" s="63"/>
      <c r="AI182" s="61"/>
      <c r="AJ182" s="58"/>
      <c r="AK182" s="58"/>
      <c r="AL182" s="58"/>
      <c r="AM182" s="58"/>
      <c r="AN182" s="58"/>
      <c r="AO182" s="58"/>
    </row>
    <row r="183" spans="1:41" x14ac:dyDescent="0.2">
      <c r="A183" s="49" t="s">
        <v>67</v>
      </c>
      <c r="B183" s="50">
        <v>43228</v>
      </c>
      <c r="C183" s="51">
        <v>0.53125</v>
      </c>
      <c r="D183" s="49" t="s">
        <v>108</v>
      </c>
      <c r="E183" s="49">
        <v>3</v>
      </c>
      <c r="F183" s="52">
        <v>61</v>
      </c>
      <c r="G183" s="53">
        <v>2</v>
      </c>
      <c r="H183" s="54">
        <v>3.2786885245901641E-2</v>
      </c>
      <c r="I183" s="55">
        <v>6.83E-2</v>
      </c>
      <c r="J183" s="53">
        <v>314.15899999999999</v>
      </c>
      <c r="K183" s="53">
        <v>0.75129999999999997</v>
      </c>
      <c r="L183" s="53">
        <v>11</v>
      </c>
      <c r="M183" s="56">
        <v>209.07693331558633</v>
      </c>
      <c r="N183" s="53">
        <v>1140</v>
      </c>
      <c r="O183" s="57" t="s">
        <v>126</v>
      </c>
      <c r="P183" s="57" t="s">
        <v>82</v>
      </c>
      <c r="Q183" s="53" t="s">
        <v>127</v>
      </c>
      <c r="R183" s="53" t="s">
        <v>128</v>
      </c>
      <c r="S183" s="53"/>
      <c r="T183" s="59">
        <v>1</v>
      </c>
      <c r="U183" s="59">
        <v>1</v>
      </c>
      <c r="V183" s="53">
        <v>13</v>
      </c>
      <c r="W183" s="53"/>
      <c r="X183" s="53"/>
      <c r="Y183" s="9">
        <f t="shared" si="4"/>
        <v>209.07693331558633</v>
      </c>
      <c r="Z183" s="60" t="s">
        <v>73</v>
      </c>
      <c r="AA183" s="58" t="s">
        <v>334</v>
      </c>
      <c r="AB183" s="58" t="s">
        <v>75</v>
      </c>
      <c r="AC183" s="61" t="s">
        <v>76</v>
      </c>
      <c r="AD183" s="53" t="s">
        <v>129</v>
      </c>
      <c r="AE183" s="56">
        <f t="shared" si="5"/>
        <v>5.5134904499999999</v>
      </c>
      <c r="AF183" s="56">
        <v>5.5134904499999999</v>
      </c>
      <c r="AG183" s="62"/>
      <c r="AH183" s="63"/>
      <c r="AI183" s="61"/>
      <c r="AJ183" s="58"/>
      <c r="AK183" s="58"/>
      <c r="AL183" s="58"/>
      <c r="AM183" s="58"/>
      <c r="AN183" s="58"/>
      <c r="AO183" s="58"/>
    </row>
    <row r="184" spans="1:41" x14ac:dyDescent="0.2">
      <c r="A184" s="49" t="s">
        <v>67</v>
      </c>
      <c r="B184" s="50">
        <v>43228</v>
      </c>
      <c r="C184" s="51">
        <v>0.53125</v>
      </c>
      <c r="D184" s="49" t="s">
        <v>108</v>
      </c>
      <c r="E184" s="49">
        <v>3</v>
      </c>
      <c r="F184" s="52">
        <v>61</v>
      </c>
      <c r="G184" s="53">
        <v>2</v>
      </c>
      <c r="H184" s="54">
        <v>3.2786885245901641E-2</v>
      </c>
      <c r="I184" s="55">
        <v>6.83E-2</v>
      </c>
      <c r="J184" s="53">
        <v>314.15899999999999</v>
      </c>
      <c r="K184" s="53">
        <v>0.75129999999999997</v>
      </c>
      <c r="L184" s="53">
        <v>11</v>
      </c>
      <c r="M184" s="56">
        <v>209.07693331558633</v>
      </c>
      <c r="N184" s="53">
        <v>1364</v>
      </c>
      <c r="O184" s="57" t="s">
        <v>88</v>
      </c>
      <c r="P184" s="57" t="s">
        <v>82</v>
      </c>
      <c r="Q184" s="53" t="s">
        <v>89</v>
      </c>
      <c r="R184" s="53" t="s">
        <v>90</v>
      </c>
      <c r="S184" s="53"/>
      <c r="T184" s="59">
        <v>2</v>
      </c>
      <c r="U184" s="59">
        <v>2</v>
      </c>
      <c r="V184" s="53">
        <v>9.3000000000000007</v>
      </c>
      <c r="W184" s="53"/>
      <c r="X184" s="53"/>
      <c r="Y184" s="9">
        <f t="shared" si="4"/>
        <v>418.15386663117266</v>
      </c>
      <c r="Z184" s="60" t="s">
        <v>73</v>
      </c>
      <c r="AA184" s="58" t="s">
        <v>334</v>
      </c>
      <c r="AB184" s="58" t="s">
        <v>75</v>
      </c>
      <c r="AC184" s="61" t="s">
        <v>76</v>
      </c>
      <c r="AD184" s="53" t="s">
        <v>91</v>
      </c>
      <c r="AE184" s="56">
        <f t="shared" si="5"/>
        <v>326.05934291999995</v>
      </c>
      <c r="AF184" s="56">
        <v>326.05934291999995</v>
      </c>
      <c r="AG184" s="62"/>
      <c r="AH184" s="63"/>
      <c r="AI184" s="61"/>
      <c r="AJ184" s="58"/>
      <c r="AK184" s="58"/>
      <c r="AL184" s="58"/>
      <c r="AM184" s="58"/>
      <c r="AN184" s="58"/>
      <c r="AO184" s="58"/>
    </row>
    <row r="185" spans="1:41" x14ac:dyDescent="0.2">
      <c r="A185" s="49" t="s">
        <v>67</v>
      </c>
      <c r="B185" s="50">
        <v>43228</v>
      </c>
      <c r="C185" s="51">
        <v>0.53125</v>
      </c>
      <c r="D185" s="49" t="s">
        <v>108</v>
      </c>
      <c r="E185" s="49">
        <v>3</v>
      </c>
      <c r="F185" s="52">
        <v>61</v>
      </c>
      <c r="G185" s="53">
        <v>2</v>
      </c>
      <c r="H185" s="54">
        <v>3.2786885245901641E-2</v>
      </c>
      <c r="I185" s="55">
        <v>6.83E-2</v>
      </c>
      <c r="J185" s="53">
        <v>314.15899999999999</v>
      </c>
      <c r="K185" s="53">
        <v>0.75129999999999997</v>
      </c>
      <c r="L185" s="53">
        <v>11</v>
      </c>
      <c r="M185" s="56">
        <v>209.07693331558633</v>
      </c>
      <c r="N185" s="53">
        <v>1419</v>
      </c>
      <c r="O185" s="57" t="s">
        <v>94</v>
      </c>
      <c r="P185" s="57" t="s">
        <v>82</v>
      </c>
      <c r="Q185" s="53" t="s">
        <v>95</v>
      </c>
      <c r="R185" s="53" t="s">
        <v>96</v>
      </c>
      <c r="S185" s="53"/>
      <c r="T185" s="59">
        <v>407</v>
      </c>
      <c r="U185" s="59">
        <v>818</v>
      </c>
      <c r="V185" s="53">
        <v>0.8</v>
      </c>
      <c r="W185" s="53">
        <v>0.8</v>
      </c>
      <c r="X185" s="53">
        <v>0.8</v>
      </c>
      <c r="Y185" s="9">
        <f t="shared" si="4"/>
        <v>85094.311859443638</v>
      </c>
      <c r="Z185" s="60" t="s">
        <v>97</v>
      </c>
      <c r="AA185" s="58" t="s">
        <v>334</v>
      </c>
      <c r="AB185" s="58" t="s">
        <v>75</v>
      </c>
      <c r="AC185" s="61" t="s">
        <v>76</v>
      </c>
      <c r="AD185" s="53" t="s">
        <v>85</v>
      </c>
      <c r="AE185" s="56">
        <f t="shared" si="5"/>
        <v>0.17999999999999997</v>
      </c>
      <c r="AF185" s="56">
        <v>0.18</v>
      </c>
      <c r="AG185" s="56">
        <v>0.18</v>
      </c>
      <c r="AH185" s="56">
        <v>0.18</v>
      </c>
      <c r="AI185" s="56">
        <v>0.18</v>
      </c>
      <c r="AJ185" s="56">
        <v>0.18</v>
      </c>
      <c r="AK185" s="56">
        <v>0.18</v>
      </c>
      <c r="AL185" s="56">
        <v>0.18</v>
      </c>
      <c r="AM185" s="56">
        <v>0.18</v>
      </c>
      <c r="AN185" s="56">
        <v>0.18</v>
      </c>
      <c r="AO185" s="56">
        <v>0.18</v>
      </c>
    </row>
    <row r="186" spans="1:41" x14ac:dyDescent="0.2">
      <c r="A186" s="49" t="s">
        <v>67</v>
      </c>
      <c r="B186" s="50">
        <v>43228</v>
      </c>
      <c r="C186" s="51">
        <v>0.55763888888888902</v>
      </c>
      <c r="D186" s="49" t="s">
        <v>113</v>
      </c>
      <c r="E186" s="49"/>
      <c r="F186" s="52">
        <v>63.5</v>
      </c>
      <c r="G186" s="53">
        <v>2</v>
      </c>
      <c r="H186" s="54">
        <v>3.1496062992125984E-2</v>
      </c>
      <c r="I186" s="55">
        <v>6.83E-2</v>
      </c>
      <c r="J186" s="53">
        <v>314.15899999999999</v>
      </c>
      <c r="K186" s="53">
        <v>0.68300000000000005</v>
      </c>
      <c r="L186" s="53">
        <v>10</v>
      </c>
      <c r="M186" s="56">
        <v>229.98462664714492</v>
      </c>
      <c r="N186" s="53">
        <v>145</v>
      </c>
      <c r="O186" s="57" t="s">
        <v>69</v>
      </c>
      <c r="P186" s="58" t="s">
        <v>70</v>
      </c>
      <c r="Q186" s="53" t="s">
        <v>71</v>
      </c>
      <c r="R186" s="53" t="s">
        <v>72</v>
      </c>
      <c r="S186" s="53"/>
      <c r="T186" s="59">
        <v>1</v>
      </c>
      <c r="U186" s="59">
        <v>1</v>
      </c>
      <c r="V186" s="53">
        <v>18.5</v>
      </c>
      <c r="W186" s="53"/>
      <c r="X186" s="53"/>
      <c r="Y186" s="9">
        <f t="shared" si="4"/>
        <v>229.98462664714492</v>
      </c>
      <c r="Z186" s="60" t="s">
        <v>73</v>
      </c>
      <c r="AA186" s="58" t="s">
        <v>341</v>
      </c>
      <c r="AB186" s="58" t="s">
        <v>75</v>
      </c>
      <c r="AC186" s="61" t="s">
        <v>76</v>
      </c>
      <c r="AD186" s="53" t="s">
        <v>77</v>
      </c>
      <c r="AE186" s="56">
        <f t="shared" si="5"/>
        <v>499.97226753750004</v>
      </c>
      <c r="AF186" s="56">
        <v>499.97226753750004</v>
      </c>
      <c r="AG186" s="62"/>
      <c r="AH186" s="63"/>
      <c r="AI186" s="61"/>
      <c r="AJ186" s="58"/>
      <c r="AK186" s="58"/>
      <c r="AL186" s="58"/>
      <c r="AM186" s="58"/>
      <c r="AN186" s="58"/>
      <c r="AO186" s="58"/>
    </row>
    <row r="187" spans="1:41" x14ac:dyDescent="0.2">
      <c r="A187" s="49" t="s">
        <v>67</v>
      </c>
      <c r="B187" s="50">
        <v>43228</v>
      </c>
      <c r="C187" s="51">
        <v>0.55763888888888902</v>
      </c>
      <c r="D187" s="49" t="s">
        <v>113</v>
      </c>
      <c r="E187" s="49"/>
      <c r="F187" s="52">
        <v>63.5</v>
      </c>
      <c r="G187" s="53">
        <v>2</v>
      </c>
      <c r="H187" s="54">
        <v>3.1496062992125984E-2</v>
      </c>
      <c r="I187" s="55">
        <v>6.83E-2</v>
      </c>
      <c r="J187" s="53">
        <v>314.15899999999999</v>
      </c>
      <c r="K187" s="53">
        <v>0.68300000000000005</v>
      </c>
      <c r="L187" s="53">
        <v>10</v>
      </c>
      <c r="M187" s="56">
        <v>229.98462664714492</v>
      </c>
      <c r="N187" s="53">
        <v>190</v>
      </c>
      <c r="O187" s="57" t="s">
        <v>102</v>
      </c>
      <c r="P187" s="58" t="s">
        <v>70</v>
      </c>
      <c r="Q187" s="53" t="s">
        <v>103</v>
      </c>
      <c r="R187" s="53" t="s">
        <v>84</v>
      </c>
      <c r="S187" s="53"/>
      <c r="T187" s="59">
        <v>1</v>
      </c>
      <c r="U187" s="59">
        <v>1</v>
      </c>
      <c r="V187" s="53">
        <v>9.3000000000000007</v>
      </c>
      <c r="W187" s="53"/>
      <c r="X187" s="53"/>
      <c r="Y187" s="9">
        <f t="shared" si="4"/>
        <v>229.98462664714492</v>
      </c>
      <c r="Z187" s="60" t="s">
        <v>73</v>
      </c>
      <c r="AA187" s="58" t="s">
        <v>341</v>
      </c>
      <c r="AB187" s="58" t="s">
        <v>75</v>
      </c>
      <c r="AC187" s="61" t="s">
        <v>76</v>
      </c>
      <c r="AD187" s="53" t="s">
        <v>104</v>
      </c>
      <c r="AE187" s="56">
        <f t="shared" si="5"/>
        <v>380.40256674</v>
      </c>
      <c r="AF187" s="56">
        <v>380.40256674</v>
      </c>
      <c r="AG187" s="62"/>
      <c r="AH187" s="63"/>
      <c r="AI187" s="61"/>
      <c r="AJ187" s="58"/>
      <c r="AK187" s="58"/>
      <c r="AL187" s="58"/>
      <c r="AM187" s="58"/>
      <c r="AN187" s="58"/>
      <c r="AO187" s="58"/>
    </row>
    <row r="188" spans="1:41" x14ac:dyDescent="0.2">
      <c r="A188" s="49" t="s">
        <v>67</v>
      </c>
      <c r="B188" s="50">
        <v>43228</v>
      </c>
      <c r="C188" s="51">
        <v>0.55763888888888902</v>
      </c>
      <c r="D188" s="49" t="s">
        <v>113</v>
      </c>
      <c r="E188" s="49"/>
      <c r="F188" s="52">
        <v>63.5</v>
      </c>
      <c r="G188" s="53">
        <v>2</v>
      </c>
      <c r="H188" s="54">
        <v>3.1496062992125984E-2</v>
      </c>
      <c r="I188" s="55">
        <v>6.83E-2</v>
      </c>
      <c r="J188" s="53">
        <v>314.15899999999999</v>
      </c>
      <c r="K188" s="53">
        <v>0.68300000000000005</v>
      </c>
      <c r="L188" s="53">
        <v>10</v>
      </c>
      <c r="M188" s="56">
        <v>229.98462664714492</v>
      </c>
      <c r="N188" s="53">
        <v>631</v>
      </c>
      <c r="O188" s="57" t="s">
        <v>146</v>
      </c>
      <c r="P188" s="58" t="s">
        <v>70</v>
      </c>
      <c r="Q188" s="53" t="s">
        <v>147</v>
      </c>
      <c r="R188" s="53" t="s">
        <v>84</v>
      </c>
      <c r="S188" s="53"/>
      <c r="T188" s="59">
        <v>1</v>
      </c>
      <c r="U188" s="59">
        <v>1</v>
      </c>
      <c r="V188" s="53">
        <v>16.7</v>
      </c>
      <c r="W188" s="53"/>
      <c r="X188" s="53"/>
      <c r="Y188" s="9">
        <f t="shared" si="4"/>
        <v>229.98462664714492</v>
      </c>
      <c r="Z188" s="60" t="s">
        <v>73</v>
      </c>
      <c r="AA188" s="58" t="s">
        <v>341</v>
      </c>
      <c r="AB188" s="58" t="s">
        <v>75</v>
      </c>
      <c r="AC188" s="61" t="s">
        <v>76</v>
      </c>
      <c r="AD188" s="53" t="s">
        <v>77</v>
      </c>
      <c r="AE188" s="56">
        <f t="shared" si="5"/>
        <v>223.23667301499998</v>
      </c>
      <c r="AF188" s="56">
        <v>223.23667301499998</v>
      </c>
      <c r="AG188" s="62"/>
      <c r="AH188" s="63"/>
      <c r="AI188" s="61"/>
      <c r="AJ188" s="58"/>
      <c r="AK188" s="58"/>
      <c r="AL188" s="58"/>
      <c r="AM188" s="58"/>
      <c r="AN188" s="58"/>
      <c r="AO188" s="58"/>
    </row>
    <row r="189" spans="1:41" x14ac:dyDescent="0.2">
      <c r="A189" s="49" t="s">
        <v>67</v>
      </c>
      <c r="B189" s="50">
        <v>43228</v>
      </c>
      <c r="C189" s="51">
        <v>0.55763888888888902</v>
      </c>
      <c r="D189" s="49" t="s">
        <v>113</v>
      </c>
      <c r="E189" s="49"/>
      <c r="F189" s="52">
        <v>63.5</v>
      </c>
      <c r="G189" s="53">
        <v>2</v>
      </c>
      <c r="H189" s="54">
        <v>3.1496062992125984E-2</v>
      </c>
      <c r="I189" s="55">
        <v>6.83E-2</v>
      </c>
      <c r="J189" s="53">
        <v>314.15899999999999</v>
      </c>
      <c r="K189" s="53">
        <v>0.68300000000000005</v>
      </c>
      <c r="L189" s="53">
        <v>10</v>
      </c>
      <c r="M189" s="56">
        <v>229.98462664714492</v>
      </c>
      <c r="N189" s="53">
        <v>1037</v>
      </c>
      <c r="O189" s="57" t="s">
        <v>86</v>
      </c>
      <c r="P189" s="57" t="s">
        <v>82</v>
      </c>
      <c r="Q189" s="53" t="s">
        <v>87</v>
      </c>
      <c r="R189" s="53" t="s">
        <v>84</v>
      </c>
      <c r="S189" s="53"/>
      <c r="T189" s="59">
        <v>18</v>
      </c>
      <c r="U189" s="59">
        <v>18</v>
      </c>
      <c r="V189" s="53">
        <v>2.8</v>
      </c>
      <c r="W189" s="53"/>
      <c r="X189" s="53"/>
      <c r="Y189" s="9">
        <f t="shared" si="4"/>
        <v>4139.7232796486087</v>
      </c>
      <c r="Z189" s="60" t="s">
        <v>73</v>
      </c>
      <c r="AA189" s="58" t="s">
        <v>341</v>
      </c>
      <c r="AB189" s="58" t="s">
        <v>75</v>
      </c>
      <c r="AC189" s="61" t="s">
        <v>76</v>
      </c>
      <c r="AD189" s="53" t="s">
        <v>85</v>
      </c>
      <c r="AE189" s="56">
        <f t="shared" si="5"/>
        <v>4.8490441650000005</v>
      </c>
      <c r="AF189" s="56">
        <v>4.8490441650000005</v>
      </c>
      <c r="AG189" s="62"/>
      <c r="AH189" s="63"/>
      <c r="AI189" s="61"/>
      <c r="AJ189" s="58"/>
      <c r="AK189" s="58"/>
      <c r="AL189" s="58"/>
      <c r="AM189" s="58"/>
      <c r="AN189" s="58"/>
      <c r="AO189" s="58"/>
    </row>
    <row r="190" spans="1:41" x14ac:dyDescent="0.2">
      <c r="A190" s="49" t="s">
        <v>67</v>
      </c>
      <c r="B190" s="50">
        <v>43228</v>
      </c>
      <c r="C190" s="51">
        <v>0.55763888888888902</v>
      </c>
      <c r="D190" s="49" t="s">
        <v>113</v>
      </c>
      <c r="E190" s="49"/>
      <c r="F190" s="52">
        <v>63.5</v>
      </c>
      <c r="G190" s="53">
        <v>2</v>
      </c>
      <c r="H190" s="54">
        <v>3.1496062992125984E-2</v>
      </c>
      <c r="I190" s="55">
        <v>6.83E-2</v>
      </c>
      <c r="J190" s="53">
        <v>314.15899999999999</v>
      </c>
      <c r="K190" s="53">
        <v>0.68300000000000005</v>
      </c>
      <c r="L190" s="53">
        <v>10</v>
      </c>
      <c r="M190" s="56">
        <v>229.98462664714492</v>
      </c>
      <c r="N190" s="53">
        <v>1364</v>
      </c>
      <c r="O190" s="57" t="s">
        <v>88</v>
      </c>
      <c r="P190" s="57" t="s">
        <v>82</v>
      </c>
      <c r="Q190" s="53" t="s">
        <v>89</v>
      </c>
      <c r="R190" s="53" t="s">
        <v>90</v>
      </c>
      <c r="S190" s="53"/>
      <c r="T190" s="59">
        <v>1</v>
      </c>
      <c r="U190" s="59">
        <v>1</v>
      </c>
      <c r="V190" s="53">
        <v>11.1</v>
      </c>
      <c r="W190" s="53"/>
      <c r="X190" s="53"/>
      <c r="Y190" s="9">
        <f t="shared" si="4"/>
        <v>229.98462664714492</v>
      </c>
      <c r="Z190" s="60" t="s">
        <v>73</v>
      </c>
      <c r="AA190" s="58" t="s">
        <v>341</v>
      </c>
      <c r="AB190" s="58" t="s">
        <v>75</v>
      </c>
      <c r="AC190" s="61" t="s">
        <v>76</v>
      </c>
      <c r="AD190" s="53" t="s">
        <v>91</v>
      </c>
      <c r="AE190" s="56">
        <f t="shared" si="5"/>
        <v>538.67979792749986</v>
      </c>
      <c r="AF190" s="56">
        <v>538.67979792749986</v>
      </c>
      <c r="AG190" s="62"/>
      <c r="AH190" s="63"/>
      <c r="AI190" s="61"/>
      <c r="AJ190" s="58"/>
      <c r="AK190" s="58"/>
      <c r="AL190" s="58"/>
      <c r="AM190" s="58"/>
      <c r="AN190" s="58"/>
      <c r="AO190" s="58"/>
    </row>
    <row r="191" spans="1:41" x14ac:dyDescent="0.2">
      <c r="A191" s="49" t="s">
        <v>67</v>
      </c>
      <c r="B191" s="50">
        <v>43228</v>
      </c>
      <c r="C191" s="51">
        <v>0.55763888888888902</v>
      </c>
      <c r="D191" s="49" t="s">
        <v>113</v>
      </c>
      <c r="E191" s="49"/>
      <c r="F191" s="52">
        <v>63.5</v>
      </c>
      <c r="G191" s="53">
        <v>2</v>
      </c>
      <c r="H191" s="54">
        <v>3.1496062992125984E-2</v>
      </c>
      <c r="I191" s="55">
        <v>6.83E-2</v>
      </c>
      <c r="J191" s="53">
        <v>314.15899999999999</v>
      </c>
      <c r="K191" s="53">
        <v>0.68300000000000005</v>
      </c>
      <c r="L191" s="53">
        <v>10</v>
      </c>
      <c r="M191" s="56">
        <v>229.98462664714492</v>
      </c>
      <c r="N191" s="53">
        <v>1733</v>
      </c>
      <c r="O191" s="57" t="s">
        <v>92</v>
      </c>
      <c r="P191" s="57" t="s">
        <v>82</v>
      </c>
      <c r="Q191" s="53" t="s">
        <v>89</v>
      </c>
      <c r="R191" s="53" t="s">
        <v>93</v>
      </c>
      <c r="S191" s="53"/>
      <c r="T191" s="59">
        <v>1</v>
      </c>
      <c r="U191" s="59">
        <v>1</v>
      </c>
      <c r="V191" s="53">
        <v>4.5999999999999996</v>
      </c>
      <c r="W191" s="53"/>
      <c r="X191" s="53"/>
      <c r="Y191" s="9">
        <f t="shared" si="4"/>
        <v>229.98462664714492</v>
      </c>
      <c r="Z191" s="60" t="s">
        <v>73</v>
      </c>
      <c r="AA191" s="58" t="s">
        <v>341</v>
      </c>
      <c r="AB191" s="58" t="s">
        <v>75</v>
      </c>
      <c r="AC191" s="61" t="s">
        <v>76</v>
      </c>
      <c r="AD191" s="53" t="s">
        <v>91</v>
      </c>
      <c r="AE191" s="56">
        <f t="shared" si="5"/>
        <v>45.979264043333323</v>
      </c>
      <c r="AF191" s="56">
        <v>45.979264043333323</v>
      </c>
      <c r="AG191" s="62"/>
      <c r="AH191" s="63"/>
      <c r="AI191" s="61"/>
      <c r="AJ191" s="58"/>
      <c r="AK191" s="58"/>
      <c r="AL191" s="58"/>
      <c r="AM191" s="58"/>
      <c r="AN191" s="58"/>
      <c r="AO191" s="58"/>
    </row>
    <row r="192" spans="1:41" x14ac:dyDescent="0.2">
      <c r="A192" s="49" t="s">
        <v>67</v>
      </c>
      <c r="B192" s="50">
        <v>43228</v>
      </c>
      <c r="C192" s="51">
        <v>0.55763888888888902</v>
      </c>
      <c r="D192" s="49" t="s">
        <v>113</v>
      </c>
      <c r="E192" s="49"/>
      <c r="F192" s="52">
        <v>63.5</v>
      </c>
      <c r="G192" s="53">
        <v>2</v>
      </c>
      <c r="H192" s="54">
        <v>3.1496062992125984E-2</v>
      </c>
      <c r="I192" s="55">
        <v>6.83E-2</v>
      </c>
      <c r="J192" s="53">
        <v>314.15899999999999</v>
      </c>
      <c r="K192" s="53">
        <v>0.68300000000000005</v>
      </c>
      <c r="L192" s="53">
        <v>10</v>
      </c>
      <c r="M192" s="56">
        <v>229.98462664714492</v>
      </c>
      <c r="N192" s="53">
        <v>1419</v>
      </c>
      <c r="O192" s="57" t="s">
        <v>94</v>
      </c>
      <c r="P192" s="57" t="s">
        <v>82</v>
      </c>
      <c r="Q192" s="53" t="s">
        <v>95</v>
      </c>
      <c r="R192" s="53" t="s">
        <v>96</v>
      </c>
      <c r="S192" s="53"/>
      <c r="T192" s="59">
        <v>380</v>
      </c>
      <c r="U192" s="59">
        <v>763</v>
      </c>
      <c r="V192" s="53">
        <v>0.8</v>
      </c>
      <c r="W192" s="53">
        <v>0.8</v>
      </c>
      <c r="X192" s="53">
        <v>0.8</v>
      </c>
      <c r="Y192" s="9">
        <f t="shared" si="4"/>
        <v>87394.15812591507</v>
      </c>
      <c r="Z192" s="60" t="s">
        <v>97</v>
      </c>
      <c r="AA192" s="58" t="s">
        <v>341</v>
      </c>
      <c r="AB192" s="58" t="s">
        <v>75</v>
      </c>
      <c r="AC192" s="61" t="s">
        <v>76</v>
      </c>
      <c r="AD192" s="53" t="s">
        <v>85</v>
      </c>
      <c r="AE192" s="56">
        <f t="shared" si="5"/>
        <v>0.17999999999999997</v>
      </c>
      <c r="AF192" s="56">
        <v>0.18</v>
      </c>
      <c r="AG192" s="56">
        <v>0.18</v>
      </c>
      <c r="AH192" s="56">
        <v>0.18</v>
      </c>
      <c r="AI192" s="56">
        <v>0.18</v>
      </c>
      <c r="AJ192" s="56">
        <v>0.18</v>
      </c>
      <c r="AK192" s="56">
        <v>0.18</v>
      </c>
      <c r="AL192" s="56">
        <v>0.18</v>
      </c>
      <c r="AM192" s="56">
        <v>0.18</v>
      </c>
      <c r="AN192" s="56">
        <v>0.18</v>
      </c>
      <c r="AO192" s="56">
        <v>0.18</v>
      </c>
    </row>
    <row r="193" spans="1:41" x14ac:dyDescent="0.2">
      <c r="A193" s="49" t="s">
        <v>67</v>
      </c>
      <c r="B193" s="50">
        <v>43228</v>
      </c>
      <c r="C193" s="51">
        <v>0.56944444444444398</v>
      </c>
      <c r="D193" s="49" t="s">
        <v>144</v>
      </c>
      <c r="E193" s="49"/>
      <c r="F193" s="52">
        <v>59</v>
      </c>
      <c r="G193" s="53">
        <v>2</v>
      </c>
      <c r="H193" s="54">
        <v>3.3898305084745763E-2</v>
      </c>
      <c r="I193" s="55">
        <v>6.83E-2</v>
      </c>
      <c r="J193" s="53">
        <v>314.15899999999999</v>
      </c>
      <c r="K193" s="53">
        <v>0.61470000000000002</v>
      </c>
      <c r="L193" s="53">
        <v>9</v>
      </c>
      <c r="M193" s="56">
        <v>255.53847405238326</v>
      </c>
      <c r="N193" s="53">
        <v>145</v>
      </c>
      <c r="O193" s="57" t="s">
        <v>69</v>
      </c>
      <c r="P193" s="58" t="s">
        <v>70</v>
      </c>
      <c r="Q193" s="53" t="s">
        <v>71</v>
      </c>
      <c r="R193" s="53" t="s">
        <v>72</v>
      </c>
      <c r="S193" s="53"/>
      <c r="T193" s="59">
        <v>2</v>
      </c>
      <c r="U193" s="59">
        <v>2</v>
      </c>
      <c r="V193" s="53">
        <v>22.2</v>
      </c>
      <c r="W193" s="53"/>
      <c r="X193" s="53"/>
      <c r="Y193" s="9">
        <f t="shared" si="4"/>
        <v>511.07694810476653</v>
      </c>
      <c r="Z193" s="60" t="s">
        <v>73</v>
      </c>
      <c r="AA193" s="58" t="s">
        <v>331</v>
      </c>
      <c r="AB193" s="58" t="s">
        <v>75</v>
      </c>
      <c r="AC193" s="61" t="s">
        <v>76</v>
      </c>
      <c r="AD193" s="53" t="s">
        <v>77</v>
      </c>
      <c r="AE193" s="56">
        <f t="shared" si="5"/>
        <v>928.98072935999994</v>
      </c>
      <c r="AF193" s="56">
        <v>928.98072935999994</v>
      </c>
      <c r="AG193" s="62"/>
      <c r="AH193" s="63"/>
      <c r="AI193" s="61"/>
      <c r="AJ193" s="58"/>
      <c r="AK193" s="58"/>
      <c r="AL193" s="58"/>
      <c r="AM193" s="58"/>
      <c r="AN193" s="58"/>
      <c r="AO193" s="58"/>
    </row>
    <row r="194" spans="1:41" x14ac:dyDescent="0.2">
      <c r="A194" s="49" t="s">
        <v>67</v>
      </c>
      <c r="B194" s="50">
        <v>43228</v>
      </c>
      <c r="C194" s="51">
        <v>0.56944444444444398</v>
      </c>
      <c r="D194" s="49" t="s">
        <v>144</v>
      </c>
      <c r="E194" s="49"/>
      <c r="F194" s="52">
        <v>59</v>
      </c>
      <c r="G194" s="53">
        <v>2</v>
      </c>
      <c r="H194" s="54">
        <v>3.3898305084745763E-2</v>
      </c>
      <c r="I194" s="55">
        <v>6.83E-2</v>
      </c>
      <c r="J194" s="53">
        <v>314.15899999999999</v>
      </c>
      <c r="K194" s="53">
        <v>0.61470000000000002</v>
      </c>
      <c r="L194" s="53">
        <v>9</v>
      </c>
      <c r="M194" s="56">
        <v>255.53847405238326</v>
      </c>
      <c r="N194" s="53">
        <v>1031</v>
      </c>
      <c r="O194" s="57" t="s">
        <v>81</v>
      </c>
      <c r="P194" s="57" t="s">
        <v>82</v>
      </c>
      <c r="Q194" s="53" t="s">
        <v>83</v>
      </c>
      <c r="R194" s="53" t="s">
        <v>84</v>
      </c>
      <c r="S194" s="53"/>
      <c r="T194" s="59">
        <v>2</v>
      </c>
      <c r="U194" s="59">
        <v>2</v>
      </c>
      <c r="V194" s="53">
        <v>5.6</v>
      </c>
      <c r="W194" s="53"/>
      <c r="X194" s="53"/>
      <c r="Y194" s="9">
        <f t="shared" si="4"/>
        <v>511.07694810476653</v>
      </c>
      <c r="Z194" s="60" t="s">
        <v>73</v>
      </c>
      <c r="AA194" s="58" t="s">
        <v>331</v>
      </c>
      <c r="AB194" s="58" t="s">
        <v>75</v>
      </c>
      <c r="AC194" s="61" t="s">
        <v>76</v>
      </c>
      <c r="AD194" s="53" t="s">
        <v>85</v>
      </c>
      <c r="AE194" s="56">
        <f t="shared" si="5"/>
        <v>47.105000459999992</v>
      </c>
      <c r="AF194" s="56">
        <v>47.105000459999992</v>
      </c>
      <c r="AG194" s="62"/>
      <c r="AH194" s="63"/>
      <c r="AI194" s="61"/>
      <c r="AJ194" s="58"/>
      <c r="AK194" s="58"/>
      <c r="AL194" s="58"/>
      <c r="AM194" s="58"/>
      <c r="AN194" s="58"/>
      <c r="AO194" s="58"/>
    </row>
    <row r="195" spans="1:41" x14ac:dyDescent="0.2">
      <c r="A195" s="49" t="s">
        <v>67</v>
      </c>
      <c r="B195" s="50">
        <v>43228</v>
      </c>
      <c r="C195" s="51">
        <v>0.56944444444444398</v>
      </c>
      <c r="D195" s="49" t="s">
        <v>144</v>
      </c>
      <c r="E195" s="49"/>
      <c r="F195" s="52">
        <v>59</v>
      </c>
      <c r="G195" s="53">
        <v>2</v>
      </c>
      <c r="H195" s="54">
        <v>3.3898305084745763E-2</v>
      </c>
      <c r="I195" s="55">
        <v>6.83E-2</v>
      </c>
      <c r="J195" s="53">
        <v>314.15899999999999</v>
      </c>
      <c r="K195" s="53">
        <v>0.61470000000000002</v>
      </c>
      <c r="L195" s="53">
        <v>9</v>
      </c>
      <c r="M195" s="56">
        <v>255.53847405238326</v>
      </c>
      <c r="N195" s="53">
        <v>1037</v>
      </c>
      <c r="O195" s="57" t="s">
        <v>86</v>
      </c>
      <c r="P195" s="57" t="s">
        <v>82</v>
      </c>
      <c r="Q195" s="53" t="s">
        <v>87</v>
      </c>
      <c r="R195" s="53" t="s">
        <v>84</v>
      </c>
      <c r="S195" s="53"/>
      <c r="T195" s="59">
        <v>9</v>
      </c>
      <c r="U195" s="59">
        <v>9</v>
      </c>
      <c r="V195" s="53">
        <v>3.7</v>
      </c>
      <c r="W195" s="53"/>
      <c r="X195" s="53"/>
      <c r="Y195" s="9">
        <f t="shared" ref="Y195:Y258" si="6">(T195*J195)/(G195*I195*L195)</f>
        <v>2299.8462664714493</v>
      </c>
      <c r="Z195" s="60" t="s">
        <v>73</v>
      </c>
      <c r="AA195" s="58" t="s">
        <v>331</v>
      </c>
      <c r="AB195" s="58" t="s">
        <v>75</v>
      </c>
      <c r="AC195" s="61" t="s">
        <v>76</v>
      </c>
      <c r="AD195" s="53" t="s">
        <v>85</v>
      </c>
      <c r="AE195" s="56">
        <f t="shared" ref="AE195:AE258" si="7">AVERAGE(AF195:AO195)</f>
        <v>11.494030613333329</v>
      </c>
      <c r="AF195" s="56">
        <v>11.494030613333329</v>
      </c>
      <c r="AG195" s="62"/>
      <c r="AH195" s="63"/>
      <c r="AI195" s="61"/>
      <c r="AJ195" s="58"/>
      <c r="AK195" s="58"/>
      <c r="AL195" s="58"/>
      <c r="AM195" s="58"/>
      <c r="AN195" s="58"/>
      <c r="AO195" s="58"/>
    </row>
    <row r="196" spans="1:41" x14ac:dyDescent="0.2">
      <c r="A196" s="49" t="s">
        <v>67</v>
      </c>
      <c r="B196" s="50">
        <v>43228</v>
      </c>
      <c r="C196" s="51">
        <v>0.56944444444444398</v>
      </c>
      <c r="D196" s="49" t="s">
        <v>144</v>
      </c>
      <c r="E196" s="49"/>
      <c r="F196" s="52">
        <v>59</v>
      </c>
      <c r="G196" s="53">
        <v>2</v>
      </c>
      <c r="H196" s="54">
        <v>3.3898305084745763E-2</v>
      </c>
      <c r="I196" s="55">
        <v>6.83E-2</v>
      </c>
      <c r="J196" s="53">
        <v>314.15899999999999</v>
      </c>
      <c r="K196" s="53">
        <v>0.61470000000000002</v>
      </c>
      <c r="L196" s="53">
        <v>9</v>
      </c>
      <c r="M196" s="56">
        <v>255.53847405238326</v>
      </c>
      <c r="N196" s="53">
        <v>1806</v>
      </c>
      <c r="O196" s="57" t="s">
        <v>206</v>
      </c>
      <c r="P196" s="57" t="s">
        <v>82</v>
      </c>
      <c r="Q196" s="53" t="s">
        <v>207</v>
      </c>
      <c r="R196" s="53" t="s">
        <v>84</v>
      </c>
      <c r="S196" s="53"/>
      <c r="T196" s="59">
        <v>1</v>
      </c>
      <c r="U196" s="59">
        <v>1</v>
      </c>
      <c r="V196" s="53">
        <v>3.7</v>
      </c>
      <c r="W196" s="53"/>
      <c r="X196" s="53"/>
      <c r="Y196" s="9">
        <f t="shared" si="6"/>
        <v>255.53847405238326</v>
      </c>
      <c r="Z196" s="60" t="s">
        <v>73</v>
      </c>
      <c r="AA196" s="58" t="s">
        <v>331</v>
      </c>
      <c r="AB196" s="58" t="s">
        <v>75</v>
      </c>
      <c r="AC196" s="61" t="s">
        <v>76</v>
      </c>
      <c r="AD196" s="53" t="s">
        <v>120</v>
      </c>
      <c r="AE196" s="56">
        <f t="shared" si="7"/>
        <v>26.521826378333333</v>
      </c>
      <c r="AF196" s="56">
        <v>26.521826378333333</v>
      </c>
      <c r="AG196" s="62"/>
      <c r="AH196" s="63"/>
      <c r="AI196" s="61"/>
      <c r="AJ196" s="58"/>
      <c r="AK196" s="58"/>
      <c r="AL196" s="58"/>
      <c r="AM196" s="58"/>
      <c r="AN196" s="58"/>
      <c r="AO196" s="58"/>
    </row>
    <row r="197" spans="1:41" x14ac:dyDescent="0.2">
      <c r="A197" s="49" t="s">
        <v>67</v>
      </c>
      <c r="B197" s="50">
        <v>43228</v>
      </c>
      <c r="C197" s="51">
        <v>0.56944444444444398</v>
      </c>
      <c r="D197" s="49" t="s">
        <v>144</v>
      </c>
      <c r="E197" s="49"/>
      <c r="F197" s="52">
        <v>59</v>
      </c>
      <c r="G197" s="53">
        <v>2</v>
      </c>
      <c r="H197" s="54">
        <v>3.3898305084745763E-2</v>
      </c>
      <c r="I197" s="55">
        <v>6.83E-2</v>
      </c>
      <c r="J197" s="53">
        <v>314.15899999999999</v>
      </c>
      <c r="K197" s="53">
        <v>0.61470000000000002</v>
      </c>
      <c r="L197" s="53">
        <v>9</v>
      </c>
      <c r="M197" s="56">
        <v>255.53847405238326</v>
      </c>
      <c r="N197" s="53">
        <v>1692</v>
      </c>
      <c r="O197" s="58" t="s">
        <v>179</v>
      </c>
      <c r="P197" s="57" t="s">
        <v>82</v>
      </c>
      <c r="Q197" s="53" t="s">
        <v>180</v>
      </c>
      <c r="R197" s="53" t="s">
        <v>84</v>
      </c>
      <c r="S197" s="53"/>
      <c r="T197" s="59">
        <v>1</v>
      </c>
      <c r="U197" s="59">
        <v>1</v>
      </c>
      <c r="V197" s="53">
        <v>7.4</v>
      </c>
      <c r="W197" s="53"/>
      <c r="X197" s="53"/>
      <c r="Y197" s="9">
        <f t="shared" si="6"/>
        <v>255.53847405238326</v>
      </c>
      <c r="Z197" s="60" t="s">
        <v>73</v>
      </c>
      <c r="AA197" s="58" t="s">
        <v>331</v>
      </c>
      <c r="AB197" s="58" t="s">
        <v>75</v>
      </c>
      <c r="AC197" s="61" t="s">
        <v>76</v>
      </c>
      <c r="AD197" s="53" t="s">
        <v>120</v>
      </c>
      <c r="AE197" s="56">
        <f t="shared" si="7"/>
        <v>81.987121426666647</v>
      </c>
      <c r="AF197" s="56">
        <v>81.987121426666647</v>
      </c>
      <c r="AG197" s="62"/>
      <c r="AH197" s="63"/>
      <c r="AI197" s="61"/>
      <c r="AJ197" s="58"/>
      <c r="AK197" s="58"/>
      <c r="AL197" s="58"/>
      <c r="AM197" s="58"/>
      <c r="AN197" s="58"/>
      <c r="AO197" s="58"/>
    </row>
    <row r="198" spans="1:41" x14ac:dyDescent="0.2">
      <c r="A198" s="49" t="s">
        <v>67</v>
      </c>
      <c r="B198" s="50">
        <v>43228</v>
      </c>
      <c r="C198" s="51">
        <v>0.56944444444444398</v>
      </c>
      <c r="D198" s="49" t="s">
        <v>144</v>
      </c>
      <c r="E198" s="49"/>
      <c r="F198" s="52">
        <v>59</v>
      </c>
      <c r="G198" s="53">
        <v>2</v>
      </c>
      <c r="H198" s="54">
        <v>3.3898305084745763E-2</v>
      </c>
      <c r="I198" s="55">
        <v>6.83E-2</v>
      </c>
      <c r="J198" s="53">
        <v>314.15899999999999</v>
      </c>
      <c r="K198" s="53">
        <v>0.61470000000000002</v>
      </c>
      <c r="L198" s="53">
        <v>9</v>
      </c>
      <c r="M198" s="56">
        <v>255.53847405238326</v>
      </c>
      <c r="N198" s="53">
        <v>1364</v>
      </c>
      <c r="O198" s="57" t="s">
        <v>88</v>
      </c>
      <c r="P198" s="57" t="s">
        <v>82</v>
      </c>
      <c r="Q198" s="53" t="s">
        <v>89</v>
      </c>
      <c r="R198" s="53" t="s">
        <v>90</v>
      </c>
      <c r="S198" s="53"/>
      <c r="T198" s="59">
        <v>1</v>
      </c>
      <c r="U198" s="59">
        <v>1</v>
      </c>
      <c r="V198" s="53">
        <v>9.3000000000000007</v>
      </c>
      <c r="W198" s="53"/>
      <c r="X198" s="53"/>
      <c r="Y198" s="9">
        <f t="shared" si="6"/>
        <v>255.53847405238326</v>
      </c>
      <c r="Z198" s="60" t="s">
        <v>73</v>
      </c>
      <c r="AA198" s="58" t="s">
        <v>331</v>
      </c>
      <c r="AB198" s="58" t="s">
        <v>75</v>
      </c>
      <c r="AC198" s="61" t="s">
        <v>76</v>
      </c>
      <c r="AD198" s="53" t="s">
        <v>91</v>
      </c>
      <c r="AE198" s="56">
        <f t="shared" si="7"/>
        <v>337.38084788249995</v>
      </c>
      <c r="AF198" s="56">
        <v>337.38084788249995</v>
      </c>
      <c r="AG198" s="62"/>
      <c r="AH198" s="63"/>
      <c r="AI198" s="61"/>
      <c r="AJ198" s="58"/>
      <c r="AK198" s="58"/>
      <c r="AL198" s="58"/>
      <c r="AM198" s="58"/>
      <c r="AN198" s="58"/>
      <c r="AO198" s="58"/>
    </row>
    <row r="199" spans="1:41" x14ac:dyDescent="0.2">
      <c r="A199" s="49" t="s">
        <v>67</v>
      </c>
      <c r="B199" s="50">
        <v>43228</v>
      </c>
      <c r="C199" s="51">
        <v>0.56944444444444398</v>
      </c>
      <c r="D199" s="49" t="s">
        <v>144</v>
      </c>
      <c r="E199" s="49"/>
      <c r="F199" s="52">
        <v>59</v>
      </c>
      <c r="G199" s="53">
        <v>2</v>
      </c>
      <c r="H199" s="54">
        <v>3.3898305084745763E-2</v>
      </c>
      <c r="I199" s="55">
        <v>6.83E-2</v>
      </c>
      <c r="J199" s="53">
        <v>314.15899999999999</v>
      </c>
      <c r="K199" s="53">
        <v>0.61470000000000002</v>
      </c>
      <c r="L199" s="53">
        <v>9</v>
      </c>
      <c r="M199" s="56">
        <v>255.53847405238326</v>
      </c>
      <c r="N199" s="53">
        <v>1733</v>
      </c>
      <c r="O199" s="57" t="s">
        <v>92</v>
      </c>
      <c r="P199" s="57" t="s">
        <v>82</v>
      </c>
      <c r="Q199" s="53" t="s">
        <v>89</v>
      </c>
      <c r="R199" s="53" t="s">
        <v>93</v>
      </c>
      <c r="S199" s="53"/>
      <c r="T199" s="59">
        <v>4</v>
      </c>
      <c r="U199" s="59">
        <v>4</v>
      </c>
      <c r="V199" s="53">
        <v>5.6</v>
      </c>
      <c r="W199" s="53"/>
      <c r="X199" s="53"/>
      <c r="Y199" s="9">
        <f t="shared" si="6"/>
        <v>1022.1538962095331</v>
      </c>
      <c r="Z199" s="60" t="s">
        <v>73</v>
      </c>
      <c r="AA199" s="58" t="s">
        <v>331</v>
      </c>
      <c r="AB199" s="58" t="s">
        <v>75</v>
      </c>
      <c r="AC199" s="61" t="s">
        <v>76</v>
      </c>
      <c r="AD199" s="53" t="s">
        <v>91</v>
      </c>
      <c r="AE199" s="56">
        <f t="shared" si="7"/>
        <v>76.353203359999995</v>
      </c>
      <c r="AF199" s="56">
        <v>76.353203359999995</v>
      </c>
      <c r="AG199" s="62"/>
      <c r="AH199" s="63"/>
      <c r="AI199" s="61"/>
      <c r="AJ199" s="58"/>
      <c r="AK199" s="58"/>
      <c r="AL199" s="58"/>
      <c r="AM199" s="58"/>
      <c r="AN199" s="58"/>
      <c r="AO199" s="58"/>
    </row>
    <row r="200" spans="1:41" x14ac:dyDescent="0.2">
      <c r="A200" s="49" t="s">
        <v>67</v>
      </c>
      <c r="B200" s="50">
        <v>43228</v>
      </c>
      <c r="C200" s="51">
        <v>0.56944444444444398</v>
      </c>
      <c r="D200" s="49" t="s">
        <v>144</v>
      </c>
      <c r="E200" s="49"/>
      <c r="F200" s="52">
        <v>59</v>
      </c>
      <c r="G200" s="53">
        <v>2</v>
      </c>
      <c r="H200" s="54">
        <v>3.3898305084745763E-2</v>
      </c>
      <c r="I200" s="55">
        <v>6.83E-2</v>
      </c>
      <c r="J200" s="53">
        <v>314.15899999999999</v>
      </c>
      <c r="K200" s="53">
        <v>0.61470000000000002</v>
      </c>
      <c r="L200" s="53">
        <v>9</v>
      </c>
      <c r="M200" s="56">
        <v>255.53847405238326</v>
      </c>
      <c r="N200" s="53">
        <v>1419</v>
      </c>
      <c r="O200" s="57" t="s">
        <v>94</v>
      </c>
      <c r="P200" s="57" t="s">
        <v>82</v>
      </c>
      <c r="Q200" s="53" t="s">
        <v>95</v>
      </c>
      <c r="R200" s="53" t="s">
        <v>96</v>
      </c>
      <c r="S200" s="53"/>
      <c r="T200" s="59">
        <v>380</v>
      </c>
      <c r="U200" s="59">
        <v>762</v>
      </c>
      <c r="V200" s="53">
        <v>0.8</v>
      </c>
      <c r="W200" s="53">
        <v>0.8</v>
      </c>
      <c r="X200" s="53">
        <v>0.8</v>
      </c>
      <c r="Y200" s="9">
        <f t="shared" si="6"/>
        <v>97104.620139905644</v>
      </c>
      <c r="Z200" s="60" t="s">
        <v>97</v>
      </c>
      <c r="AA200" s="58" t="s">
        <v>331</v>
      </c>
      <c r="AB200" s="58" t="s">
        <v>75</v>
      </c>
      <c r="AC200" s="61" t="s">
        <v>76</v>
      </c>
      <c r="AD200" s="53" t="s">
        <v>85</v>
      </c>
      <c r="AE200" s="56">
        <f t="shared" si="7"/>
        <v>0.17999999999999997</v>
      </c>
      <c r="AF200" s="56">
        <v>0.18</v>
      </c>
      <c r="AG200" s="56">
        <v>0.18</v>
      </c>
      <c r="AH200" s="56">
        <v>0.18</v>
      </c>
      <c r="AI200" s="56">
        <v>0.18</v>
      </c>
      <c r="AJ200" s="56">
        <v>0.18</v>
      </c>
      <c r="AK200" s="56">
        <v>0.18</v>
      </c>
      <c r="AL200" s="56">
        <v>0.18</v>
      </c>
      <c r="AM200" s="56">
        <v>0.18</v>
      </c>
      <c r="AN200" s="56">
        <v>0.18</v>
      </c>
      <c r="AO200" s="56">
        <v>0.18</v>
      </c>
    </row>
    <row r="201" spans="1:41" x14ac:dyDescent="0.2">
      <c r="A201" s="49" t="s">
        <v>67</v>
      </c>
      <c r="B201" s="50">
        <v>43228</v>
      </c>
      <c r="C201" s="51">
        <v>0.58958333333333302</v>
      </c>
      <c r="D201" s="49" t="s">
        <v>173</v>
      </c>
      <c r="E201" s="49"/>
      <c r="F201" s="52">
        <v>60</v>
      </c>
      <c r="G201" s="53">
        <v>3</v>
      </c>
      <c r="H201" s="54">
        <v>0.05</v>
      </c>
      <c r="I201" s="55">
        <v>6.83E-2</v>
      </c>
      <c r="J201" s="53">
        <v>314.15899999999999</v>
      </c>
      <c r="K201" s="53">
        <v>0.75129999999999997</v>
      </c>
      <c r="L201" s="53">
        <v>11</v>
      </c>
      <c r="M201" s="56">
        <v>139.38462221039089</v>
      </c>
      <c r="N201" s="53">
        <v>145</v>
      </c>
      <c r="O201" s="57" t="s">
        <v>69</v>
      </c>
      <c r="P201" s="58" t="s">
        <v>70</v>
      </c>
      <c r="Q201" s="53" t="s">
        <v>71</v>
      </c>
      <c r="R201" s="53" t="s">
        <v>72</v>
      </c>
      <c r="S201" s="53"/>
      <c r="T201" s="59">
        <v>2</v>
      </c>
      <c r="U201" s="59">
        <v>2</v>
      </c>
      <c r="V201" s="53">
        <v>24.1</v>
      </c>
      <c r="W201" s="53"/>
      <c r="X201" s="53"/>
      <c r="Y201" s="9">
        <f t="shared" si="6"/>
        <v>278.76924442078177</v>
      </c>
      <c r="Z201" s="60" t="s">
        <v>73</v>
      </c>
      <c r="AA201" s="58" t="s">
        <v>350</v>
      </c>
      <c r="AB201" s="58" t="s">
        <v>75</v>
      </c>
      <c r="AC201" s="61" t="s">
        <v>281</v>
      </c>
      <c r="AD201" s="53" t="s">
        <v>77</v>
      </c>
      <c r="AE201" s="56">
        <f t="shared" si="7"/>
        <v>555.33101032499997</v>
      </c>
      <c r="AF201" s="56">
        <v>555.33101032499997</v>
      </c>
      <c r="AG201" s="62"/>
      <c r="AH201" s="63"/>
      <c r="AI201" s="61"/>
      <c r="AJ201" s="58"/>
      <c r="AK201" s="58"/>
      <c r="AL201" s="58"/>
      <c r="AM201" s="58"/>
      <c r="AN201" s="58"/>
      <c r="AO201" s="58"/>
    </row>
    <row r="202" spans="1:41" x14ac:dyDescent="0.2">
      <c r="A202" s="49" t="s">
        <v>67</v>
      </c>
      <c r="B202" s="50">
        <v>43228</v>
      </c>
      <c r="C202" s="51">
        <v>0.58958333333333302</v>
      </c>
      <c r="D202" s="49" t="s">
        <v>173</v>
      </c>
      <c r="E202" s="49"/>
      <c r="F202" s="52">
        <v>60</v>
      </c>
      <c r="G202" s="53">
        <v>3</v>
      </c>
      <c r="H202" s="54">
        <v>0.05</v>
      </c>
      <c r="I202" s="55">
        <v>6.83E-2</v>
      </c>
      <c r="J202" s="53">
        <v>314.15899999999999</v>
      </c>
      <c r="K202" s="53">
        <v>0.75129999999999997</v>
      </c>
      <c r="L202" s="53">
        <v>11</v>
      </c>
      <c r="M202" s="56">
        <v>139.38462221039089</v>
      </c>
      <c r="N202" s="53">
        <v>1031</v>
      </c>
      <c r="O202" s="57" t="s">
        <v>81</v>
      </c>
      <c r="P202" s="57" t="s">
        <v>82</v>
      </c>
      <c r="Q202" s="53" t="s">
        <v>83</v>
      </c>
      <c r="R202" s="53" t="s">
        <v>84</v>
      </c>
      <c r="S202" s="53"/>
      <c r="T202" s="59">
        <v>1</v>
      </c>
      <c r="U202" s="59">
        <v>1</v>
      </c>
      <c r="V202" s="53">
        <v>6.5</v>
      </c>
      <c r="W202" s="53"/>
      <c r="X202" s="53"/>
      <c r="Y202" s="9">
        <f t="shared" si="6"/>
        <v>139.38462221039089</v>
      </c>
      <c r="Z202" s="60" t="s">
        <v>73</v>
      </c>
      <c r="AA202" s="58" t="s">
        <v>350</v>
      </c>
      <c r="AB202" s="58" t="s">
        <v>75</v>
      </c>
      <c r="AC202" s="61" t="s">
        <v>281</v>
      </c>
      <c r="AD202" s="53" t="s">
        <v>85</v>
      </c>
      <c r="AE202" s="56">
        <f t="shared" si="7"/>
        <v>87.671304933333303</v>
      </c>
      <c r="AF202" s="56">
        <v>87.671304933333303</v>
      </c>
      <c r="AG202" s="62"/>
      <c r="AH202" s="63"/>
      <c r="AI202" s="61"/>
      <c r="AJ202" s="58"/>
      <c r="AK202" s="58"/>
      <c r="AL202" s="58"/>
      <c r="AM202" s="58"/>
      <c r="AN202" s="58"/>
      <c r="AO202" s="58"/>
    </row>
    <row r="203" spans="1:41" x14ac:dyDescent="0.2">
      <c r="A203" s="49" t="s">
        <v>67</v>
      </c>
      <c r="B203" s="50">
        <v>43228</v>
      </c>
      <c r="C203" s="51">
        <v>0.58958333333333302</v>
      </c>
      <c r="D203" s="49" t="s">
        <v>173</v>
      </c>
      <c r="E203" s="49"/>
      <c r="F203" s="52">
        <v>60</v>
      </c>
      <c r="G203" s="53">
        <v>3</v>
      </c>
      <c r="H203" s="54">
        <v>0.05</v>
      </c>
      <c r="I203" s="55">
        <v>6.83E-2</v>
      </c>
      <c r="J203" s="53">
        <v>314.15899999999999</v>
      </c>
      <c r="K203" s="53">
        <v>0.75129999999999997</v>
      </c>
      <c r="L203" s="53">
        <v>11</v>
      </c>
      <c r="M203" s="56">
        <v>139.38462221039089</v>
      </c>
      <c r="N203" s="53">
        <v>1037</v>
      </c>
      <c r="O203" s="57" t="s">
        <v>243</v>
      </c>
      <c r="P203" s="57" t="s">
        <v>82</v>
      </c>
      <c r="Q203" s="53" t="s">
        <v>87</v>
      </c>
      <c r="R203" s="53" t="s">
        <v>84</v>
      </c>
      <c r="S203" s="53"/>
      <c r="T203" s="59">
        <v>15</v>
      </c>
      <c r="U203" s="59">
        <v>15</v>
      </c>
      <c r="V203" s="53">
        <v>2.8</v>
      </c>
      <c r="W203" s="53"/>
      <c r="X203" s="53"/>
      <c r="Y203" s="9">
        <f t="shared" si="6"/>
        <v>2090.7693331558635</v>
      </c>
      <c r="Z203" s="60" t="s">
        <v>73</v>
      </c>
      <c r="AA203" s="58" t="s">
        <v>350</v>
      </c>
      <c r="AB203" s="58" t="s">
        <v>75</v>
      </c>
      <c r="AC203" s="61" t="s">
        <v>281</v>
      </c>
      <c r="AD203" s="53" t="s">
        <v>85</v>
      </c>
      <c r="AE203" s="56">
        <f t="shared" si="7"/>
        <v>9.2027643066666673</v>
      </c>
      <c r="AF203" s="56">
        <v>9.2027643066666673</v>
      </c>
      <c r="AG203" s="62"/>
      <c r="AH203" s="63"/>
      <c r="AI203" s="61"/>
      <c r="AJ203" s="58"/>
      <c r="AK203" s="58"/>
      <c r="AL203" s="58"/>
      <c r="AM203" s="58"/>
      <c r="AN203" s="58"/>
      <c r="AO203" s="58"/>
    </row>
    <row r="204" spans="1:41" x14ac:dyDescent="0.2">
      <c r="A204" s="49" t="s">
        <v>67</v>
      </c>
      <c r="B204" s="50">
        <v>43228</v>
      </c>
      <c r="C204" s="51">
        <v>0.58958333333333302</v>
      </c>
      <c r="D204" s="49" t="s">
        <v>173</v>
      </c>
      <c r="E204" s="49"/>
      <c r="F204" s="52">
        <v>60</v>
      </c>
      <c r="G204" s="53">
        <v>3</v>
      </c>
      <c r="H204" s="54">
        <v>0.05</v>
      </c>
      <c r="I204" s="55">
        <v>6.83E-2</v>
      </c>
      <c r="J204" s="53">
        <v>314.15899999999999</v>
      </c>
      <c r="K204" s="53">
        <v>0.75129999999999997</v>
      </c>
      <c r="L204" s="53">
        <v>11</v>
      </c>
      <c r="M204" s="56">
        <v>139.38462221039089</v>
      </c>
      <c r="N204" s="53">
        <v>1419</v>
      </c>
      <c r="O204" s="57" t="s">
        <v>94</v>
      </c>
      <c r="P204" s="57" t="s">
        <v>82</v>
      </c>
      <c r="Q204" s="53" t="s">
        <v>95</v>
      </c>
      <c r="R204" s="53" t="s">
        <v>96</v>
      </c>
      <c r="S204" s="53"/>
      <c r="T204" s="59">
        <v>382</v>
      </c>
      <c r="U204" s="59">
        <v>765</v>
      </c>
      <c r="V204" s="53">
        <v>0.8</v>
      </c>
      <c r="W204" s="53">
        <v>0.8</v>
      </c>
      <c r="X204" s="53">
        <v>0.8</v>
      </c>
      <c r="Y204" s="9">
        <f t="shared" si="6"/>
        <v>53244.925684369322</v>
      </c>
      <c r="Z204" s="60" t="s">
        <v>97</v>
      </c>
      <c r="AA204" s="58" t="s">
        <v>350</v>
      </c>
      <c r="AB204" s="58" t="s">
        <v>75</v>
      </c>
      <c r="AC204" s="61" t="s">
        <v>281</v>
      </c>
      <c r="AD204" s="53" t="s">
        <v>85</v>
      </c>
      <c r="AE204" s="56">
        <f t="shared" si="7"/>
        <v>0.17999999999999997</v>
      </c>
      <c r="AF204" s="56">
        <v>0.18</v>
      </c>
      <c r="AG204" s="56">
        <v>0.18</v>
      </c>
      <c r="AH204" s="56">
        <v>0.18</v>
      </c>
      <c r="AI204" s="56">
        <v>0.18</v>
      </c>
      <c r="AJ204" s="56">
        <v>0.18</v>
      </c>
      <c r="AK204" s="56">
        <v>0.18</v>
      </c>
      <c r="AL204" s="56">
        <v>0.18</v>
      </c>
      <c r="AM204" s="56">
        <v>0.18</v>
      </c>
      <c r="AN204" s="56">
        <v>0.18</v>
      </c>
      <c r="AO204" s="56">
        <v>0.18</v>
      </c>
    </row>
    <row r="205" spans="1:41" x14ac:dyDescent="0.2">
      <c r="A205" s="49" t="s">
        <v>67</v>
      </c>
      <c r="B205" s="50">
        <v>43228</v>
      </c>
      <c r="C205" s="51">
        <v>0.59791666666666698</v>
      </c>
      <c r="D205" s="49" t="s">
        <v>209</v>
      </c>
      <c r="E205" s="49">
        <v>3</v>
      </c>
      <c r="F205" s="52">
        <v>63</v>
      </c>
      <c r="G205" s="53">
        <v>2</v>
      </c>
      <c r="H205" s="54">
        <v>3.1746031746031744E-2</v>
      </c>
      <c r="I205" s="55">
        <v>6.83E-2</v>
      </c>
      <c r="J205" s="53">
        <v>314.15899999999999</v>
      </c>
      <c r="K205" s="53">
        <v>0.4098</v>
      </c>
      <c r="L205" s="53">
        <v>6</v>
      </c>
      <c r="M205" s="56">
        <v>383.30771107857493</v>
      </c>
      <c r="N205" s="53">
        <v>190</v>
      </c>
      <c r="O205" s="57" t="s">
        <v>102</v>
      </c>
      <c r="P205" s="58" t="s">
        <v>70</v>
      </c>
      <c r="Q205" s="53" t="s">
        <v>103</v>
      </c>
      <c r="R205" s="53" t="s">
        <v>84</v>
      </c>
      <c r="S205" s="53"/>
      <c r="T205" s="59">
        <v>1</v>
      </c>
      <c r="U205" s="59">
        <v>1</v>
      </c>
      <c r="V205" s="53">
        <v>5.6</v>
      </c>
      <c r="W205" s="53"/>
      <c r="X205" s="53"/>
      <c r="Y205" s="9">
        <f t="shared" si="6"/>
        <v>383.30771107857493</v>
      </c>
      <c r="Z205" s="60" t="s">
        <v>73</v>
      </c>
      <c r="AA205" s="58" t="s">
        <v>335</v>
      </c>
      <c r="AB205" s="58" t="s">
        <v>75</v>
      </c>
      <c r="AC205" s="61" t="s">
        <v>324</v>
      </c>
      <c r="AD205" s="53" t="s">
        <v>104</v>
      </c>
      <c r="AE205" s="56">
        <f t="shared" si="7"/>
        <v>91.131242719999989</v>
      </c>
      <c r="AF205" s="56">
        <v>91.131242719999989</v>
      </c>
      <c r="AG205" s="62"/>
      <c r="AH205" s="63"/>
      <c r="AI205" s="61"/>
      <c r="AJ205" s="58"/>
      <c r="AK205" s="58"/>
      <c r="AL205" s="58"/>
      <c r="AM205" s="58"/>
      <c r="AN205" s="58"/>
      <c r="AO205" s="58"/>
    </row>
    <row r="206" spans="1:41" x14ac:dyDescent="0.2">
      <c r="A206" s="49" t="s">
        <v>67</v>
      </c>
      <c r="B206" s="50">
        <v>43228</v>
      </c>
      <c r="C206" s="51">
        <v>0.59791666666666698</v>
      </c>
      <c r="D206" s="49" t="s">
        <v>209</v>
      </c>
      <c r="E206" s="49">
        <v>3</v>
      </c>
      <c r="F206" s="52">
        <v>63</v>
      </c>
      <c r="G206" s="53">
        <v>2</v>
      </c>
      <c r="H206" s="54">
        <v>3.1746031746031744E-2</v>
      </c>
      <c r="I206" s="55">
        <v>6.83E-2</v>
      </c>
      <c r="J206" s="53">
        <v>314.15899999999999</v>
      </c>
      <c r="K206" s="53">
        <v>0.4098</v>
      </c>
      <c r="L206" s="53">
        <v>6</v>
      </c>
      <c r="M206" s="56">
        <v>383.30771107857493</v>
      </c>
      <c r="N206" s="53">
        <v>1037</v>
      </c>
      <c r="O206" s="57" t="s">
        <v>86</v>
      </c>
      <c r="P206" s="57" t="s">
        <v>82</v>
      </c>
      <c r="Q206" s="53" t="s">
        <v>87</v>
      </c>
      <c r="R206" s="53" t="s">
        <v>84</v>
      </c>
      <c r="S206" s="53"/>
      <c r="T206" s="59">
        <v>18</v>
      </c>
      <c r="U206" s="59">
        <v>18</v>
      </c>
      <c r="V206" s="53">
        <v>2.8</v>
      </c>
      <c r="W206" s="53"/>
      <c r="X206" s="53"/>
      <c r="Y206" s="9">
        <f t="shared" si="6"/>
        <v>6899.5387994143484</v>
      </c>
      <c r="Z206" s="60" t="s">
        <v>73</v>
      </c>
      <c r="AA206" s="58" t="s">
        <v>335</v>
      </c>
      <c r="AB206" s="58" t="s">
        <v>75</v>
      </c>
      <c r="AC206" s="61" t="s">
        <v>324</v>
      </c>
      <c r="AD206" s="53" t="s">
        <v>85</v>
      </c>
      <c r="AE206" s="56">
        <f t="shared" si="7"/>
        <v>11.494030613333329</v>
      </c>
      <c r="AF206" s="56">
        <v>11.494030613333329</v>
      </c>
      <c r="AG206" s="62"/>
      <c r="AH206" s="63"/>
      <c r="AI206" s="61"/>
      <c r="AJ206" s="58"/>
      <c r="AK206" s="58"/>
      <c r="AL206" s="58"/>
      <c r="AM206" s="58"/>
      <c r="AN206" s="58"/>
      <c r="AO206" s="58"/>
    </row>
    <row r="207" spans="1:41" x14ac:dyDescent="0.2">
      <c r="A207" s="49" t="s">
        <v>67</v>
      </c>
      <c r="B207" s="50">
        <v>43228</v>
      </c>
      <c r="C207" s="51">
        <v>0.59791666666666698</v>
      </c>
      <c r="D207" s="49" t="s">
        <v>209</v>
      </c>
      <c r="E207" s="49">
        <v>3</v>
      </c>
      <c r="F207" s="52">
        <v>63</v>
      </c>
      <c r="G207" s="53">
        <v>2</v>
      </c>
      <c r="H207" s="54">
        <v>3.1746031746031744E-2</v>
      </c>
      <c r="I207" s="55">
        <v>6.83E-2</v>
      </c>
      <c r="J207" s="53">
        <v>314.15899999999999</v>
      </c>
      <c r="K207" s="53">
        <v>0.4098</v>
      </c>
      <c r="L207" s="53">
        <v>6</v>
      </c>
      <c r="M207" s="56">
        <v>383.30771107857493</v>
      </c>
      <c r="N207" s="53">
        <v>1419</v>
      </c>
      <c r="O207" s="57" t="s">
        <v>94</v>
      </c>
      <c r="P207" s="57" t="s">
        <v>82</v>
      </c>
      <c r="Q207" s="53" t="s">
        <v>95</v>
      </c>
      <c r="R207" s="53" t="s">
        <v>96</v>
      </c>
      <c r="S207" s="53"/>
      <c r="T207" s="59">
        <v>399</v>
      </c>
      <c r="U207" s="59">
        <v>800</v>
      </c>
      <c r="V207" s="53">
        <v>0.8</v>
      </c>
      <c r="W207" s="53">
        <v>0.8</v>
      </c>
      <c r="X207" s="53">
        <v>0.8</v>
      </c>
      <c r="Y207" s="9">
        <f t="shared" si="6"/>
        <v>152939.77672035139</v>
      </c>
      <c r="Z207" s="60" t="s">
        <v>97</v>
      </c>
      <c r="AA207" s="58" t="s">
        <v>335</v>
      </c>
      <c r="AB207" s="58" t="s">
        <v>75</v>
      </c>
      <c r="AC207" s="61" t="s">
        <v>324</v>
      </c>
      <c r="AD207" s="53" t="s">
        <v>85</v>
      </c>
      <c r="AE207" s="56">
        <f t="shared" si="7"/>
        <v>0.17999999999999997</v>
      </c>
      <c r="AF207" s="56">
        <v>0.18</v>
      </c>
      <c r="AG207" s="56">
        <v>0.18</v>
      </c>
      <c r="AH207" s="56">
        <v>0.18</v>
      </c>
      <c r="AI207" s="56">
        <v>0.18</v>
      </c>
      <c r="AJ207" s="56">
        <v>0.18</v>
      </c>
      <c r="AK207" s="56">
        <v>0.18</v>
      </c>
      <c r="AL207" s="56">
        <v>0.18</v>
      </c>
      <c r="AM207" s="56">
        <v>0.18</v>
      </c>
      <c r="AN207" s="56">
        <v>0.18</v>
      </c>
      <c r="AO207" s="56">
        <v>0.18</v>
      </c>
    </row>
    <row r="208" spans="1:41" x14ac:dyDescent="0.2">
      <c r="A208" s="49" t="s">
        <v>67</v>
      </c>
      <c r="B208" s="50">
        <v>43228</v>
      </c>
      <c r="C208" s="51">
        <v>0.60069444444444398</v>
      </c>
      <c r="D208" s="49" t="s">
        <v>158</v>
      </c>
      <c r="E208" s="49"/>
      <c r="F208" s="52">
        <v>61.5</v>
      </c>
      <c r="G208" s="53">
        <v>2</v>
      </c>
      <c r="H208" s="54">
        <v>3.2520325203252036E-2</v>
      </c>
      <c r="I208" s="55">
        <v>6.83E-2</v>
      </c>
      <c r="J208" s="53">
        <v>314.15899999999999</v>
      </c>
      <c r="K208" s="53">
        <v>0.68300000000000005</v>
      </c>
      <c r="L208" s="53">
        <v>10</v>
      </c>
      <c r="M208" s="56">
        <v>229.98462664714492</v>
      </c>
      <c r="N208" s="53">
        <v>464</v>
      </c>
      <c r="O208" s="57" t="s">
        <v>343</v>
      </c>
      <c r="P208" s="58" t="s">
        <v>70</v>
      </c>
      <c r="Q208" s="53" t="s">
        <v>344</v>
      </c>
      <c r="R208" s="53" t="s">
        <v>84</v>
      </c>
      <c r="S208" s="53"/>
      <c r="T208" s="59">
        <v>1</v>
      </c>
      <c r="U208" s="59">
        <v>1</v>
      </c>
      <c r="V208" s="53">
        <v>11.1</v>
      </c>
      <c r="W208" s="53"/>
      <c r="X208" s="53"/>
      <c r="Y208" s="9">
        <f t="shared" si="6"/>
        <v>229.98462664714492</v>
      </c>
      <c r="Z208" s="60" t="s">
        <v>73</v>
      </c>
      <c r="AA208" s="58" t="s">
        <v>345</v>
      </c>
      <c r="AB208" s="58" t="s">
        <v>75</v>
      </c>
      <c r="AC208" s="61" t="s">
        <v>221</v>
      </c>
      <c r="AD208" s="53" t="s">
        <v>346</v>
      </c>
      <c r="AE208" s="56">
        <f t="shared" si="7"/>
        <v>117.17553316166666</v>
      </c>
      <c r="AF208" s="56">
        <v>117.17553316166666</v>
      </c>
      <c r="AG208" s="62"/>
      <c r="AH208" s="63"/>
      <c r="AI208" s="61"/>
      <c r="AJ208" s="58"/>
      <c r="AK208" s="58"/>
      <c r="AL208" s="58"/>
      <c r="AM208" s="58"/>
      <c r="AN208" s="58"/>
      <c r="AO208" s="58"/>
    </row>
    <row r="209" spans="1:41" x14ac:dyDescent="0.2">
      <c r="A209" s="49" t="s">
        <v>67</v>
      </c>
      <c r="B209" s="50">
        <v>43228</v>
      </c>
      <c r="C209" s="51">
        <v>0.60069444444444398</v>
      </c>
      <c r="D209" s="49" t="s">
        <v>158</v>
      </c>
      <c r="E209" s="49"/>
      <c r="F209" s="52">
        <v>61.5</v>
      </c>
      <c r="G209" s="53">
        <v>2</v>
      </c>
      <c r="H209" s="54">
        <v>3.2520325203252036E-2</v>
      </c>
      <c r="I209" s="55">
        <v>6.83E-2</v>
      </c>
      <c r="J209" s="53">
        <v>314.15899999999999</v>
      </c>
      <c r="K209" s="53">
        <v>0.68300000000000005</v>
      </c>
      <c r="L209" s="53">
        <v>10</v>
      </c>
      <c r="M209" s="56">
        <v>229.98462664714492</v>
      </c>
      <c r="N209" s="53">
        <v>1031</v>
      </c>
      <c r="O209" s="57" t="s">
        <v>81</v>
      </c>
      <c r="P209" s="57" t="s">
        <v>82</v>
      </c>
      <c r="Q209" s="53" t="s">
        <v>83</v>
      </c>
      <c r="R209" s="53" t="s">
        <v>84</v>
      </c>
      <c r="S209" s="53"/>
      <c r="T209" s="59">
        <v>1</v>
      </c>
      <c r="U209" s="59">
        <v>1</v>
      </c>
      <c r="V209" s="53">
        <v>5.6</v>
      </c>
      <c r="W209" s="53"/>
      <c r="X209" s="53"/>
      <c r="Y209" s="9">
        <f t="shared" si="6"/>
        <v>229.98462664714492</v>
      </c>
      <c r="Z209" s="60" t="s">
        <v>73</v>
      </c>
      <c r="AA209" s="58" t="s">
        <v>345</v>
      </c>
      <c r="AB209" s="58" t="s">
        <v>75</v>
      </c>
      <c r="AC209" s="61" t="s">
        <v>221</v>
      </c>
      <c r="AD209" s="53" t="s">
        <v>85</v>
      </c>
      <c r="AE209" s="56">
        <f t="shared" si="7"/>
        <v>62.044308106666655</v>
      </c>
      <c r="AF209" s="56">
        <v>62.044308106666655</v>
      </c>
      <c r="AG209" s="62"/>
      <c r="AH209" s="63"/>
      <c r="AI209" s="61"/>
      <c r="AJ209" s="58"/>
      <c r="AK209" s="58"/>
      <c r="AL209" s="58"/>
      <c r="AM209" s="58"/>
      <c r="AN209" s="58"/>
      <c r="AO209" s="58"/>
    </row>
    <row r="210" spans="1:41" x14ac:dyDescent="0.2">
      <c r="A210" s="49" t="s">
        <v>67</v>
      </c>
      <c r="B210" s="50">
        <v>43228</v>
      </c>
      <c r="C210" s="51">
        <v>0.60069444444444398</v>
      </c>
      <c r="D210" s="49" t="s">
        <v>158</v>
      </c>
      <c r="E210" s="49"/>
      <c r="F210" s="52">
        <v>61.5</v>
      </c>
      <c r="G210" s="53">
        <v>2</v>
      </c>
      <c r="H210" s="54">
        <v>3.2520325203252036E-2</v>
      </c>
      <c r="I210" s="55">
        <v>6.83E-2</v>
      </c>
      <c r="J210" s="53">
        <v>314.15899999999999</v>
      </c>
      <c r="K210" s="53">
        <v>0.68300000000000005</v>
      </c>
      <c r="L210" s="53">
        <v>10</v>
      </c>
      <c r="M210" s="56">
        <v>229.98462664714492</v>
      </c>
      <c r="N210" s="53">
        <v>1037</v>
      </c>
      <c r="O210" s="57" t="s">
        <v>86</v>
      </c>
      <c r="P210" s="57" t="s">
        <v>82</v>
      </c>
      <c r="Q210" s="53" t="s">
        <v>87</v>
      </c>
      <c r="R210" s="53" t="s">
        <v>84</v>
      </c>
      <c r="S210" s="53"/>
      <c r="T210" s="59">
        <v>8</v>
      </c>
      <c r="U210" s="59">
        <v>8</v>
      </c>
      <c r="V210" s="53">
        <v>2.8</v>
      </c>
      <c r="W210" s="53"/>
      <c r="X210" s="53"/>
      <c r="Y210" s="9">
        <f t="shared" si="6"/>
        <v>1839.8770131771594</v>
      </c>
      <c r="Z210" s="60" t="s">
        <v>73</v>
      </c>
      <c r="AA210" s="58" t="s">
        <v>345</v>
      </c>
      <c r="AB210" s="58" t="s">
        <v>75</v>
      </c>
      <c r="AC210" s="61" t="s">
        <v>221</v>
      </c>
      <c r="AD210" s="53" t="s">
        <v>85</v>
      </c>
      <c r="AE210" s="56">
        <f t="shared" si="7"/>
        <v>6.3706209216666645</v>
      </c>
      <c r="AF210" s="56">
        <v>6.3706209216666645</v>
      </c>
      <c r="AG210" s="62"/>
      <c r="AH210" s="63"/>
      <c r="AI210" s="61"/>
      <c r="AJ210" s="58"/>
      <c r="AK210" s="58"/>
      <c r="AL210" s="58"/>
      <c r="AM210" s="58"/>
      <c r="AN210" s="58"/>
      <c r="AO210" s="58"/>
    </row>
    <row r="211" spans="1:41" x14ac:dyDescent="0.2">
      <c r="A211" s="49" t="s">
        <v>67</v>
      </c>
      <c r="B211" s="50">
        <v>43228</v>
      </c>
      <c r="C211" s="51">
        <v>0.60069444444444398</v>
      </c>
      <c r="D211" s="49" t="s">
        <v>158</v>
      </c>
      <c r="E211" s="49"/>
      <c r="F211" s="52">
        <v>61.5</v>
      </c>
      <c r="G211" s="53">
        <v>2</v>
      </c>
      <c r="H211" s="54">
        <v>3.2520325203252036E-2</v>
      </c>
      <c r="I211" s="55">
        <v>6.83E-2</v>
      </c>
      <c r="J211" s="53">
        <v>314.15899999999999</v>
      </c>
      <c r="K211" s="53">
        <v>0.68300000000000005</v>
      </c>
      <c r="L211" s="53">
        <v>10</v>
      </c>
      <c r="M211" s="56">
        <v>229.98462664714492</v>
      </c>
      <c r="N211" s="53">
        <v>1364</v>
      </c>
      <c r="O211" s="57" t="s">
        <v>88</v>
      </c>
      <c r="P211" s="57" t="s">
        <v>82</v>
      </c>
      <c r="Q211" s="53" t="s">
        <v>89</v>
      </c>
      <c r="R211" s="53" t="s">
        <v>90</v>
      </c>
      <c r="S211" s="53"/>
      <c r="T211" s="59">
        <v>1</v>
      </c>
      <c r="U211" s="59">
        <v>1</v>
      </c>
      <c r="V211" s="53">
        <v>9.3000000000000007</v>
      </c>
      <c r="W211" s="53"/>
      <c r="X211" s="53"/>
      <c r="Y211" s="9">
        <f t="shared" si="6"/>
        <v>229.98462664714492</v>
      </c>
      <c r="Z211" s="60" t="s">
        <v>73</v>
      </c>
      <c r="AA211" s="58" t="s">
        <v>345</v>
      </c>
      <c r="AB211" s="58" t="s">
        <v>75</v>
      </c>
      <c r="AC211" s="61" t="s">
        <v>221</v>
      </c>
      <c r="AD211" s="53" t="s">
        <v>91</v>
      </c>
      <c r="AE211" s="56">
        <f t="shared" si="7"/>
        <v>337.38084788249995</v>
      </c>
      <c r="AF211" s="56">
        <v>337.38084788249995</v>
      </c>
      <c r="AG211" s="62"/>
      <c r="AH211" s="63"/>
      <c r="AI211" s="61"/>
      <c r="AJ211" s="58"/>
      <c r="AK211" s="58"/>
      <c r="AL211" s="58"/>
      <c r="AM211" s="58"/>
      <c r="AN211" s="58"/>
      <c r="AO211" s="58"/>
    </row>
    <row r="212" spans="1:41" x14ac:dyDescent="0.2">
      <c r="A212" s="49" t="s">
        <v>67</v>
      </c>
      <c r="B212" s="50">
        <v>43228</v>
      </c>
      <c r="C212" s="51">
        <v>0.60069444444444398</v>
      </c>
      <c r="D212" s="49" t="s">
        <v>158</v>
      </c>
      <c r="E212" s="49"/>
      <c r="F212" s="52">
        <v>61.5</v>
      </c>
      <c r="G212" s="53">
        <v>2</v>
      </c>
      <c r="H212" s="54">
        <v>3.2520325203252036E-2</v>
      </c>
      <c r="I212" s="55">
        <v>6.83E-2</v>
      </c>
      <c r="J212" s="53">
        <v>314.15899999999999</v>
      </c>
      <c r="K212" s="53">
        <v>0.68300000000000005</v>
      </c>
      <c r="L212" s="53">
        <v>10</v>
      </c>
      <c r="M212" s="56">
        <v>229.98462664714492</v>
      </c>
      <c r="N212" s="53">
        <v>1733</v>
      </c>
      <c r="O212" s="57" t="s">
        <v>92</v>
      </c>
      <c r="P212" s="57" t="s">
        <v>82</v>
      </c>
      <c r="Q212" s="53" t="s">
        <v>89</v>
      </c>
      <c r="R212" s="53" t="s">
        <v>93</v>
      </c>
      <c r="S212" s="53"/>
      <c r="T212" s="59">
        <v>1</v>
      </c>
      <c r="U212" s="59">
        <v>1</v>
      </c>
      <c r="V212" s="53">
        <v>5.6</v>
      </c>
      <c r="W212" s="53"/>
      <c r="X212" s="53"/>
      <c r="Y212" s="9">
        <f t="shared" si="6"/>
        <v>229.98462664714492</v>
      </c>
      <c r="Z212" s="60" t="s">
        <v>73</v>
      </c>
      <c r="AA212" s="58" t="s">
        <v>345</v>
      </c>
      <c r="AB212" s="58" t="s">
        <v>75</v>
      </c>
      <c r="AC212" s="61" t="s">
        <v>221</v>
      </c>
      <c r="AD212" s="53" t="s">
        <v>91</v>
      </c>
      <c r="AE212" s="56">
        <f t="shared" si="7"/>
        <v>83.742223039999971</v>
      </c>
      <c r="AF212" s="56">
        <v>83.742223039999971</v>
      </c>
      <c r="AG212" s="62"/>
      <c r="AH212" s="63"/>
      <c r="AI212" s="61"/>
      <c r="AJ212" s="58"/>
      <c r="AK212" s="58"/>
      <c r="AL212" s="58"/>
      <c r="AM212" s="58"/>
      <c r="AN212" s="58"/>
      <c r="AO212" s="58"/>
    </row>
    <row r="213" spans="1:41" x14ac:dyDescent="0.2">
      <c r="A213" s="49" t="s">
        <v>67</v>
      </c>
      <c r="B213" s="50">
        <v>43228</v>
      </c>
      <c r="C213" s="51">
        <v>0.60069444444444398</v>
      </c>
      <c r="D213" s="49" t="s">
        <v>158</v>
      </c>
      <c r="E213" s="49"/>
      <c r="F213" s="52">
        <v>61.5</v>
      </c>
      <c r="G213" s="53">
        <v>2</v>
      </c>
      <c r="H213" s="54">
        <v>3.2520325203252036E-2</v>
      </c>
      <c r="I213" s="55">
        <v>6.83E-2</v>
      </c>
      <c r="J213" s="53">
        <v>314.15899999999999</v>
      </c>
      <c r="K213" s="53">
        <v>0.68300000000000005</v>
      </c>
      <c r="L213" s="53">
        <v>10</v>
      </c>
      <c r="M213" s="56">
        <v>229.98462664714492</v>
      </c>
      <c r="N213" s="53">
        <v>1419</v>
      </c>
      <c r="O213" s="57" t="s">
        <v>94</v>
      </c>
      <c r="P213" s="57" t="s">
        <v>82</v>
      </c>
      <c r="Q213" s="53" t="s">
        <v>95</v>
      </c>
      <c r="R213" s="53" t="s">
        <v>96</v>
      </c>
      <c r="S213" s="53"/>
      <c r="T213" s="59">
        <v>416</v>
      </c>
      <c r="U213" s="59">
        <v>842</v>
      </c>
      <c r="V213" s="53">
        <v>0.8</v>
      </c>
      <c r="W213" s="53">
        <v>0.8</v>
      </c>
      <c r="X213" s="53">
        <v>0.8</v>
      </c>
      <c r="Y213" s="9">
        <f t="shared" si="6"/>
        <v>95673.604685212296</v>
      </c>
      <c r="Z213" s="60" t="s">
        <v>97</v>
      </c>
      <c r="AA213" s="58" t="s">
        <v>345</v>
      </c>
      <c r="AB213" s="58" t="s">
        <v>75</v>
      </c>
      <c r="AC213" s="61" t="s">
        <v>221</v>
      </c>
      <c r="AD213" s="53" t="s">
        <v>85</v>
      </c>
      <c r="AE213" s="56">
        <f t="shared" si="7"/>
        <v>0.17999999999999997</v>
      </c>
      <c r="AF213" s="56">
        <v>0.18</v>
      </c>
      <c r="AG213" s="56">
        <v>0.18</v>
      </c>
      <c r="AH213" s="56">
        <v>0.18</v>
      </c>
      <c r="AI213" s="56">
        <v>0.18</v>
      </c>
      <c r="AJ213" s="56">
        <v>0.18</v>
      </c>
      <c r="AK213" s="56">
        <v>0.18</v>
      </c>
      <c r="AL213" s="56">
        <v>0.18</v>
      </c>
      <c r="AM213" s="56">
        <v>0.18</v>
      </c>
      <c r="AN213" s="56">
        <v>0.18</v>
      </c>
      <c r="AO213" s="56">
        <v>0.18</v>
      </c>
    </row>
    <row r="214" spans="1:41" x14ac:dyDescent="0.2">
      <c r="A214" s="49" t="s">
        <v>67</v>
      </c>
      <c r="B214" s="50">
        <v>43228</v>
      </c>
      <c r="C214" s="51">
        <v>0.62013888888888902</v>
      </c>
      <c r="D214" s="49" t="s">
        <v>170</v>
      </c>
      <c r="E214" s="49">
        <v>3</v>
      </c>
      <c r="F214" s="52">
        <v>62.5</v>
      </c>
      <c r="G214" s="53">
        <v>2</v>
      </c>
      <c r="H214" s="54">
        <v>3.2000000000000001E-2</v>
      </c>
      <c r="I214" s="55">
        <v>6.83E-2</v>
      </c>
      <c r="J214" s="53">
        <v>314.15899999999999</v>
      </c>
      <c r="K214" s="53">
        <v>0.8196</v>
      </c>
      <c r="L214" s="53">
        <v>12</v>
      </c>
      <c r="M214" s="56">
        <v>191.65385553928746</v>
      </c>
      <c r="N214" s="53">
        <v>1037</v>
      </c>
      <c r="O214" s="57" t="s">
        <v>86</v>
      </c>
      <c r="P214" s="57" t="s">
        <v>82</v>
      </c>
      <c r="Q214" s="53" t="s">
        <v>87</v>
      </c>
      <c r="R214" s="53" t="s">
        <v>84</v>
      </c>
      <c r="S214" s="53"/>
      <c r="T214" s="59">
        <v>7</v>
      </c>
      <c r="U214" s="59">
        <v>7</v>
      </c>
      <c r="V214" s="53">
        <v>2.8</v>
      </c>
      <c r="W214" s="53"/>
      <c r="X214" s="53"/>
      <c r="Y214" s="9">
        <f t="shared" si="6"/>
        <v>1341.5769887750121</v>
      </c>
      <c r="Z214" s="60" t="s">
        <v>73</v>
      </c>
      <c r="AA214" s="58" t="s">
        <v>349</v>
      </c>
      <c r="AB214" s="58" t="s">
        <v>75</v>
      </c>
      <c r="AC214" s="61" t="s">
        <v>281</v>
      </c>
      <c r="AD214" s="53" t="s">
        <v>85</v>
      </c>
      <c r="AE214" s="56">
        <f t="shared" si="7"/>
        <v>9.2027643066666673</v>
      </c>
      <c r="AF214" s="56">
        <v>9.2027643066666673</v>
      </c>
      <c r="AG214" s="62"/>
      <c r="AH214" s="63"/>
      <c r="AI214" s="61"/>
      <c r="AJ214" s="58"/>
      <c r="AK214" s="58"/>
      <c r="AL214" s="58"/>
      <c r="AM214" s="58"/>
      <c r="AN214" s="58"/>
      <c r="AO214" s="58"/>
    </row>
    <row r="215" spans="1:41" x14ac:dyDescent="0.2">
      <c r="A215" s="49" t="s">
        <v>67</v>
      </c>
      <c r="B215" s="50">
        <v>43228</v>
      </c>
      <c r="C215" s="51">
        <v>0.62013888888888902</v>
      </c>
      <c r="D215" s="49" t="s">
        <v>170</v>
      </c>
      <c r="E215" s="49">
        <v>3</v>
      </c>
      <c r="F215" s="52">
        <v>62.5</v>
      </c>
      <c r="G215" s="53">
        <v>2</v>
      </c>
      <c r="H215" s="54">
        <v>3.2000000000000001E-2</v>
      </c>
      <c r="I215" s="55">
        <v>6.83E-2</v>
      </c>
      <c r="J215" s="53">
        <v>314.15899999999999</v>
      </c>
      <c r="K215" s="53">
        <v>0.8196</v>
      </c>
      <c r="L215" s="53">
        <v>12</v>
      </c>
      <c r="M215" s="56">
        <v>191.65385553928746</v>
      </c>
      <c r="N215" s="53">
        <v>1419</v>
      </c>
      <c r="O215" s="57" t="s">
        <v>94</v>
      </c>
      <c r="P215" s="57" t="s">
        <v>82</v>
      </c>
      <c r="Q215" s="53" t="s">
        <v>95</v>
      </c>
      <c r="R215" s="53" t="s">
        <v>96</v>
      </c>
      <c r="S215" s="53"/>
      <c r="T215" s="59">
        <v>399</v>
      </c>
      <c r="U215" s="59">
        <v>800</v>
      </c>
      <c r="V215" s="53">
        <v>0.8</v>
      </c>
      <c r="W215" s="53">
        <v>0.8</v>
      </c>
      <c r="X215" s="53">
        <v>0.8</v>
      </c>
      <c r="Y215" s="9">
        <f t="shared" si="6"/>
        <v>76469.888360175697</v>
      </c>
      <c r="Z215" s="60" t="s">
        <v>97</v>
      </c>
      <c r="AA215" s="58" t="s">
        <v>349</v>
      </c>
      <c r="AB215" s="58" t="s">
        <v>75</v>
      </c>
      <c r="AC215" s="61" t="s">
        <v>281</v>
      </c>
      <c r="AD215" s="53" t="s">
        <v>85</v>
      </c>
      <c r="AE215" s="56">
        <f t="shared" si="7"/>
        <v>0.17999999999999997</v>
      </c>
      <c r="AF215" s="56">
        <v>0.18</v>
      </c>
      <c r="AG215" s="56">
        <v>0.18</v>
      </c>
      <c r="AH215" s="56">
        <v>0.18</v>
      </c>
      <c r="AI215" s="56">
        <v>0.18</v>
      </c>
      <c r="AJ215" s="56">
        <v>0.18</v>
      </c>
      <c r="AK215" s="56">
        <v>0.18</v>
      </c>
      <c r="AL215" s="56">
        <v>0.18</v>
      </c>
      <c r="AM215" s="56">
        <v>0.18</v>
      </c>
      <c r="AN215" s="56">
        <v>0.18</v>
      </c>
      <c r="AO215" s="56">
        <v>0.18</v>
      </c>
    </row>
    <row r="216" spans="1:41" x14ac:dyDescent="0.2">
      <c r="A216" s="49" t="s">
        <v>67</v>
      </c>
      <c r="B216" s="50">
        <v>43256</v>
      </c>
      <c r="C216" s="51">
        <v>0.37152777777777801</v>
      </c>
      <c r="D216" s="49" t="s">
        <v>226</v>
      </c>
      <c r="E216" s="49">
        <v>3</v>
      </c>
      <c r="F216" s="52">
        <v>58.5</v>
      </c>
      <c r="G216" s="53">
        <v>2</v>
      </c>
      <c r="H216" s="54">
        <v>3.4188034188034191E-2</v>
      </c>
      <c r="I216" s="55">
        <v>6.83E-2</v>
      </c>
      <c r="J216" s="53">
        <v>314.15899999999999</v>
      </c>
      <c r="K216" s="53">
        <v>0.47809999999999997</v>
      </c>
      <c r="L216" s="53">
        <v>7</v>
      </c>
      <c r="M216" s="56">
        <v>328.54946663877848</v>
      </c>
      <c r="N216" s="53">
        <v>145</v>
      </c>
      <c r="O216" s="57" t="s">
        <v>69</v>
      </c>
      <c r="P216" s="58" t="s">
        <v>70</v>
      </c>
      <c r="Q216" s="53" t="s">
        <v>71</v>
      </c>
      <c r="R216" s="53" t="s">
        <v>72</v>
      </c>
      <c r="S216" s="53"/>
      <c r="T216" s="59">
        <v>3</v>
      </c>
      <c r="U216" s="59">
        <v>3</v>
      </c>
      <c r="V216" s="53">
        <v>18.5</v>
      </c>
      <c r="W216" s="53"/>
      <c r="X216" s="53"/>
      <c r="Y216" s="9">
        <f t="shared" si="6"/>
        <v>985.64839991633551</v>
      </c>
      <c r="Z216" s="60" t="s">
        <v>73</v>
      </c>
      <c r="AA216" s="58" t="s">
        <v>315</v>
      </c>
      <c r="AB216" s="58" t="s">
        <v>75</v>
      </c>
      <c r="AC216" s="61" t="s">
        <v>286</v>
      </c>
      <c r="AD216" s="53" t="s">
        <v>77</v>
      </c>
      <c r="AE216" s="56">
        <f t="shared" si="7"/>
        <v>577.38732831749996</v>
      </c>
      <c r="AF216" s="56">
        <v>577.38732831749996</v>
      </c>
      <c r="AG216" s="62"/>
      <c r="AH216" s="63"/>
      <c r="AI216" s="61"/>
      <c r="AJ216" s="58"/>
      <c r="AK216" s="58"/>
      <c r="AL216" s="58"/>
      <c r="AM216" s="58"/>
      <c r="AN216" s="58"/>
      <c r="AO216" s="58"/>
    </row>
    <row r="217" spans="1:41" x14ac:dyDescent="0.2">
      <c r="A217" s="49" t="s">
        <v>67</v>
      </c>
      <c r="B217" s="50">
        <v>43256</v>
      </c>
      <c r="C217" s="51">
        <v>0.37152777777777801</v>
      </c>
      <c r="D217" s="49" t="s">
        <v>226</v>
      </c>
      <c r="E217" s="49">
        <v>3</v>
      </c>
      <c r="F217" s="52">
        <v>58.5</v>
      </c>
      <c r="G217" s="53">
        <v>2</v>
      </c>
      <c r="H217" s="54">
        <v>3.4188034188034191E-2</v>
      </c>
      <c r="I217" s="55">
        <v>6.83E-2</v>
      </c>
      <c r="J217" s="53">
        <v>314.15899999999999</v>
      </c>
      <c r="K217" s="53">
        <v>0.47809999999999997</v>
      </c>
      <c r="L217" s="53">
        <v>7</v>
      </c>
      <c r="M217" s="56">
        <v>328.54946663877848</v>
      </c>
      <c r="N217" s="53">
        <v>190</v>
      </c>
      <c r="O217" s="57" t="s">
        <v>102</v>
      </c>
      <c r="P217" s="58" t="s">
        <v>70</v>
      </c>
      <c r="Q217" s="53" t="s">
        <v>103</v>
      </c>
      <c r="R217" s="53" t="s">
        <v>84</v>
      </c>
      <c r="S217" s="53"/>
      <c r="T217" s="59">
        <v>1</v>
      </c>
      <c r="U217" s="59">
        <v>1</v>
      </c>
      <c r="V217" s="53">
        <v>4.5999999999999996</v>
      </c>
      <c r="W217" s="53"/>
      <c r="X217" s="53"/>
      <c r="Y217" s="9">
        <f t="shared" si="6"/>
        <v>328.54946663877848</v>
      </c>
      <c r="Z217" s="60" t="s">
        <v>73</v>
      </c>
      <c r="AA217" s="58" t="s">
        <v>315</v>
      </c>
      <c r="AB217" s="58" t="s">
        <v>75</v>
      </c>
      <c r="AC217" s="61" t="s">
        <v>286</v>
      </c>
      <c r="AD217" s="53" t="s">
        <v>104</v>
      </c>
      <c r="AE217" s="56">
        <f t="shared" si="7"/>
        <v>61.490341069999992</v>
      </c>
      <c r="AF217" s="56">
        <v>61.490341069999992</v>
      </c>
      <c r="AG217" s="62"/>
      <c r="AH217" s="63"/>
      <c r="AI217" s="61"/>
      <c r="AJ217" s="58"/>
      <c r="AK217" s="58"/>
      <c r="AL217" s="58"/>
      <c r="AM217" s="58"/>
      <c r="AN217" s="58"/>
      <c r="AO217" s="58"/>
    </row>
    <row r="218" spans="1:41" x14ac:dyDescent="0.2">
      <c r="A218" s="49" t="s">
        <v>67</v>
      </c>
      <c r="B218" s="50">
        <v>43256</v>
      </c>
      <c r="C218" s="51">
        <v>0.37152777777777801</v>
      </c>
      <c r="D218" s="49" t="s">
        <v>226</v>
      </c>
      <c r="E218" s="49">
        <v>3</v>
      </c>
      <c r="F218" s="52">
        <v>58.5</v>
      </c>
      <c r="G218" s="53">
        <v>2</v>
      </c>
      <c r="H218" s="54">
        <v>3.4188034188034191E-2</v>
      </c>
      <c r="I218" s="55">
        <v>6.83E-2</v>
      </c>
      <c r="J218" s="53">
        <v>314.15899999999999</v>
      </c>
      <c r="K218" s="53">
        <v>0.47809999999999997</v>
      </c>
      <c r="L218" s="53">
        <v>7</v>
      </c>
      <c r="M218" s="56">
        <v>328.54946663877848</v>
      </c>
      <c r="N218" s="53">
        <v>1031</v>
      </c>
      <c r="O218" s="57" t="s">
        <v>172</v>
      </c>
      <c r="P218" s="57" t="s">
        <v>82</v>
      </c>
      <c r="Q218" s="53" t="s">
        <v>83</v>
      </c>
      <c r="R218" s="53" t="s">
        <v>84</v>
      </c>
      <c r="S218" s="53"/>
      <c r="T218" s="59">
        <v>1</v>
      </c>
      <c r="U218" s="59">
        <v>1</v>
      </c>
      <c r="V218" s="53">
        <v>6.5</v>
      </c>
      <c r="W218" s="53"/>
      <c r="X218" s="53"/>
      <c r="Y218" s="9">
        <f t="shared" si="6"/>
        <v>328.54946663877848</v>
      </c>
      <c r="Z218" s="60" t="s">
        <v>73</v>
      </c>
      <c r="AA218" s="58" t="s">
        <v>315</v>
      </c>
      <c r="AB218" s="58" t="s">
        <v>75</v>
      </c>
      <c r="AC218" s="61" t="s">
        <v>286</v>
      </c>
      <c r="AD218" s="53" t="s">
        <v>85</v>
      </c>
      <c r="AE218" s="56">
        <f t="shared" si="7"/>
        <v>87.671304933333303</v>
      </c>
      <c r="AF218" s="56">
        <v>87.671304933333303</v>
      </c>
      <c r="AG218" s="62"/>
      <c r="AH218" s="63"/>
      <c r="AI218" s="61"/>
      <c r="AJ218" s="58"/>
      <c r="AK218" s="58"/>
      <c r="AL218" s="58"/>
      <c r="AM218" s="58"/>
      <c r="AN218" s="58"/>
      <c r="AO218" s="58"/>
    </row>
    <row r="219" spans="1:41" x14ac:dyDescent="0.2">
      <c r="A219" s="49" t="s">
        <v>67</v>
      </c>
      <c r="B219" s="50">
        <v>43256</v>
      </c>
      <c r="C219" s="51">
        <v>0.37152777777777801</v>
      </c>
      <c r="D219" s="49" t="s">
        <v>226</v>
      </c>
      <c r="E219" s="49">
        <v>3</v>
      </c>
      <c r="F219" s="52">
        <v>58.5</v>
      </c>
      <c r="G219" s="53">
        <v>2</v>
      </c>
      <c r="H219" s="54">
        <v>3.4188034188034191E-2</v>
      </c>
      <c r="I219" s="55">
        <v>6.83E-2</v>
      </c>
      <c r="J219" s="53">
        <v>314.15899999999999</v>
      </c>
      <c r="K219" s="53">
        <v>0.47809999999999997</v>
      </c>
      <c r="L219" s="53">
        <v>7</v>
      </c>
      <c r="M219" s="56">
        <v>328.54946663877848</v>
      </c>
      <c r="N219" s="53">
        <v>1037</v>
      </c>
      <c r="O219" s="57" t="s">
        <v>86</v>
      </c>
      <c r="P219" s="57" t="s">
        <v>82</v>
      </c>
      <c r="Q219" s="53" t="s">
        <v>87</v>
      </c>
      <c r="R219" s="53" t="s">
        <v>84</v>
      </c>
      <c r="S219" s="53"/>
      <c r="T219" s="59">
        <v>10</v>
      </c>
      <c r="U219" s="59">
        <v>10</v>
      </c>
      <c r="V219" s="53">
        <v>3.7</v>
      </c>
      <c r="W219" s="53"/>
      <c r="X219" s="53"/>
      <c r="Y219" s="9">
        <f t="shared" si="6"/>
        <v>3285.4946663877854</v>
      </c>
      <c r="Z219" s="60" t="s">
        <v>73</v>
      </c>
      <c r="AA219" s="58" t="s">
        <v>315</v>
      </c>
      <c r="AB219" s="58" t="s">
        <v>75</v>
      </c>
      <c r="AC219" s="61" t="s">
        <v>286</v>
      </c>
      <c r="AD219" s="53" t="s">
        <v>85</v>
      </c>
      <c r="AE219" s="56">
        <f t="shared" si="7"/>
        <v>9.2027643066666673</v>
      </c>
      <c r="AF219" s="56">
        <v>9.2027643066666673</v>
      </c>
      <c r="AG219" s="62"/>
      <c r="AH219" s="63"/>
      <c r="AI219" s="61"/>
      <c r="AJ219" s="58"/>
      <c r="AK219" s="58"/>
      <c r="AL219" s="58"/>
      <c r="AM219" s="58"/>
      <c r="AN219" s="58"/>
      <c r="AO219" s="58"/>
    </row>
    <row r="220" spans="1:41" x14ac:dyDescent="0.2">
      <c r="A220" s="49" t="s">
        <v>67</v>
      </c>
      <c r="B220" s="50">
        <v>43256</v>
      </c>
      <c r="C220" s="51">
        <v>0.37152777777777801</v>
      </c>
      <c r="D220" s="49" t="s">
        <v>226</v>
      </c>
      <c r="E220" s="49">
        <v>3</v>
      </c>
      <c r="F220" s="52">
        <v>58.5</v>
      </c>
      <c r="G220" s="53">
        <v>2</v>
      </c>
      <c r="H220" s="54">
        <v>3.4188034188034191E-2</v>
      </c>
      <c r="I220" s="55">
        <v>6.83E-2</v>
      </c>
      <c r="J220" s="53">
        <v>314.15899999999999</v>
      </c>
      <c r="K220" s="53">
        <v>0.47809999999999997</v>
      </c>
      <c r="L220" s="53">
        <v>7</v>
      </c>
      <c r="M220" s="56">
        <v>328.54946663877848</v>
      </c>
      <c r="N220" s="53">
        <v>1419</v>
      </c>
      <c r="O220" s="57" t="s">
        <v>94</v>
      </c>
      <c r="P220" s="57" t="s">
        <v>82</v>
      </c>
      <c r="Q220" s="53" t="s">
        <v>95</v>
      </c>
      <c r="R220" s="53" t="s">
        <v>96</v>
      </c>
      <c r="S220" s="53"/>
      <c r="T220" s="59">
        <v>403</v>
      </c>
      <c r="U220" s="59">
        <v>809</v>
      </c>
      <c r="V220" s="53">
        <v>0.8</v>
      </c>
      <c r="W220" s="53">
        <v>0.8</v>
      </c>
      <c r="X220" s="53">
        <v>0.8</v>
      </c>
      <c r="Y220" s="9">
        <f t="shared" si="6"/>
        <v>132405.43505542772</v>
      </c>
      <c r="Z220" s="60" t="s">
        <v>97</v>
      </c>
      <c r="AA220" s="58" t="s">
        <v>315</v>
      </c>
      <c r="AB220" s="58" t="s">
        <v>75</v>
      </c>
      <c r="AC220" s="61" t="s">
        <v>286</v>
      </c>
      <c r="AD220" s="53" t="s">
        <v>85</v>
      </c>
      <c r="AE220" s="56">
        <f t="shared" si="7"/>
        <v>0.17999999999999997</v>
      </c>
      <c r="AF220" s="56">
        <v>0.18</v>
      </c>
      <c r="AG220" s="56">
        <v>0.18</v>
      </c>
      <c r="AH220" s="56">
        <v>0.18</v>
      </c>
      <c r="AI220" s="56">
        <v>0.18</v>
      </c>
      <c r="AJ220" s="56">
        <v>0.18</v>
      </c>
      <c r="AK220" s="56">
        <v>0.18</v>
      </c>
      <c r="AL220" s="56">
        <v>0.18</v>
      </c>
      <c r="AM220" s="56">
        <v>0.18</v>
      </c>
      <c r="AN220" s="56">
        <v>0.18</v>
      </c>
      <c r="AO220" s="56">
        <v>0.18</v>
      </c>
    </row>
    <row r="221" spans="1:41" x14ac:dyDescent="0.2">
      <c r="A221" s="49" t="s">
        <v>67</v>
      </c>
      <c r="B221" s="50">
        <v>43256</v>
      </c>
      <c r="C221" s="51">
        <v>0.40277777777777801</v>
      </c>
      <c r="D221" s="49" t="s">
        <v>222</v>
      </c>
      <c r="E221" s="49">
        <v>3</v>
      </c>
      <c r="F221" s="52">
        <v>58.5</v>
      </c>
      <c r="G221" s="53">
        <v>2</v>
      </c>
      <c r="H221" s="54">
        <v>3.4188034188034191E-2</v>
      </c>
      <c r="I221" s="55">
        <v>6.83E-2</v>
      </c>
      <c r="J221" s="53">
        <v>314.15899999999999</v>
      </c>
      <c r="K221" s="53">
        <v>0.5464</v>
      </c>
      <c r="L221" s="53">
        <v>8</v>
      </c>
      <c r="M221" s="56">
        <v>287.48078330893117</v>
      </c>
      <c r="N221" s="53">
        <v>145</v>
      </c>
      <c r="O221" s="57" t="s">
        <v>69</v>
      </c>
      <c r="P221" s="58" t="s">
        <v>70</v>
      </c>
      <c r="Q221" s="53" t="s">
        <v>71</v>
      </c>
      <c r="R221" s="53" t="s">
        <v>72</v>
      </c>
      <c r="S221" s="53"/>
      <c r="T221" s="59">
        <v>1</v>
      </c>
      <c r="U221" s="59">
        <v>1</v>
      </c>
      <c r="V221" s="53">
        <v>14.8</v>
      </c>
      <c r="W221" s="53"/>
      <c r="X221" s="53"/>
      <c r="Y221" s="9">
        <f t="shared" si="6"/>
        <v>287.48078330893117</v>
      </c>
      <c r="Z221" s="60" t="s">
        <v>73</v>
      </c>
      <c r="AA221" s="58" t="s">
        <v>303</v>
      </c>
      <c r="AB221" s="58" t="s">
        <v>75</v>
      </c>
      <c r="AC221" s="61" t="s">
        <v>221</v>
      </c>
      <c r="AD221" s="53" t="s">
        <v>77</v>
      </c>
      <c r="AE221" s="56">
        <f t="shared" si="7"/>
        <v>331.97809847999991</v>
      </c>
      <c r="AF221" s="56">
        <v>331.97809847999991</v>
      </c>
      <c r="AG221" s="62"/>
      <c r="AH221" s="63"/>
      <c r="AI221" s="61"/>
      <c r="AJ221" s="58"/>
      <c r="AK221" s="58"/>
      <c r="AL221" s="58"/>
      <c r="AM221" s="58"/>
      <c r="AN221" s="58"/>
      <c r="AO221" s="58"/>
    </row>
    <row r="222" spans="1:41" x14ac:dyDescent="0.2">
      <c r="A222" s="49" t="s">
        <v>67</v>
      </c>
      <c r="B222" s="50">
        <v>43256</v>
      </c>
      <c r="C222" s="51">
        <v>0.40277777777777801</v>
      </c>
      <c r="D222" s="49" t="s">
        <v>222</v>
      </c>
      <c r="E222" s="49">
        <v>3</v>
      </c>
      <c r="F222" s="52">
        <v>58.5</v>
      </c>
      <c r="G222" s="53">
        <v>2</v>
      </c>
      <c r="H222" s="54">
        <v>3.4188034188034191E-2</v>
      </c>
      <c r="I222" s="55">
        <v>6.83E-2</v>
      </c>
      <c r="J222" s="53">
        <v>314.15899999999999</v>
      </c>
      <c r="K222" s="53">
        <v>0.5464</v>
      </c>
      <c r="L222" s="53">
        <v>8</v>
      </c>
      <c r="M222" s="56">
        <v>287.48078330893117</v>
      </c>
      <c r="N222" s="53">
        <v>190</v>
      </c>
      <c r="O222" s="57" t="s">
        <v>296</v>
      </c>
      <c r="P222" s="58" t="s">
        <v>70</v>
      </c>
      <c r="Q222" s="53" t="s">
        <v>103</v>
      </c>
      <c r="R222" s="53" t="s">
        <v>84</v>
      </c>
      <c r="S222" s="53"/>
      <c r="T222" s="59">
        <v>1</v>
      </c>
      <c r="U222" s="59">
        <v>1</v>
      </c>
      <c r="V222" s="53">
        <v>9.3000000000000007</v>
      </c>
      <c r="W222" s="53"/>
      <c r="X222" s="53"/>
      <c r="Y222" s="9">
        <f t="shared" si="6"/>
        <v>287.48078330893117</v>
      </c>
      <c r="Z222" s="60" t="s">
        <v>73</v>
      </c>
      <c r="AA222" s="58" t="s">
        <v>303</v>
      </c>
      <c r="AB222" s="58" t="s">
        <v>75</v>
      </c>
      <c r="AC222" s="61" t="s">
        <v>221</v>
      </c>
      <c r="AD222" s="53" t="s">
        <v>104</v>
      </c>
      <c r="AE222" s="56">
        <f t="shared" si="7"/>
        <v>380.40256674</v>
      </c>
      <c r="AF222" s="56">
        <v>380.40256674</v>
      </c>
      <c r="AG222" s="62"/>
      <c r="AH222" s="63"/>
      <c r="AI222" s="61"/>
      <c r="AJ222" s="58"/>
      <c r="AK222" s="58"/>
      <c r="AL222" s="58"/>
      <c r="AM222" s="58"/>
      <c r="AN222" s="58"/>
      <c r="AO222" s="58"/>
    </row>
    <row r="223" spans="1:41" x14ac:dyDescent="0.2">
      <c r="A223" s="49" t="s">
        <v>67</v>
      </c>
      <c r="B223" s="50">
        <v>43256</v>
      </c>
      <c r="C223" s="51">
        <v>0.40277777777777801</v>
      </c>
      <c r="D223" s="49" t="s">
        <v>222</v>
      </c>
      <c r="E223" s="49">
        <v>3</v>
      </c>
      <c r="F223" s="52">
        <v>58.5</v>
      </c>
      <c r="G223" s="53">
        <v>2</v>
      </c>
      <c r="H223" s="54">
        <v>3.4188034188034191E-2</v>
      </c>
      <c r="I223" s="55">
        <v>6.83E-2</v>
      </c>
      <c r="J223" s="53">
        <v>314.15899999999999</v>
      </c>
      <c r="K223" s="53">
        <v>0.5464</v>
      </c>
      <c r="L223" s="53">
        <v>8</v>
      </c>
      <c r="M223" s="56">
        <v>287.48078330893117</v>
      </c>
      <c r="N223" s="53">
        <v>749</v>
      </c>
      <c r="O223" s="57" t="s">
        <v>190</v>
      </c>
      <c r="P223" s="58" t="s">
        <v>70</v>
      </c>
      <c r="Q223" s="53" t="s">
        <v>191</v>
      </c>
      <c r="R223" s="53" t="s">
        <v>84</v>
      </c>
      <c r="S223" s="53"/>
      <c r="T223" s="59">
        <v>1</v>
      </c>
      <c r="U223" s="59">
        <v>1</v>
      </c>
      <c r="V223" s="53">
        <v>18.5</v>
      </c>
      <c r="W223" s="53"/>
      <c r="X223" s="53"/>
      <c r="Y223" s="9">
        <f t="shared" si="6"/>
        <v>287.48078330893117</v>
      </c>
      <c r="Z223" s="60" t="s">
        <v>73</v>
      </c>
      <c r="AA223" s="58" t="s">
        <v>303</v>
      </c>
      <c r="AB223" s="58" t="s">
        <v>75</v>
      </c>
      <c r="AC223" s="61" t="s">
        <v>221</v>
      </c>
      <c r="AD223" s="53" t="s">
        <v>193</v>
      </c>
      <c r="AE223" s="56">
        <f t="shared" si="7"/>
        <v>126.63250000000001</v>
      </c>
      <c r="AF223" s="56">
        <v>126.63250000000001</v>
      </c>
      <c r="AG223" s="62"/>
      <c r="AH223" s="63"/>
      <c r="AI223" s="61"/>
      <c r="AJ223" s="58"/>
      <c r="AK223" s="58"/>
      <c r="AL223" s="58"/>
      <c r="AM223" s="58"/>
      <c r="AN223" s="58"/>
      <c r="AO223" s="58"/>
    </row>
    <row r="224" spans="1:41" x14ac:dyDescent="0.2">
      <c r="A224" s="49" t="s">
        <v>67</v>
      </c>
      <c r="B224" s="50">
        <v>43256</v>
      </c>
      <c r="C224" s="51">
        <v>0.40277777777777801</v>
      </c>
      <c r="D224" s="49" t="s">
        <v>222</v>
      </c>
      <c r="E224" s="49">
        <v>3</v>
      </c>
      <c r="F224" s="52">
        <v>58.5</v>
      </c>
      <c r="G224" s="53">
        <v>2</v>
      </c>
      <c r="H224" s="54">
        <v>3.4188034188034191E-2</v>
      </c>
      <c r="I224" s="55">
        <v>6.83E-2</v>
      </c>
      <c r="J224" s="53">
        <v>314.15899999999999</v>
      </c>
      <c r="K224" s="53">
        <v>0.5464</v>
      </c>
      <c r="L224" s="53">
        <v>8</v>
      </c>
      <c r="M224" s="56">
        <v>287.48078330893117</v>
      </c>
      <c r="N224" s="53">
        <v>1037</v>
      </c>
      <c r="O224" s="57" t="s">
        <v>86</v>
      </c>
      <c r="P224" s="57" t="s">
        <v>82</v>
      </c>
      <c r="Q224" s="53" t="s">
        <v>87</v>
      </c>
      <c r="R224" s="53" t="s">
        <v>84</v>
      </c>
      <c r="S224" s="53"/>
      <c r="T224" s="59">
        <v>13</v>
      </c>
      <c r="U224" s="59">
        <v>13</v>
      </c>
      <c r="V224" s="53">
        <v>2.8</v>
      </c>
      <c r="W224" s="53"/>
      <c r="X224" s="53"/>
      <c r="Y224" s="9">
        <f t="shared" si="6"/>
        <v>3737.2501830161054</v>
      </c>
      <c r="Z224" s="60" t="s">
        <v>73</v>
      </c>
      <c r="AA224" s="58" t="s">
        <v>303</v>
      </c>
      <c r="AB224" s="58" t="s">
        <v>75</v>
      </c>
      <c r="AC224" s="61" t="s">
        <v>221</v>
      </c>
      <c r="AD224" s="53" t="s">
        <v>85</v>
      </c>
      <c r="AE224" s="56">
        <f t="shared" si="7"/>
        <v>7.2382233599999992</v>
      </c>
      <c r="AF224" s="56">
        <v>7.2382233599999992</v>
      </c>
      <c r="AG224" s="62"/>
      <c r="AH224" s="63"/>
      <c r="AI224" s="61"/>
      <c r="AJ224" s="58"/>
      <c r="AK224" s="58"/>
      <c r="AL224" s="58"/>
      <c r="AM224" s="58"/>
      <c r="AN224" s="58"/>
      <c r="AO224" s="58"/>
    </row>
    <row r="225" spans="1:41" x14ac:dyDescent="0.2">
      <c r="A225" s="49" t="s">
        <v>67</v>
      </c>
      <c r="B225" s="50">
        <v>43256</v>
      </c>
      <c r="C225" s="51">
        <v>0.40277777777777801</v>
      </c>
      <c r="D225" s="49" t="s">
        <v>222</v>
      </c>
      <c r="E225" s="49">
        <v>3</v>
      </c>
      <c r="F225" s="52">
        <v>58.5</v>
      </c>
      <c r="G225" s="53">
        <v>2</v>
      </c>
      <c r="H225" s="54">
        <v>3.4188034188034191E-2</v>
      </c>
      <c r="I225" s="55">
        <v>6.83E-2</v>
      </c>
      <c r="J225" s="53">
        <v>314.15899999999999</v>
      </c>
      <c r="K225" s="53">
        <v>0.5464</v>
      </c>
      <c r="L225" s="53">
        <v>8</v>
      </c>
      <c r="M225" s="56">
        <v>287.48078330893117</v>
      </c>
      <c r="N225" s="53">
        <v>1135</v>
      </c>
      <c r="O225" s="58" t="s">
        <v>282</v>
      </c>
      <c r="P225" s="57" t="s">
        <v>82</v>
      </c>
      <c r="Q225" s="53" t="s">
        <v>127</v>
      </c>
      <c r="R225" s="53" t="s">
        <v>283</v>
      </c>
      <c r="S225" s="53"/>
      <c r="T225" s="59">
        <v>1</v>
      </c>
      <c r="U225" s="59">
        <v>1</v>
      </c>
      <c r="V225" s="53">
        <v>9.3000000000000007</v>
      </c>
      <c r="W225" s="53"/>
      <c r="X225" s="53"/>
      <c r="Y225" s="9">
        <f t="shared" si="6"/>
        <v>287.48078330893117</v>
      </c>
      <c r="Z225" s="60" t="s">
        <v>73</v>
      </c>
      <c r="AA225" s="58" t="s">
        <v>303</v>
      </c>
      <c r="AB225" s="58" t="s">
        <v>75</v>
      </c>
      <c r="AC225" s="61" t="s">
        <v>221</v>
      </c>
      <c r="AD225" s="53" t="s">
        <v>129</v>
      </c>
      <c r="AE225" s="56">
        <f t="shared" si="7"/>
        <v>17.578766844999997</v>
      </c>
      <c r="AF225" s="56">
        <v>17.578766844999997</v>
      </c>
      <c r="AG225" s="62"/>
      <c r="AH225" s="63"/>
      <c r="AI225" s="61"/>
      <c r="AJ225" s="58"/>
      <c r="AK225" s="58"/>
      <c r="AL225" s="58"/>
      <c r="AM225" s="58"/>
      <c r="AN225" s="58"/>
      <c r="AO225" s="58"/>
    </row>
    <row r="226" spans="1:41" x14ac:dyDescent="0.2">
      <c r="A226" s="49" t="s">
        <v>67</v>
      </c>
      <c r="B226" s="50">
        <v>43256</v>
      </c>
      <c r="C226" s="51">
        <v>0.40277777777777801</v>
      </c>
      <c r="D226" s="49" t="s">
        <v>222</v>
      </c>
      <c r="E226" s="49">
        <v>3</v>
      </c>
      <c r="F226" s="52">
        <v>58.5</v>
      </c>
      <c r="G226" s="53">
        <v>2</v>
      </c>
      <c r="H226" s="54">
        <v>3.4188034188034191E-2</v>
      </c>
      <c r="I226" s="55">
        <v>6.83E-2</v>
      </c>
      <c r="J226" s="53">
        <v>314.15899999999999</v>
      </c>
      <c r="K226" s="53">
        <v>0.5464</v>
      </c>
      <c r="L226" s="53">
        <v>8</v>
      </c>
      <c r="M226" s="56">
        <v>287.48078330893117</v>
      </c>
      <c r="N226" s="53">
        <v>1733</v>
      </c>
      <c r="O226" s="57" t="s">
        <v>304</v>
      </c>
      <c r="P226" s="57" t="s">
        <v>82</v>
      </c>
      <c r="Q226" s="53" t="s">
        <v>89</v>
      </c>
      <c r="R226" s="53" t="s">
        <v>93</v>
      </c>
      <c r="S226" s="53"/>
      <c r="T226" s="59">
        <v>2</v>
      </c>
      <c r="U226" s="59">
        <v>2</v>
      </c>
      <c r="V226" s="53">
        <v>5.6</v>
      </c>
      <c r="W226" s="53"/>
      <c r="X226" s="53"/>
      <c r="Y226" s="9">
        <f t="shared" si="6"/>
        <v>574.96156661786233</v>
      </c>
      <c r="Z226" s="60" t="s">
        <v>73</v>
      </c>
      <c r="AA226" s="58" t="s">
        <v>303</v>
      </c>
      <c r="AB226" s="58" t="s">
        <v>75</v>
      </c>
      <c r="AC226" s="61" t="s">
        <v>221</v>
      </c>
      <c r="AD226" s="53" t="s">
        <v>91</v>
      </c>
      <c r="AE226" s="56">
        <f t="shared" si="7"/>
        <v>76.353203359999995</v>
      </c>
      <c r="AF226" s="56">
        <v>76.353203359999995</v>
      </c>
      <c r="AG226" s="62"/>
      <c r="AH226" s="63"/>
      <c r="AI226" s="61"/>
      <c r="AJ226" s="58"/>
      <c r="AK226" s="58"/>
      <c r="AL226" s="58"/>
      <c r="AM226" s="58"/>
      <c r="AN226" s="58"/>
      <c r="AO226" s="58"/>
    </row>
    <row r="227" spans="1:41" x14ac:dyDescent="0.2">
      <c r="A227" s="49" t="s">
        <v>67</v>
      </c>
      <c r="B227" s="50">
        <v>43256</v>
      </c>
      <c r="C227" s="51">
        <v>0.40277777777777801</v>
      </c>
      <c r="D227" s="49" t="s">
        <v>222</v>
      </c>
      <c r="E227" s="49">
        <v>3</v>
      </c>
      <c r="F227" s="52">
        <v>58.5</v>
      </c>
      <c r="G227" s="53">
        <v>2</v>
      </c>
      <c r="H227" s="54">
        <v>3.4188034188034191E-2</v>
      </c>
      <c r="I227" s="55">
        <v>6.83E-2</v>
      </c>
      <c r="J227" s="53">
        <v>314.15899999999999</v>
      </c>
      <c r="K227" s="53">
        <v>0.5464</v>
      </c>
      <c r="L227" s="53">
        <v>8</v>
      </c>
      <c r="M227" s="56">
        <v>287.48078330893117</v>
      </c>
      <c r="N227" s="53">
        <v>1419</v>
      </c>
      <c r="O227" s="57" t="s">
        <v>94</v>
      </c>
      <c r="P227" s="57" t="s">
        <v>82</v>
      </c>
      <c r="Q227" s="53" t="s">
        <v>95</v>
      </c>
      <c r="R227" s="53" t="s">
        <v>96</v>
      </c>
      <c r="S227" s="53"/>
      <c r="T227" s="59">
        <v>437</v>
      </c>
      <c r="U227" s="59">
        <v>879</v>
      </c>
      <c r="V227" s="53">
        <v>0.8</v>
      </c>
      <c r="W227" s="53">
        <v>0.8</v>
      </c>
      <c r="X227" s="53">
        <v>0.8</v>
      </c>
      <c r="Y227" s="9">
        <f t="shared" si="6"/>
        <v>125629.10230600294</v>
      </c>
      <c r="Z227" s="60" t="s">
        <v>97</v>
      </c>
      <c r="AA227" s="58" t="s">
        <v>303</v>
      </c>
      <c r="AB227" s="58" t="s">
        <v>75</v>
      </c>
      <c r="AC227" s="61" t="s">
        <v>221</v>
      </c>
      <c r="AD227" s="53" t="s">
        <v>85</v>
      </c>
      <c r="AE227" s="56">
        <f t="shared" si="7"/>
        <v>0.17999999999999997</v>
      </c>
      <c r="AF227" s="56">
        <v>0.18</v>
      </c>
      <c r="AG227" s="56">
        <v>0.18</v>
      </c>
      <c r="AH227" s="56">
        <v>0.18</v>
      </c>
      <c r="AI227" s="56">
        <v>0.18</v>
      </c>
      <c r="AJ227" s="56">
        <v>0.18</v>
      </c>
      <c r="AK227" s="56">
        <v>0.18</v>
      </c>
      <c r="AL227" s="56">
        <v>0.18</v>
      </c>
      <c r="AM227" s="56">
        <v>0.18</v>
      </c>
      <c r="AN227" s="56">
        <v>0.18</v>
      </c>
      <c r="AO227" s="56">
        <v>0.18</v>
      </c>
    </row>
    <row r="228" spans="1:41" x14ac:dyDescent="0.2">
      <c r="A228" s="49" t="s">
        <v>67</v>
      </c>
      <c r="B228" s="50">
        <v>43256</v>
      </c>
      <c r="C228" s="51">
        <v>0.40277777777777801</v>
      </c>
      <c r="D228" s="49" t="s">
        <v>222</v>
      </c>
      <c r="E228" s="49">
        <v>3</v>
      </c>
      <c r="F228" s="52">
        <v>58.5</v>
      </c>
      <c r="G228" s="53">
        <v>2</v>
      </c>
      <c r="H228" s="54">
        <v>3.4188034188034191E-2</v>
      </c>
      <c r="I228" s="55">
        <v>6.83E-2</v>
      </c>
      <c r="J228" s="53">
        <v>314.15899999999999</v>
      </c>
      <c r="K228" s="53">
        <v>0.5464</v>
      </c>
      <c r="L228" s="53">
        <v>8</v>
      </c>
      <c r="M228" s="56">
        <v>287.48078330893117</v>
      </c>
      <c r="N228" s="53">
        <v>1519</v>
      </c>
      <c r="O228" s="58" t="s">
        <v>301</v>
      </c>
      <c r="P228" s="57" t="s">
        <v>82</v>
      </c>
      <c r="Q228" s="53" t="s">
        <v>302</v>
      </c>
      <c r="R228" s="53" t="s">
        <v>84</v>
      </c>
      <c r="S228" s="53"/>
      <c r="T228" s="59">
        <v>1</v>
      </c>
      <c r="U228" s="59">
        <v>8</v>
      </c>
      <c r="V228" s="53">
        <v>0.9</v>
      </c>
      <c r="W228" s="53"/>
      <c r="X228" s="53"/>
      <c r="Y228" s="9">
        <f t="shared" si="6"/>
        <v>287.48078330893117</v>
      </c>
      <c r="Z228" s="60" t="s">
        <v>97</v>
      </c>
      <c r="AA228" s="58" t="s">
        <v>303</v>
      </c>
      <c r="AB228" s="58" t="s">
        <v>75</v>
      </c>
      <c r="AC228" s="61" t="s">
        <v>221</v>
      </c>
      <c r="AD228" s="53" t="s">
        <v>85</v>
      </c>
      <c r="AE228" s="56">
        <f t="shared" si="7"/>
        <v>0.381703185</v>
      </c>
      <c r="AF228" s="56">
        <v>0.381703185</v>
      </c>
      <c r="AG228" s="62"/>
      <c r="AH228" s="63"/>
      <c r="AI228" s="61"/>
      <c r="AJ228" s="58"/>
      <c r="AK228" s="58"/>
      <c r="AL228" s="58"/>
      <c r="AM228" s="58"/>
      <c r="AN228" s="58"/>
      <c r="AO228" s="58"/>
    </row>
    <row r="229" spans="1:41" x14ac:dyDescent="0.2">
      <c r="A229" s="49" t="s">
        <v>67</v>
      </c>
      <c r="B229" s="50">
        <v>43256</v>
      </c>
      <c r="C229" s="51">
        <v>0.42708333333333298</v>
      </c>
      <c r="D229" s="49" t="s">
        <v>219</v>
      </c>
      <c r="E229" s="49"/>
      <c r="F229" s="52">
        <v>62</v>
      </c>
      <c r="G229" s="53">
        <v>2</v>
      </c>
      <c r="H229" s="54">
        <v>3.2258064516129031E-2</v>
      </c>
      <c r="I229" s="55">
        <v>6.83E-2</v>
      </c>
      <c r="J229" s="53">
        <v>314.15899999999999</v>
      </c>
      <c r="K229" s="53">
        <v>0.34150000000000003</v>
      </c>
      <c r="L229" s="53">
        <v>5</v>
      </c>
      <c r="M229" s="56">
        <v>459.96925329428984</v>
      </c>
      <c r="N229" s="53">
        <v>1037</v>
      </c>
      <c r="O229" s="57" t="s">
        <v>86</v>
      </c>
      <c r="P229" s="57" t="s">
        <v>82</v>
      </c>
      <c r="Q229" s="53" t="s">
        <v>87</v>
      </c>
      <c r="R229" s="53" t="s">
        <v>84</v>
      </c>
      <c r="S229" s="53"/>
      <c r="T229" s="59">
        <v>12</v>
      </c>
      <c r="U229" s="59">
        <v>12</v>
      </c>
      <c r="V229" s="53">
        <v>2.8</v>
      </c>
      <c r="W229" s="53"/>
      <c r="X229" s="53"/>
      <c r="Y229" s="9">
        <f t="shared" si="6"/>
        <v>5519.6310395314786</v>
      </c>
      <c r="Z229" s="60" t="s">
        <v>73</v>
      </c>
      <c r="AA229" s="58" t="s">
        <v>299</v>
      </c>
      <c r="AB229" s="58" t="s">
        <v>75</v>
      </c>
      <c r="AC229" s="61" t="s">
        <v>76</v>
      </c>
      <c r="AD229" s="53" t="s">
        <v>85</v>
      </c>
      <c r="AE229" s="56">
        <f t="shared" si="7"/>
        <v>6.3706209216666645</v>
      </c>
      <c r="AF229" s="56">
        <v>6.3706209216666645</v>
      </c>
      <c r="AG229" s="62"/>
      <c r="AH229" s="63"/>
      <c r="AI229" s="61"/>
      <c r="AJ229" s="58"/>
      <c r="AK229" s="58"/>
      <c r="AL229" s="58"/>
      <c r="AM229" s="58"/>
      <c r="AN229" s="58"/>
      <c r="AO229" s="58"/>
    </row>
    <row r="230" spans="1:41" x14ac:dyDescent="0.2">
      <c r="A230" s="49" t="s">
        <v>67</v>
      </c>
      <c r="B230" s="50">
        <v>43256</v>
      </c>
      <c r="C230" s="51">
        <v>0.42708333333333298</v>
      </c>
      <c r="D230" s="49" t="s">
        <v>219</v>
      </c>
      <c r="E230" s="49"/>
      <c r="F230" s="52">
        <v>62</v>
      </c>
      <c r="G230" s="53">
        <v>2</v>
      </c>
      <c r="H230" s="54">
        <v>3.2258064516129031E-2</v>
      </c>
      <c r="I230" s="55">
        <v>6.83E-2</v>
      </c>
      <c r="J230" s="53">
        <v>314.15899999999999</v>
      </c>
      <c r="K230" s="53">
        <v>0.34150000000000003</v>
      </c>
      <c r="L230" s="53">
        <v>5</v>
      </c>
      <c r="M230" s="56">
        <v>459.96925329428984</v>
      </c>
      <c r="N230" s="53">
        <v>1135</v>
      </c>
      <c r="O230" s="58" t="s">
        <v>282</v>
      </c>
      <c r="P230" s="57" t="s">
        <v>82</v>
      </c>
      <c r="Q230" s="53" t="s">
        <v>127</v>
      </c>
      <c r="R230" s="53" t="s">
        <v>283</v>
      </c>
      <c r="S230" s="53"/>
      <c r="T230" s="59">
        <v>3</v>
      </c>
      <c r="U230" s="59">
        <v>3</v>
      </c>
      <c r="V230" s="53">
        <v>10.199999999999999</v>
      </c>
      <c r="W230" s="53"/>
      <c r="X230" s="53"/>
      <c r="Y230" s="9">
        <f t="shared" si="6"/>
        <v>1379.9077598828696</v>
      </c>
      <c r="Z230" s="60" t="s">
        <v>73</v>
      </c>
      <c r="AA230" s="58" t="s">
        <v>299</v>
      </c>
      <c r="AB230" s="58" t="s">
        <v>75</v>
      </c>
      <c r="AC230" s="61" t="s">
        <v>76</v>
      </c>
      <c r="AD230" s="53" t="s">
        <v>129</v>
      </c>
      <c r="AE230" s="56">
        <f t="shared" si="7"/>
        <v>22.807943399999999</v>
      </c>
      <c r="AF230" s="56">
        <v>22.807943399999999</v>
      </c>
      <c r="AG230" s="62"/>
      <c r="AH230" s="63"/>
      <c r="AI230" s="61"/>
      <c r="AJ230" s="58"/>
      <c r="AK230" s="58"/>
      <c r="AL230" s="58"/>
      <c r="AM230" s="58"/>
      <c r="AN230" s="58"/>
      <c r="AO230" s="58"/>
    </row>
    <row r="231" spans="1:41" x14ac:dyDescent="0.2">
      <c r="A231" s="49" t="s">
        <v>67</v>
      </c>
      <c r="B231" s="50">
        <v>43256</v>
      </c>
      <c r="C231" s="51">
        <v>0.42708333333333298</v>
      </c>
      <c r="D231" s="49" t="s">
        <v>219</v>
      </c>
      <c r="E231" s="49"/>
      <c r="F231" s="52">
        <v>62</v>
      </c>
      <c r="G231" s="53">
        <v>2</v>
      </c>
      <c r="H231" s="54">
        <v>3.2258064516129031E-2</v>
      </c>
      <c r="I231" s="55">
        <v>6.83E-2</v>
      </c>
      <c r="J231" s="53">
        <v>314.15899999999999</v>
      </c>
      <c r="K231" s="53">
        <v>0.34150000000000003</v>
      </c>
      <c r="L231" s="53">
        <v>5</v>
      </c>
      <c r="M231" s="56">
        <v>459.96925329428984</v>
      </c>
      <c r="N231" s="53">
        <v>1733</v>
      </c>
      <c r="O231" s="57" t="s">
        <v>92</v>
      </c>
      <c r="P231" s="57" t="s">
        <v>82</v>
      </c>
      <c r="Q231" s="53" t="s">
        <v>89</v>
      </c>
      <c r="R231" s="53" t="s">
        <v>93</v>
      </c>
      <c r="S231" s="53"/>
      <c r="T231" s="59">
        <v>2</v>
      </c>
      <c r="U231" s="59">
        <v>2</v>
      </c>
      <c r="V231" s="53">
        <v>6.5</v>
      </c>
      <c r="W231" s="53"/>
      <c r="X231" s="53"/>
      <c r="Y231" s="9">
        <f t="shared" si="6"/>
        <v>919.93850658857968</v>
      </c>
      <c r="Z231" s="60" t="s">
        <v>73</v>
      </c>
      <c r="AA231" s="58" t="s">
        <v>299</v>
      </c>
      <c r="AB231" s="58" t="s">
        <v>75</v>
      </c>
      <c r="AC231" s="61" t="s">
        <v>76</v>
      </c>
      <c r="AD231" s="53" t="s">
        <v>91</v>
      </c>
      <c r="AE231" s="56">
        <f t="shared" si="7"/>
        <v>91.570541721666629</v>
      </c>
      <c r="AF231" s="56">
        <v>91.570541721666629</v>
      </c>
      <c r="AG231" s="62"/>
      <c r="AH231" s="63"/>
      <c r="AI231" s="61"/>
      <c r="AJ231" s="58"/>
      <c r="AK231" s="58"/>
      <c r="AL231" s="58"/>
      <c r="AM231" s="58"/>
      <c r="AN231" s="58"/>
      <c r="AO231" s="58"/>
    </row>
    <row r="232" spans="1:41" x14ac:dyDescent="0.2">
      <c r="A232" s="49" t="s">
        <v>67</v>
      </c>
      <c r="B232" s="50">
        <v>43256</v>
      </c>
      <c r="C232" s="51">
        <v>0.42708333333333298</v>
      </c>
      <c r="D232" s="49" t="s">
        <v>219</v>
      </c>
      <c r="E232" s="49"/>
      <c r="F232" s="52">
        <v>62</v>
      </c>
      <c r="G232" s="53">
        <v>2</v>
      </c>
      <c r="H232" s="54">
        <v>3.2258064516129031E-2</v>
      </c>
      <c r="I232" s="55">
        <v>6.83E-2</v>
      </c>
      <c r="J232" s="53">
        <v>314.15899999999999</v>
      </c>
      <c r="K232" s="53">
        <v>0.34150000000000003</v>
      </c>
      <c r="L232" s="53">
        <v>5</v>
      </c>
      <c r="M232" s="56">
        <v>459.96925329428984</v>
      </c>
      <c r="N232" s="53">
        <v>1419</v>
      </c>
      <c r="O232" s="57" t="s">
        <v>94</v>
      </c>
      <c r="P232" s="57" t="s">
        <v>82</v>
      </c>
      <c r="Q232" s="53" t="s">
        <v>95</v>
      </c>
      <c r="R232" s="53" t="s">
        <v>96</v>
      </c>
      <c r="S232" s="53"/>
      <c r="T232" s="59">
        <v>422</v>
      </c>
      <c r="U232" s="59">
        <v>849</v>
      </c>
      <c r="V232" s="53">
        <v>0.8</v>
      </c>
      <c r="W232" s="53">
        <v>0.8</v>
      </c>
      <c r="X232" s="53">
        <v>0.8</v>
      </c>
      <c r="Y232" s="9">
        <f t="shared" si="6"/>
        <v>194107.02489019031</v>
      </c>
      <c r="Z232" s="60" t="s">
        <v>97</v>
      </c>
      <c r="AA232" s="58" t="s">
        <v>299</v>
      </c>
      <c r="AB232" s="58" t="s">
        <v>75</v>
      </c>
      <c r="AC232" s="61" t="s">
        <v>76</v>
      </c>
      <c r="AD232" s="53" t="s">
        <v>85</v>
      </c>
      <c r="AE232" s="56">
        <f t="shared" si="7"/>
        <v>0.17999999999999997</v>
      </c>
      <c r="AF232" s="56">
        <v>0.18</v>
      </c>
      <c r="AG232" s="56">
        <v>0.18</v>
      </c>
      <c r="AH232" s="56">
        <v>0.18</v>
      </c>
      <c r="AI232" s="56">
        <v>0.18</v>
      </c>
      <c r="AJ232" s="56">
        <v>0.18</v>
      </c>
      <c r="AK232" s="56">
        <v>0.18</v>
      </c>
      <c r="AL232" s="56">
        <v>0.18</v>
      </c>
      <c r="AM232" s="56">
        <v>0.18</v>
      </c>
      <c r="AN232" s="56">
        <v>0.18</v>
      </c>
      <c r="AO232" s="56">
        <v>0.18</v>
      </c>
    </row>
    <row r="233" spans="1:41" x14ac:dyDescent="0.2">
      <c r="A233" s="49" t="s">
        <v>67</v>
      </c>
      <c r="B233" s="50">
        <v>43256</v>
      </c>
      <c r="C233" s="51">
        <v>0.43472222222222201</v>
      </c>
      <c r="D233" s="49" t="s">
        <v>247</v>
      </c>
      <c r="E233" s="49">
        <v>3</v>
      </c>
      <c r="F233" s="52">
        <v>62</v>
      </c>
      <c r="G233" s="53">
        <v>2</v>
      </c>
      <c r="H233" s="54">
        <v>3.2258064516129031E-2</v>
      </c>
      <c r="I233" s="55">
        <v>6.83E-2</v>
      </c>
      <c r="J233" s="53">
        <v>314.15899999999999</v>
      </c>
      <c r="K233" s="53">
        <v>0.75129999999999997</v>
      </c>
      <c r="L233" s="53">
        <v>11</v>
      </c>
      <c r="M233" s="56">
        <v>209.07693331558633</v>
      </c>
      <c r="N233" s="53">
        <v>190</v>
      </c>
      <c r="O233" s="57" t="s">
        <v>102</v>
      </c>
      <c r="P233" s="58" t="s">
        <v>70</v>
      </c>
      <c r="Q233" s="53" t="s">
        <v>103</v>
      </c>
      <c r="R233" s="53" t="s">
        <v>84</v>
      </c>
      <c r="S233" s="53"/>
      <c r="T233" s="59">
        <v>1</v>
      </c>
      <c r="U233" s="59">
        <v>1</v>
      </c>
      <c r="V233" s="53">
        <v>9.3000000000000007</v>
      </c>
      <c r="W233" s="53"/>
      <c r="X233" s="53"/>
      <c r="Y233" s="9">
        <f t="shared" si="6"/>
        <v>209.07693331558633</v>
      </c>
      <c r="Z233" s="60" t="s">
        <v>73</v>
      </c>
      <c r="AA233" s="58" t="s">
        <v>300</v>
      </c>
      <c r="AB233" s="58" t="s">
        <v>75</v>
      </c>
      <c r="AC233" s="61" t="s">
        <v>221</v>
      </c>
      <c r="AD233" s="53" t="s">
        <v>104</v>
      </c>
      <c r="AE233" s="56">
        <f t="shared" si="7"/>
        <v>380.40256674</v>
      </c>
      <c r="AF233" s="56">
        <v>380.40256674</v>
      </c>
      <c r="AG233" s="62"/>
      <c r="AH233" s="63"/>
      <c r="AI233" s="61"/>
      <c r="AJ233" s="58"/>
      <c r="AK233" s="58"/>
      <c r="AL233" s="58"/>
      <c r="AM233" s="58"/>
      <c r="AN233" s="58"/>
      <c r="AO233" s="58"/>
    </row>
    <row r="234" spans="1:41" x14ac:dyDescent="0.2">
      <c r="A234" s="49" t="s">
        <v>67</v>
      </c>
      <c r="B234" s="50">
        <v>43256</v>
      </c>
      <c r="C234" s="51">
        <v>0.43472222222222201</v>
      </c>
      <c r="D234" s="49" t="s">
        <v>247</v>
      </c>
      <c r="E234" s="49">
        <v>3</v>
      </c>
      <c r="F234" s="52">
        <v>62</v>
      </c>
      <c r="G234" s="53">
        <v>2</v>
      </c>
      <c r="H234" s="54">
        <v>3.2258064516129031E-2</v>
      </c>
      <c r="I234" s="55">
        <v>6.83E-2</v>
      </c>
      <c r="J234" s="53">
        <v>314.15899999999999</v>
      </c>
      <c r="K234" s="53">
        <v>0.75129999999999997</v>
      </c>
      <c r="L234" s="53">
        <v>11</v>
      </c>
      <c r="M234" s="56">
        <v>209.07693331558633</v>
      </c>
      <c r="N234" s="53">
        <v>895</v>
      </c>
      <c r="O234" s="58" t="s">
        <v>229</v>
      </c>
      <c r="P234" s="58" t="s">
        <v>70</v>
      </c>
      <c r="Q234" s="53" t="s">
        <v>138</v>
      </c>
      <c r="R234" s="53" t="s">
        <v>84</v>
      </c>
      <c r="S234" s="53"/>
      <c r="T234" s="59">
        <v>1</v>
      </c>
      <c r="U234" s="59">
        <v>1</v>
      </c>
      <c r="V234" s="53">
        <v>5.6</v>
      </c>
      <c r="W234" s="53"/>
      <c r="X234" s="53"/>
      <c r="Y234" s="9">
        <f t="shared" si="6"/>
        <v>209.07693331558633</v>
      </c>
      <c r="Z234" s="60" t="s">
        <v>73</v>
      </c>
      <c r="AA234" s="58" t="s">
        <v>300</v>
      </c>
      <c r="AB234" s="58" t="s">
        <v>75</v>
      </c>
      <c r="AC234" s="61" t="s">
        <v>221</v>
      </c>
      <c r="AD234" s="53" t="s">
        <v>140</v>
      </c>
      <c r="AE234" s="56">
        <f t="shared" si="7"/>
        <v>34.482091839999988</v>
      </c>
      <c r="AF234" s="56">
        <v>34.482091839999988</v>
      </c>
      <c r="AG234" s="62"/>
      <c r="AH234" s="63"/>
      <c r="AI234" s="61"/>
      <c r="AJ234" s="58"/>
      <c r="AK234" s="58"/>
      <c r="AL234" s="58"/>
      <c r="AM234" s="58"/>
      <c r="AN234" s="58"/>
      <c r="AO234" s="58"/>
    </row>
    <row r="235" spans="1:41" x14ac:dyDescent="0.2">
      <c r="A235" s="49" t="s">
        <v>67</v>
      </c>
      <c r="B235" s="50">
        <v>43256</v>
      </c>
      <c r="C235" s="51">
        <v>0.43472222222222201</v>
      </c>
      <c r="D235" s="49" t="s">
        <v>247</v>
      </c>
      <c r="E235" s="49">
        <v>3</v>
      </c>
      <c r="F235" s="52">
        <v>62</v>
      </c>
      <c r="G235" s="53">
        <v>2</v>
      </c>
      <c r="H235" s="54">
        <v>3.2258064516129031E-2</v>
      </c>
      <c r="I235" s="55">
        <v>6.83E-2</v>
      </c>
      <c r="J235" s="53">
        <v>314.15899999999999</v>
      </c>
      <c r="K235" s="53">
        <v>0.75129999999999997</v>
      </c>
      <c r="L235" s="53">
        <v>11</v>
      </c>
      <c r="M235" s="56">
        <v>209.07693331558633</v>
      </c>
      <c r="N235" s="53">
        <v>1031</v>
      </c>
      <c r="O235" s="57" t="s">
        <v>81</v>
      </c>
      <c r="P235" s="57" t="s">
        <v>82</v>
      </c>
      <c r="Q235" s="53" t="s">
        <v>83</v>
      </c>
      <c r="R235" s="53" t="s">
        <v>84</v>
      </c>
      <c r="S235" s="53"/>
      <c r="T235" s="59">
        <v>1</v>
      </c>
      <c r="U235" s="59">
        <v>1</v>
      </c>
      <c r="V235" s="53">
        <v>6.5</v>
      </c>
      <c r="W235" s="53"/>
      <c r="X235" s="53"/>
      <c r="Y235" s="9">
        <f t="shared" si="6"/>
        <v>209.07693331558633</v>
      </c>
      <c r="Z235" s="60" t="s">
        <v>73</v>
      </c>
      <c r="AA235" s="58" t="s">
        <v>300</v>
      </c>
      <c r="AB235" s="58" t="s">
        <v>75</v>
      </c>
      <c r="AC235" s="61" t="s">
        <v>221</v>
      </c>
      <c r="AD235" s="53" t="s">
        <v>85</v>
      </c>
      <c r="AE235" s="56">
        <f t="shared" si="7"/>
        <v>87.671304933333303</v>
      </c>
      <c r="AF235" s="56">
        <v>87.671304933333303</v>
      </c>
      <c r="AG235" s="62"/>
      <c r="AH235" s="63"/>
      <c r="AI235" s="61"/>
      <c r="AJ235" s="58"/>
      <c r="AK235" s="58"/>
      <c r="AL235" s="58"/>
      <c r="AM235" s="58"/>
      <c r="AN235" s="58"/>
      <c r="AO235" s="58"/>
    </row>
    <row r="236" spans="1:41" x14ac:dyDescent="0.2">
      <c r="A236" s="49" t="s">
        <v>67</v>
      </c>
      <c r="B236" s="50">
        <v>43256</v>
      </c>
      <c r="C236" s="51">
        <v>0.43472222222222201</v>
      </c>
      <c r="D236" s="49" t="s">
        <v>247</v>
      </c>
      <c r="E236" s="49">
        <v>3</v>
      </c>
      <c r="F236" s="52">
        <v>62</v>
      </c>
      <c r="G236" s="53">
        <v>2</v>
      </c>
      <c r="H236" s="54">
        <v>3.2258064516129031E-2</v>
      </c>
      <c r="I236" s="55">
        <v>6.83E-2</v>
      </c>
      <c r="J236" s="53">
        <v>314.15899999999999</v>
      </c>
      <c r="K236" s="53">
        <v>0.75129999999999997</v>
      </c>
      <c r="L236" s="53">
        <v>11</v>
      </c>
      <c r="M236" s="56">
        <v>209.07693331558633</v>
      </c>
      <c r="N236" s="53">
        <v>1037</v>
      </c>
      <c r="O236" s="57" t="s">
        <v>86</v>
      </c>
      <c r="P236" s="57" t="s">
        <v>82</v>
      </c>
      <c r="Q236" s="53" t="s">
        <v>87</v>
      </c>
      <c r="R236" s="53" t="s">
        <v>84</v>
      </c>
      <c r="S236" s="53"/>
      <c r="T236" s="59">
        <v>30</v>
      </c>
      <c r="U236" s="59">
        <v>30</v>
      </c>
      <c r="V236" s="53">
        <v>3.7</v>
      </c>
      <c r="W236" s="53"/>
      <c r="X236" s="53"/>
      <c r="Y236" s="9">
        <f t="shared" si="6"/>
        <v>6272.30799946759</v>
      </c>
      <c r="Z236" s="60" t="s">
        <v>73</v>
      </c>
      <c r="AA236" s="58" t="s">
        <v>300</v>
      </c>
      <c r="AB236" s="58" t="s">
        <v>75</v>
      </c>
      <c r="AC236" s="61" t="s">
        <v>221</v>
      </c>
      <c r="AD236" s="53" t="s">
        <v>85</v>
      </c>
      <c r="AE236" s="56">
        <f t="shared" si="7"/>
        <v>11.494030613333329</v>
      </c>
      <c r="AF236" s="56">
        <v>11.494030613333329</v>
      </c>
      <c r="AG236" s="62"/>
      <c r="AH236" s="63"/>
      <c r="AI236" s="61"/>
      <c r="AJ236" s="58"/>
      <c r="AK236" s="58"/>
      <c r="AL236" s="58"/>
      <c r="AM236" s="58"/>
      <c r="AN236" s="58"/>
      <c r="AO236" s="58"/>
    </row>
    <row r="237" spans="1:41" x14ac:dyDescent="0.2">
      <c r="A237" s="49" t="s">
        <v>67</v>
      </c>
      <c r="B237" s="50">
        <v>43256</v>
      </c>
      <c r="C237" s="51">
        <v>0.43472222222222201</v>
      </c>
      <c r="D237" s="49" t="s">
        <v>247</v>
      </c>
      <c r="E237" s="49">
        <v>3</v>
      </c>
      <c r="F237" s="52">
        <v>62</v>
      </c>
      <c r="G237" s="53">
        <v>2</v>
      </c>
      <c r="H237" s="54">
        <v>3.2258064516129031E-2</v>
      </c>
      <c r="I237" s="55">
        <v>6.83E-2</v>
      </c>
      <c r="J237" s="53">
        <v>314.15899999999999</v>
      </c>
      <c r="K237" s="53">
        <v>0.75129999999999997</v>
      </c>
      <c r="L237" s="53">
        <v>11</v>
      </c>
      <c r="M237" s="56">
        <v>209.07693331558633</v>
      </c>
      <c r="N237" s="53">
        <v>1761</v>
      </c>
      <c r="O237" s="57" t="s">
        <v>287</v>
      </c>
      <c r="P237" s="57" t="s">
        <v>82</v>
      </c>
      <c r="Q237" s="53" t="s">
        <v>288</v>
      </c>
      <c r="R237" s="53" t="s">
        <v>289</v>
      </c>
      <c r="S237" s="53"/>
      <c r="T237" s="59">
        <v>1</v>
      </c>
      <c r="U237" s="59">
        <v>1</v>
      </c>
      <c r="V237" s="53">
        <v>4.5999999999999996</v>
      </c>
      <c r="W237" s="53"/>
      <c r="X237" s="53"/>
      <c r="Y237" s="9">
        <f t="shared" si="6"/>
        <v>209.07693331558633</v>
      </c>
      <c r="Z237" s="60" t="s">
        <v>73</v>
      </c>
      <c r="AA237" s="58" t="s">
        <v>300</v>
      </c>
      <c r="AB237" s="58" t="s">
        <v>75</v>
      </c>
      <c r="AC237" s="61" t="s">
        <v>221</v>
      </c>
      <c r="AD237" s="53" t="s">
        <v>215</v>
      </c>
      <c r="AE237" s="56">
        <f t="shared" si="7"/>
        <v>3.21266847375</v>
      </c>
      <c r="AF237" s="56">
        <v>3.21266847375</v>
      </c>
      <c r="AG237" s="62"/>
      <c r="AH237" s="63"/>
      <c r="AI237" s="61"/>
      <c r="AJ237" s="58"/>
      <c r="AK237" s="58"/>
      <c r="AL237" s="58"/>
      <c r="AM237" s="58"/>
      <c r="AN237" s="58"/>
      <c r="AO237" s="58"/>
    </row>
    <row r="238" spans="1:41" x14ac:dyDescent="0.2">
      <c r="A238" s="49" t="s">
        <v>67</v>
      </c>
      <c r="B238" s="50">
        <v>43256</v>
      </c>
      <c r="C238" s="51">
        <v>0.43472222222222201</v>
      </c>
      <c r="D238" s="49" t="s">
        <v>247</v>
      </c>
      <c r="E238" s="49">
        <v>3</v>
      </c>
      <c r="F238" s="52">
        <v>62</v>
      </c>
      <c r="G238" s="53">
        <v>2</v>
      </c>
      <c r="H238" s="54">
        <v>3.2258064516129031E-2</v>
      </c>
      <c r="I238" s="55">
        <v>6.83E-2</v>
      </c>
      <c r="J238" s="53">
        <v>314.15899999999999</v>
      </c>
      <c r="K238" s="53">
        <v>0.75129999999999997</v>
      </c>
      <c r="L238" s="53">
        <v>11</v>
      </c>
      <c r="M238" s="56">
        <v>209.07693331558633</v>
      </c>
      <c r="N238" s="53">
        <v>1119</v>
      </c>
      <c r="O238" s="58" t="s">
        <v>197</v>
      </c>
      <c r="P238" s="57" t="s">
        <v>82</v>
      </c>
      <c r="Q238" s="53" t="s">
        <v>198</v>
      </c>
      <c r="R238" s="53" t="s">
        <v>199</v>
      </c>
      <c r="S238" s="53"/>
      <c r="T238" s="59">
        <v>1</v>
      </c>
      <c r="U238" s="59">
        <v>1</v>
      </c>
      <c r="V238" s="53">
        <v>3.7</v>
      </c>
      <c r="W238" s="53"/>
      <c r="X238" s="53"/>
      <c r="Y238" s="9">
        <f t="shared" si="6"/>
        <v>209.07693331558633</v>
      </c>
      <c r="Z238" s="60" t="s">
        <v>73</v>
      </c>
      <c r="AA238" s="58" t="s">
        <v>300</v>
      </c>
      <c r="AB238" s="58" t="s">
        <v>75</v>
      </c>
      <c r="AC238" s="61" t="s">
        <v>221</v>
      </c>
      <c r="AD238" s="53" t="s">
        <v>150</v>
      </c>
      <c r="AE238" s="56">
        <f t="shared" si="7"/>
        <v>15.188540453333331</v>
      </c>
      <c r="AF238" s="56">
        <v>15.188540453333331</v>
      </c>
      <c r="AG238" s="62"/>
      <c r="AH238" s="63"/>
      <c r="AI238" s="61"/>
      <c r="AJ238" s="58"/>
      <c r="AK238" s="58"/>
      <c r="AL238" s="58"/>
      <c r="AM238" s="58"/>
      <c r="AN238" s="58"/>
      <c r="AO238" s="58"/>
    </row>
    <row r="239" spans="1:41" x14ac:dyDescent="0.2">
      <c r="A239" s="49" t="s">
        <v>67</v>
      </c>
      <c r="B239" s="50">
        <v>43256</v>
      </c>
      <c r="C239" s="51">
        <v>0.43472222222222201</v>
      </c>
      <c r="D239" s="49" t="s">
        <v>247</v>
      </c>
      <c r="E239" s="49">
        <v>3</v>
      </c>
      <c r="F239" s="52">
        <v>62</v>
      </c>
      <c r="G239" s="53">
        <v>2</v>
      </c>
      <c r="H239" s="54">
        <v>3.2258064516129031E-2</v>
      </c>
      <c r="I239" s="55">
        <v>6.83E-2</v>
      </c>
      <c r="J239" s="53">
        <v>314.15899999999999</v>
      </c>
      <c r="K239" s="53">
        <v>0.75129999999999997</v>
      </c>
      <c r="L239" s="53">
        <v>11</v>
      </c>
      <c r="M239" s="56">
        <v>209.07693331558633</v>
      </c>
      <c r="N239" s="53">
        <v>1135</v>
      </c>
      <c r="O239" s="58" t="s">
        <v>282</v>
      </c>
      <c r="P239" s="57" t="s">
        <v>82</v>
      </c>
      <c r="Q239" s="53" t="s">
        <v>127</v>
      </c>
      <c r="R239" s="53" t="s">
        <v>283</v>
      </c>
      <c r="S239" s="53"/>
      <c r="T239" s="59">
        <v>1</v>
      </c>
      <c r="U239" s="59">
        <v>1</v>
      </c>
      <c r="V239" s="53">
        <v>9.3000000000000007</v>
      </c>
      <c r="W239" s="53"/>
      <c r="X239" s="53"/>
      <c r="Y239" s="9">
        <f t="shared" si="6"/>
        <v>209.07693331558633</v>
      </c>
      <c r="Z239" s="60" t="s">
        <v>73</v>
      </c>
      <c r="AA239" s="58" t="s">
        <v>300</v>
      </c>
      <c r="AB239" s="58" t="s">
        <v>75</v>
      </c>
      <c r="AC239" s="61" t="s">
        <v>221</v>
      </c>
      <c r="AD239" s="53" t="s">
        <v>129</v>
      </c>
      <c r="AE239" s="56">
        <f t="shared" si="7"/>
        <v>17.578766844999997</v>
      </c>
      <c r="AF239" s="56">
        <v>17.578766844999997</v>
      </c>
      <c r="AG239" s="62"/>
      <c r="AH239" s="63"/>
      <c r="AI239" s="61"/>
      <c r="AJ239" s="58"/>
      <c r="AK239" s="58"/>
      <c r="AL239" s="58"/>
      <c r="AM239" s="58"/>
      <c r="AN239" s="58"/>
      <c r="AO239" s="58"/>
    </row>
    <row r="240" spans="1:41" x14ac:dyDescent="0.2">
      <c r="A240" s="49" t="s">
        <v>67</v>
      </c>
      <c r="B240" s="50">
        <v>43256</v>
      </c>
      <c r="C240" s="51">
        <v>0.43472222222222201</v>
      </c>
      <c r="D240" s="49" t="s">
        <v>247</v>
      </c>
      <c r="E240" s="49">
        <v>3</v>
      </c>
      <c r="F240" s="52">
        <v>62</v>
      </c>
      <c r="G240" s="53">
        <v>2</v>
      </c>
      <c r="H240" s="54">
        <v>3.2258064516129031E-2</v>
      </c>
      <c r="I240" s="55">
        <v>6.83E-2</v>
      </c>
      <c r="J240" s="53">
        <v>314.15899999999999</v>
      </c>
      <c r="K240" s="53">
        <v>0.75129999999999997</v>
      </c>
      <c r="L240" s="53">
        <v>11</v>
      </c>
      <c r="M240" s="56">
        <v>209.07693331558633</v>
      </c>
      <c r="N240" s="53">
        <v>1806</v>
      </c>
      <c r="O240" s="57" t="s">
        <v>206</v>
      </c>
      <c r="P240" s="57" t="s">
        <v>82</v>
      </c>
      <c r="Q240" s="53" t="s">
        <v>207</v>
      </c>
      <c r="R240" s="53" t="s">
        <v>84</v>
      </c>
      <c r="S240" s="53"/>
      <c r="T240" s="59">
        <v>1</v>
      </c>
      <c r="U240" s="59">
        <v>1</v>
      </c>
      <c r="V240" s="53">
        <v>4.5999999999999996</v>
      </c>
      <c r="W240" s="53"/>
      <c r="X240" s="53"/>
      <c r="Y240" s="9">
        <f t="shared" si="6"/>
        <v>209.07693331558633</v>
      </c>
      <c r="Z240" s="60" t="s">
        <v>73</v>
      </c>
      <c r="AA240" s="58" t="s">
        <v>300</v>
      </c>
      <c r="AB240" s="58" t="s">
        <v>75</v>
      </c>
      <c r="AC240" s="61" t="s">
        <v>221</v>
      </c>
      <c r="AD240" s="53" t="s">
        <v>120</v>
      </c>
      <c r="AE240" s="56">
        <f t="shared" si="7"/>
        <v>32.973081443333328</v>
      </c>
      <c r="AF240" s="56">
        <v>32.973081443333328</v>
      </c>
      <c r="AG240" s="62"/>
      <c r="AH240" s="63"/>
      <c r="AI240" s="61"/>
      <c r="AJ240" s="58"/>
      <c r="AK240" s="58"/>
      <c r="AL240" s="58"/>
      <c r="AM240" s="58"/>
      <c r="AN240" s="58"/>
      <c r="AO240" s="58"/>
    </row>
    <row r="241" spans="1:41" x14ac:dyDescent="0.2">
      <c r="A241" s="49" t="s">
        <v>67</v>
      </c>
      <c r="B241" s="50">
        <v>43256</v>
      </c>
      <c r="C241" s="51">
        <v>0.43472222222222201</v>
      </c>
      <c r="D241" s="49" t="s">
        <v>247</v>
      </c>
      <c r="E241" s="49">
        <v>3</v>
      </c>
      <c r="F241" s="52">
        <v>62</v>
      </c>
      <c r="G241" s="53">
        <v>2</v>
      </c>
      <c r="H241" s="54">
        <v>3.2258064516129031E-2</v>
      </c>
      <c r="I241" s="55">
        <v>6.83E-2</v>
      </c>
      <c r="J241" s="53">
        <v>314.15899999999999</v>
      </c>
      <c r="K241" s="53">
        <v>0.75129999999999997</v>
      </c>
      <c r="L241" s="53">
        <v>11</v>
      </c>
      <c r="M241" s="56">
        <v>209.07693331558633</v>
      </c>
      <c r="N241" s="53">
        <v>1419</v>
      </c>
      <c r="O241" s="57" t="s">
        <v>94</v>
      </c>
      <c r="P241" s="57" t="s">
        <v>82</v>
      </c>
      <c r="Q241" s="53" t="s">
        <v>95</v>
      </c>
      <c r="R241" s="53" t="s">
        <v>96</v>
      </c>
      <c r="S241" s="53"/>
      <c r="T241" s="59">
        <v>370</v>
      </c>
      <c r="U241" s="59">
        <v>742</v>
      </c>
      <c r="V241" s="53">
        <v>0.8</v>
      </c>
      <c r="W241" s="53">
        <v>0.8</v>
      </c>
      <c r="X241" s="53">
        <v>0.8</v>
      </c>
      <c r="Y241" s="9">
        <f t="shared" si="6"/>
        <v>77358.465326766935</v>
      </c>
      <c r="Z241" s="60" t="s">
        <v>97</v>
      </c>
      <c r="AA241" s="58" t="s">
        <v>300</v>
      </c>
      <c r="AB241" s="58" t="s">
        <v>75</v>
      </c>
      <c r="AC241" s="61" t="s">
        <v>221</v>
      </c>
      <c r="AD241" s="53" t="s">
        <v>85</v>
      </c>
      <c r="AE241" s="56">
        <f t="shared" si="7"/>
        <v>0.17999999999999997</v>
      </c>
      <c r="AF241" s="56">
        <v>0.18</v>
      </c>
      <c r="AG241" s="56">
        <v>0.18</v>
      </c>
      <c r="AH241" s="56">
        <v>0.18</v>
      </c>
      <c r="AI241" s="56">
        <v>0.18</v>
      </c>
      <c r="AJ241" s="56">
        <v>0.18</v>
      </c>
      <c r="AK241" s="56">
        <v>0.18</v>
      </c>
      <c r="AL241" s="56">
        <v>0.18</v>
      </c>
      <c r="AM241" s="56">
        <v>0.18</v>
      </c>
      <c r="AN241" s="56">
        <v>0.18</v>
      </c>
      <c r="AO241" s="56">
        <v>0.18</v>
      </c>
    </row>
    <row r="242" spans="1:41" x14ac:dyDescent="0.2">
      <c r="A242" s="49" t="s">
        <v>67</v>
      </c>
      <c r="B242" s="50">
        <v>43256</v>
      </c>
      <c r="C242" s="51">
        <v>0.43472222222222201</v>
      </c>
      <c r="D242" s="49" t="s">
        <v>247</v>
      </c>
      <c r="E242" s="49">
        <v>3</v>
      </c>
      <c r="F242" s="52">
        <v>62</v>
      </c>
      <c r="G242" s="53">
        <v>2</v>
      </c>
      <c r="H242" s="54">
        <v>3.2258064516129031E-2</v>
      </c>
      <c r="I242" s="55">
        <v>6.83E-2</v>
      </c>
      <c r="J242" s="53">
        <v>314.15899999999999</v>
      </c>
      <c r="K242" s="53">
        <v>0.75129999999999997</v>
      </c>
      <c r="L242" s="53">
        <v>11</v>
      </c>
      <c r="M242" s="56">
        <v>209.07693331558633</v>
      </c>
      <c r="N242" s="53">
        <v>1519</v>
      </c>
      <c r="O242" s="58" t="s">
        <v>301</v>
      </c>
      <c r="P242" s="57" t="s">
        <v>82</v>
      </c>
      <c r="Q242" s="53" t="s">
        <v>302</v>
      </c>
      <c r="R242" s="53" t="s">
        <v>84</v>
      </c>
      <c r="S242" s="53"/>
      <c r="T242" s="59">
        <v>1</v>
      </c>
      <c r="U242" s="59">
        <v>8</v>
      </c>
      <c r="V242" s="53">
        <v>0.9</v>
      </c>
      <c r="W242" s="53"/>
      <c r="X242" s="53"/>
      <c r="Y242" s="9">
        <f t="shared" si="6"/>
        <v>209.07693331558633</v>
      </c>
      <c r="Z242" s="60" t="s">
        <v>97</v>
      </c>
      <c r="AA242" s="58" t="s">
        <v>300</v>
      </c>
      <c r="AB242" s="58" t="s">
        <v>75</v>
      </c>
      <c r="AC242" s="61" t="s">
        <v>221</v>
      </c>
      <c r="AD242" s="53" t="s">
        <v>85</v>
      </c>
      <c r="AE242" s="56">
        <f t="shared" si="7"/>
        <v>0.381703185</v>
      </c>
      <c r="AF242" s="56">
        <v>0.381703185</v>
      </c>
      <c r="AG242" s="62"/>
      <c r="AH242" s="63"/>
      <c r="AI242" s="61"/>
      <c r="AJ242" s="58"/>
      <c r="AK242" s="58"/>
      <c r="AL242" s="58"/>
      <c r="AM242" s="58"/>
      <c r="AN242" s="58"/>
      <c r="AO242" s="58"/>
    </row>
    <row r="243" spans="1:41" x14ac:dyDescent="0.2">
      <c r="A243" s="49" t="s">
        <v>67</v>
      </c>
      <c r="B243" s="50">
        <v>43256</v>
      </c>
      <c r="C243" s="51">
        <v>0.43541666666666701</v>
      </c>
      <c r="D243" s="49" t="s">
        <v>224</v>
      </c>
      <c r="E243" s="49"/>
      <c r="F243" s="52">
        <v>62</v>
      </c>
      <c r="G243" s="53">
        <v>1</v>
      </c>
      <c r="H243" s="54">
        <v>1.6129032258064516E-2</v>
      </c>
      <c r="I243" s="55">
        <v>6.83E-2</v>
      </c>
      <c r="J243" s="53">
        <v>314.15899999999999</v>
      </c>
      <c r="K243" s="53">
        <v>1.0928</v>
      </c>
      <c r="L243" s="53">
        <v>16</v>
      </c>
      <c r="M243" s="56">
        <v>287.48078330893117</v>
      </c>
      <c r="N243" s="53">
        <v>145</v>
      </c>
      <c r="O243" s="57" t="s">
        <v>69</v>
      </c>
      <c r="P243" s="58" t="s">
        <v>70</v>
      </c>
      <c r="Q243" s="53" t="s">
        <v>71</v>
      </c>
      <c r="R243" s="53" t="s">
        <v>72</v>
      </c>
      <c r="S243" s="53"/>
      <c r="T243" s="59">
        <v>2</v>
      </c>
      <c r="U243" s="59">
        <v>2</v>
      </c>
      <c r="V243" s="53">
        <v>18.5</v>
      </c>
      <c r="W243" s="53"/>
      <c r="X243" s="53"/>
      <c r="Y243" s="9">
        <f t="shared" si="6"/>
        <v>574.96156661786233</v>
      </c>
      <c r="Z243" s="60" t="s">
        <v>73</v>
      </c>
      <c r="AA243" s="58" t="s">
        <v>314</v>
      </c>
      <c r="AB243" s="58" t="s">
        <v>75</v>
      </c>
      <c r="AC243" s="61" t="s">
        <v>221</v>
      </c>
      <c r="AD243" s="53" t="s">
        <v>77</v>
      </c>
      <c r="AE243" s="56">
        <f t="shared" si="7"/>
        <v>438.17169445499997</v>
      </c>
      <c r="AF243" s="56">
        <v>438.17169445499997</v>
      </c>
      <c r="AG243" s="62"/>
      <c r="AH243" s="63"/>
      <c r="AI243" s="61"/>
      <c r="AJ243" s="58"/>
      <c r="AK243" s="58"/>
      <c r="AL243" s="58"/>
      <c r="AM243" s="58"/>
      <c r="AN243" s="58"/>
      <c r="AO243" s="58"/>
    </row>
    <row r="244" spans="1:41" x14ac:dyDescent="0.2">
      <c r="A244" s="49" t="s">
        <v>67</v>
      </c>
      <c r="B244" s="50">
        <v>43256</v>
      </c>
      <c r="C244" s="51">
        <v>0.43541666666666701</v>
      </c>
      <c r="D244" s="49" t="s">
        <v>224</v>
      </c>
      <c r="E244" s="49"/>
      <c r="F244" s="52">
        <v>62</v>
      </c>
      <c r="G244" s="53">
        <v>1</v>
      </c>
      <c r="H244" s="54">
        <v>1.6129032258064516E-2</v>
      </c>
      <c r="I244" s="55">
        <v>6.83E-2</v>
      </c>
      <c r="J244" s="53">
        <v>314.15899999999999</v>
      </c>
      <c r="K244" s="53">
        <v>1.0928</v>
      </c>
      <c r="L244" s="53">
        <v>16</v>
      </c>
      <c r="M244" s="56">
        <v>287.48078330893117</v>
      </c>
      <c r="N244" s="53">
        <v>190</v>
      </c>
      <c r="O244" s="57" t="s">
        <v>102</v>
      </c>
      <c r="P244" s="58" t="s">
        <v>70</v>
      </c>
      <c r="Q244" s="53" t="s">
        <v>103</v>
      </c>
      <c r="R244" s="53" t="s">
        <v>84</v>
      </c>
      <c r="S244" s="53"/>
      <c r="T244" s="59">
        <v>2</v>
      </c>
      <c r="U244" s="59">
        <v>2</v>
      </c>
      <c r="V244" s="53">
        <v>5.6</v>
      </c>
      <c r="W244" s="53"/>
      <c r="X244" s="53"/>
      <c r="Y244" s="9">
        <f t="shared" si="6"/>
        <v>574.96156661786233</v>
      </c>
      <c r="Z244" s="60" t="s">
        <v>73</v>
      </c>
      <c r="AA244" s="58" t="s">
        <v>314</v>
      </c>
      <c r="AB244" s="58" t="s">
        <v>75</v>
      </c>
      <c r="AC244" s="61" t="s">
        <v>221</v>
      </c>
      <c r="AD244" s="53" t="s">
        <v>104</v>
      </c>
      <c r="AE244" s="56">
        <f t="shared" si="7"/>
        <v>57.253121557500002</v>
      </c>
      <c r="AF244" s="56">
        <v>57.253121557500002</v>
      </c>
      <c r="AG244" s="62"/>
      <c r="AH244" s="63"/>
      <c r="AI244" s="61"/>
      <c r="AJ244" s="58"/>
      <c r="AK244" s="58"/>
      <c r="AL244" s="58"/>
      <c r="AM244" s="58"/>
      <c r="AN244" s="58"/>
      <c r="AO244" s="58"/>
    </row>
    <row r="245" spans="1:41" x14ac:dyDescent="0.2">
      <c r="A245" s="49" t="s">
        <v>67</v>
      </c>
      <c r="B245" s="50">
        <v>43256</v>
      </c>
      <c r="C245" s="51">
        <v>0.43541666666666701</v>
      </c>
      <c r="D245" s="49" t="s">
        <v>224</v>
      </c>
      <c r="E245" s="49"/>
      <c r="F245" s="52">
        <v>62</v>
      </c>
      <c r="G245" s="53">
        <v>1</v>
      </c>
      <c r="H245" s="54">
        <v>1.6129032258064516E-2</v>
      </c>
      <c r="I245" s="55">
        <v>6.83E-2</v>
      </c>
      <c r="J245" s="53">
        <v>314.15899999999999</v>
      </c>
      <c r="K245" s="53">
        <v>1.0928</v>
      </c>
      <c r="L245" s="53">
        <v>16</v>
      </c>
      <c r="M245" s="56">
        <v>287.48078330893117</v>
      </c>
      <c r="N245" s="53">
        <v>631</v>
      </c>
      <c r="O245" s="57" t="s">
        <v>146</v>
      </c>
      <c r="P245" s="58" t="s">
        <v>70</v>
      </c>
      <c r="Q245" s="53" t="s">
        <v>147</v>
      </c>
      <c r="R245" s="53" t="s">
        <v>84</v>
      </c>
      <c r="S245" s="53"/>
      <c r="T245" s="59">
        <v>1</v>
      </c>
      <c r="U245" s="59">
        <v>1</v>
      </c>
      <c r="V245" s="53">
        <v>13</v>
      </c>
      <c r="W245" s="53"/>
      <c r="X245" s="53"/>
      <c r="Y245" s="9">
        <f t="shared" si="6"/>
        <v>287.48078330893117</v>
      </c>
      <c r="Z245" s="60" t="s">
        <v>73</v>
      </c>
      <c r="AA245" s="58" t="s">
        <v>314</v>
      </c>
      <c r="AB245" s="58" t="s">
        <v>75</v>
      </c>
      <c r="AC245" s="61" t="s">
        <v>221</v>
      </c>
      <c r="AD245" s="53" t="s">
        <v>77</v>
      </c>
      <c r="AE245" s="56">
        <f t="shared" si="7"/>
        <v>211.55467059999998</v>
      </c>
      <c r="AF245" s="56">
        <v>211.55467059999998</v>
      </c>
      <c r="AG245" s="62"/>
      <c r="AH245" s="63"/>
      <c r="AI245" s="61"/>
      <c r="AJ245" s="58"/>
      <c r="AK245" s="58"/>
      <c r="AL245" s="58"/>
      <c r="AM245" s="58"/>
      <c r="AN245" s="58"/>
      <c r="AO245" s="58"/>
    </row>
    <row r="246" spans="1:41" x14ac:dyDescent="0.2">
      <c r="A246" s="49" t="s">
        <v>67</v>
      </c>
      <c r="B246" s="50">
        <v>43256</v>
      </c>
      <c r="C246" s="51">
        <v>0.43541666666666701</v>
      </c>
      <c r="D246" s="49" t="s">
        <v>224</v>
      </c>
      <c r="E246" s="49"/>
      <c r="F246" s="52">
        <v>62</v>
      </c>
      <c r="G246" s="53">
        <v>1</v>
      </c>
      <c r="H246" s="54">
        <v>1.6129032258064516E-2</v>
      </c>
      <c r="I246" s="55">
        <v>6.83E-2</v>
      </c>
      <c r="J246" s="53">
        <v>314.15899999999999</v>
      </c>
      <c r="K246" s="53">
        <v>1.0928</v>
      </c>
      <c r="L246" s="53">
        <v>16</v>
      </c>
      <c r="M246" s="56">
        <v>287.48078330893117</v>
      </c>
      <c r="N246" s="53">
        <v>1037</v>
      </c>
      <c r="O246" s="57" t="s">
        <v>86</v>
      </c>
      <c r="P246" s="57" t="s">
        <v>82</v>
      </c>
      <c r="Q246" s="53" t="s">
        <v>87</v>
      </c>
      <c r="R246" s="53" t="s">
        <v>84</v>
      </c>
      <c r="S246" s="53"/>
      <c r="T246" s="59">
        <v>7</v>
      </c>
      <c r="U246" s="59">
        <v>7</v>
      </c>
      <c r="V246" s="53">
        <v>3.7</v>
      </c>
      <c r="W246" s="53"/>
      <c r="X246" s="53"/>
      <c r="Y246" s="9">
        <f t="shared" si="6"/>
        <v>2012.3654831625181</v>
      </c>
      <c r="Z246" s="60" t="s">
        <v>73</v>
      </c>
      <c r="AA246" s="58" t="s">
        <v>314</v>
      </c>
      <c r="AB246" s="58" t="s">
        <v>75</v>
      </c>
      <c r="AC246" s="61" t="s">
        <v>221</v>
      </c>
      <c r="AD246" s="53" t="s">
        <v>85</v>
      </c>
      <c r="AE246" s="56">
        <f t="shared" si="7"/>
        <v>11.494030613333329</v>
      </c>
      <c r="AF246" s="56">
        <v>11.494030613333329</v>
      </c>
      <c r="AG246" s="62"/>
      <c r="AH246" s="63"/>
      <c r="AI246" s="61"/>
      <c r="AJ246" s="58"/>
      <c r="AK246" s="58"/>
      <c r="AL246" s="58"/>
      <c r="AM246" s="58"/>
      <c r="AN246" s="58"/>
      <c r="AO246" s="58"/>
    </row>
    <row r="247" spans="1:41" x14ac:dyDescent="0.2">
      <c r="A247" s="49" t="s">
        <v>67</v>
      </c>
      <c r="B247" s="50">
        <v>43256</v>
      </c>
      <c r="C247" s="51">
        <v>0.43541666666666701</v>
      </c>
      <c r="D247" s="49" t="s">
        <v>224</v>
      </c>
      <c r="E247" s="49"/>
      <c r="F247" s="52">
        <v>62</v>
      </c>
      <c r="G247" s="53">
        <v>1</v>
      </c>
      <c r="H247" s="54">
        <v>1.6129032258064516E-2</v>
      </c>
      <c r="I247" s="55">
        <v>6.83E-2</v>
      </c>
      <c r="J247" s="53">
        <v>314.15899999999999</v>
      </c>
      <c r="K247" s="53">
        <v>1.0928</v>
      </c>
      <c r="L247" s="53">
        <v>16</v>
      </c>
      <c r="M247" s="56">
        <v>287.48078330893117</v>
      </c>
      <c r="N247" s="53">
        <v>1733</v>
      </c>
      <c r="O247" s="57" t="s">
        <v>304</v>
      </c>
      <c r="P247" s="57" t="s">
        <v>82</v>
      </c>
      <c r="Q247" s="53" t="s">
        <v>89</v>
      </c>
      <c r="R247" s="53" t="s">
        <v>93</v>
      </c>
      <c r="S247" s="53"/>
      <c r="T247" s="59">
        <v>1</v>
      </c>
      <c r="U247" s="59">
        <v>1</v>
      </c>
      <c r="V247" s="53">
        <v>5.6</v>
      </c>
      <c r="W247" s="53"/>
      <c r="X247" s="53"/>
      <c r="Y247" s="9">
        <f t="shared" si="6"/>
        <v>287.48078330893117</v>
      </c>
      <c r="Z247" s="60" t="s">
        <v>73</v>
      </c>
      <c r="AA247" s="58" t="s">
        <v>314</v>
      </c>
      <c r="AB247" s="58" t="s">
        <v>75</v>
      </c>
      <c r="AC247" s="61" t="s">
        <v>221</v>
      </c>
      <c r="AD247" s="53" t="s">
        <v>91</v>
      </c>
      <c r="AE247" s="56">
        <f t="shared" si="7"/>
        <v>68.964183679999977</v>
      </c>
      <c r="AF247" s="56">
        <v>68.964183679999977</v>
      </c>
      <c r="AG247" s="62"/>
      <c r="AH247" s="63"/>
      <c r="AI247" s="61"/>
      <c r="AJ247" s="58"/>
      <c r="AK247" s="58"/>
      <c r="AL247" s="58"/>
      <c r="AM247" s="58"/>
      <c r="AN247" s="58"/>
      <c r="AO247" s="58"/>
    </row>
    <row r="248" spans="1:41" x14ac:dyDescent="0.2">
      <c r="A248" s="49" t="s">
        <v>67</v>
      </c>
      <c r="B248" s="50">
        <v>43256</v>
      </c>
      <c r="C248" s="51">
        <v>0.43541666666666701</v>
      </c>
      <c r="D248" s="49" t="s">
        <v>224</v>
      </c>
      <c r="E248" s="49"/>
      <c r="F248" s="52">
        <v>62</v>
      </c>
      <c r="G248" s="53">
        <v>1</v>
      </c>
      <c r="H248" s="54">
        <v>1.6129032258064516E-2</v>
      </c>
      <c r="I248" s="55">
        <v>6.83E-2</v>
      </c>
      <c r="J248" s="53">
        <v>314.15899999999999</v>
      </c>
      <c r="K248" s="53">
        <v>1.0928</v>
      </c>
      <c r="L248" s="53">
        <v>16</v>
      </c>
      <c r="M248" s="56">
        <v>287.48078330893117</v>
      </c>
      <c r="N248" s="53">
        <v>1419</v>
      </c>
      <c r="O248" s="57" t="s">
        <v>94</v>
      </c>
      <c r="P248" s="57" t="s">
        <v>82</v>
      </c>
      <c r="Q248" s="53" t="s">
        <v>95</v>
      </c>
      <c r="R248" s="53" t="s">
        <v>96</v>
      </c>
      <c r="S248" s="53"/>
      <c r="T248" s="59">
        <v>394</v>
      </c>
      <c r="U248" s="59">
        <v>792</v>
      </c>
      <c r="V248" s="53">
        <v>0.8</v>
      </c>
      <c r="W248" s="53">
        <v>0.8</v>
      </c>
      <c r="X248" s="53">
        <v>0.8</v>
      </c>
      <c r="Y248" s="9">
        <f t="shared" si="6"/>
        <v>113267.42862371888</v>
      </c>
      <c r="Z248" s="60" t="s">
        <v>97</v>
      </c>
      <c r="AA248" s="58" t="s">
        <v>314</v>
      </c>
      <c r="AB248" s="58" t="s">
        <v>75</v>
      </c>
      <c r="AC248" s="61" t="s">
        <v>221</v>
      </c>
      <c r="AD248" s="53" t="s">
        <v>85</v>
      </c>
      <c r="AE248" s="56">
        <f t="shared" si="7"/>
        <v>0.17999999999999997</v>
      </c>
      <c r="AF248" s="56">
        <v>0.18</v>
      </c>
      <c r="AG248" s="56">
        <v>0.18</v>
      </c>
      <c r="AH248" s="56">
        <v>0.18</v>
      </c>
      <c r="AI248" s="56">
        <v>0.18</v>
      </c>
      <c r="AJ248" s="56">
        <v>0.18</v>
      </c>
      <c r="AK248" s="56">
        <v>0.18</v>
      </c>
      <c r="AL248" s="56">
        <v>0.18</v>
      </c>
      <c r="AM248" s="56">
        <v>0.18</v>
      </c>
      <c r="AN248" s="56">
        <v>0.18</v>
      </c>
      <c r="AO248" s="56">
        <v>0.18</v>
      </c>
    </row>
    <row r="249" spans="1:41" x14ac:dyDescent="0.2">
      <c r="A249" s="49" t="s">
        <v>67</v>
      </c>
      <c r="B249" s="50">
        <v>43256</v>
      </c>
      <c r="C249" s="51">
        <v>0.48958333333333298</v>
      </c>
      <c r="D249" s="49" t="s">
        <v>236</v>
      </c>
      <c r="E249" s="49">
        <v>3</v>
      </c>
      <c r="F249" s="52">
        <v>52</v>
      </c>
      <c r="G249" s="53">
        <v>2</v>
      </c>
      <c r="H249" s="54">
        <v>3.8461538461538464E-2</v>
      </c>
      <c r="I249" s="55">
        <v>6.83E-2</v>
      </c>
      <c r="J249" s="53">
        <v>314.15899999999999</v>
      </c>
      <c r="K249" s="53">
        <v>0.75129999999999997</v>
      </c>
      <c r="L249" s="53">
        <v>11</v>
      </c>
      <c r="M249" s="56">
        <v>209.07693331558633</v>
      </c>
      <c r="N249" s="53">
        <v>145</v>
      </c>
      <c r="O249" s="57" t="s">
        <v>69</v>
      </c>
      <c r="P249" s="58" t="s">
        <v>70</v>
      </c>
      <c r="Q249" s="53" t="s">
        <v>71</v>
      </c>
      <c r="R249" s="53" t="s">
        <v>72</v>
      </c>
      <c r="S249" s="53"/>
      <c r="T249" s="59">
        <v>1</v>
      </c>
      <c r="U249" s="59">
        <v>1</v>
      </c>
      <c r="V249" s="53">
        <v>20.399999999999999</v>
      </c>
      <c r="W249" s="53"/>
      <c r="X249" s="53"/>
      <c r="Y249" s="9">
        <f t="shared" si="6"/>
        <v>209.07693331558633</v>
      </c>
      <c r="Z249" s="60" t="s">
        <v>73</v>
      </c>
      <c r="AA249" s="58" t="s">
        <v>317</v>
      </c>
      <c r="AB249" s="58" t="s">
        <v>75</v>
      </c>
      <c r="AC249" s="61" t="s">
        <v>221</v>
      </c>
      <c r="AD249" s="53" t="s">
        <v>77</v>
      </c>
      <c r="AE249" s="56">
        <f t="shared" si="7"/>
        <v>770.66344289999984</v>
      </c>
      <c r="AF249" s="56">
        <v>770.66344289999984</v>
      </c>
      <c r="AG249" s="62"/>
      <c r="AH249" s="63"/>
      <c r="AI249" s="61"/>
      <c r="AJ249" s="58"/>
      <c r="AK249" s="58"/>
      <c r="AL249" s="58"/>
      <c r="AM249" s="58"/>
      <c r="AN249" s="58"/>
      <c r="AO249" s="58"/>
    </row>
    <row r="250" spans="1:41" x14ac:dyDescent="0.2">
      <c r="A250" s="49" t="s">
        <v>67</v>
      </c>
      <c r="B250" s="50">
        <v>43256</v>
      </c>
      <c r="C250" s="51">
        <v>0.48958333333333298</v>
      </c>
      <c r="D250" s="49" t="s">
        <v>236</v>
      </c>
      <c r="E250" s="49">
        <v>3</v>
      </c>
      <c r="F250" s="52">
        <v>52</v>
      </c>
      <c r="G250" s="53">
        <v>2</v>
      </c>
      <c r="H250" s="54">
        <v>3.8461538461538464E-2</v>
      </c>
      <c r="I250" s="55">
        <v>6.83E-2</v>
      </c>
      <c r="J250" s="53">
        <v>314.15899999999999</v>
      </c>
      <c r="K250" s="53">
        <v>0.75129999999999997</v>
      </c>
      <c r="L250" s="53">
        <v>11</v>
      </c>
      <c r="M250" s="56">
        <v>209.07693331558633</v>
      </c>
      <c r="N250" s="53">
        <v>190</v>
      </c>
      <c r="O250" s="57" t="s">
        <v>296</v>
      </c>
      <c r="P250" s="58" t="s">
        <v>70</v>
      </c>
      <c r="Q250" s="53" t="s">
        <v>103</v>
      </c>
      <c r="R250" s="53" t="s">
        <v>84</v>
      </c>
      <c r="S250" s="53"/>
      <c r="T250" s="59">
        <v>1</v>
      </c>
      <c r="U250" s="59">
        <v>1</v>
      </c>
      <c r="V250" s="53">
        <v>5.6</v>
      </c>
      <c r="W250" s="53"/>
      <c r="X250" s="53"/>
      <c r="Y250" s="9">
        <f t="shared" si="6"/>
        <v>209.07693331558633</v>
      </c>
      <c r="Z250" s="60" t="s">
        <v>73</v>
      </c>
      <c r="AA250" s="58" t="s">
        <v>317</v>
      </c>
      <c r="AB250" s="58" t="s">
        <v>75</v>
      </c>
      <c r="AC250" s="61" t="s">
        <v>221</v>
      </c>
      <c r="AD250" s="53" t="s">
        <v>104</v>
      </c>
      <c r="AE250" s="56">
        <f t="shared" si="7"/>
        <v>91.131242719999989</v>
      </c>
      <c r="AF250" s="56">
        <v>91.131242719999989</v>
      </c>
      <c r="AG250" s="62"/>
      <c r="AH250" s="63"/>
      <c r="AI250" s="61"/>
      <c r="AJ250" s="58"/>
      <c r="AK250" s="58"/>
      <c r="AL250" s="58"/>
      <c r="AM250" s="58"/>
      <c r="AN250" s="58"/>
      <c r="AO250" s="58"/>
    </row>
    <row r="251" spans="1:41" x14ac:dyDescent="0.2">
      <c r="A251" s="49" t="s">
        <v>67</v>
      </c>
      <c r="B251" s="50">
        <v>43256</v>
      </c>
      <c r="C251" s="51">
        <v>0.48958333333333298</v>
      </c>
      <c r="D251" s="49" t="s">
        <v>236</v>
      </c>
      <c r="E251" s="49">
        <v>3</v>
      </c>
      <c r="F251" s="52">
        <v>52</v>
      </c>
      <c r="G251" s="53">
        <v>2</v>
      </c>
      <c r="H251" s="54">
        <v>3.8461538461538464E-2</v>
      </c>
      <c r="I251" s="55">
        <v>6.83E-2</v>
      </c>
      <c r="J251" s="53">
        <v>314.15899999999999</v>
      </c>
      <c r="K251" s="53">
        <v>0.75129999999999997</v>
      </c>
      <c r="L251" s="53">
        <v>11</v>
      </c>
      <c r="M251" s="56">
        <v>209.07693331558633</v>
      </c>
      <c r="N251" s="53">
        <v>1037</v>
      </c>
      <c r="O251" s="57" t="s">
        <v>86</v>
      </c>
      <c r="P251" s="57" t="s">
        <v>82</v>
      </c>
      <c r="Q251" s="53" t="s">
        <v>87</v>
      </c>
      <c r="R251" s="53" t="s">
        <v>84</v>
      </c>
      <c r="S251" s="53"/>
      <c r="T251" s="59">
        <v>18</v>
      </c>
      <c r="U251" s="59">
        <v>18</v>
      </c>
      <c r="V251" s="53">
        <v>2.8</v>
      </c>
      <c r="W251" s="53"/>
      <c r="X251" s="53"/>
      <c r="Y251" s="9">
        <f t="shared" si="6"/>
        <v>3763.3847996805539</v>
      </c>
      <c r="Z251" s="60" t="s">
        <v>73</v>
      </c>
      <c r="AA251" s="58" t="s">
        <v>317</v>
      </c>
      <c r="AB251" s="58" t="s">
        <v>75</v>
      </c>
      <c r="AC251" s="61" t="s">
        <v>221</v>
      </c>
      <c r="AD251" s="53" t="s">
        <v>85</v>
      </c>
      <c r="AE251" s="56">
        <f t="shared" si="7"/>
        <v>6.3706209216666645</v>
      </c>
      <c r="AF251" s="56">
        <v>6.3706209216666645</v>
      </c>
      <c r="AG251" s="62"/>
      <c r="AH251" s="63"/>
      <c r="AI251" s="61"/>
      <c r="AJ251" s="58"/>
      <c r="AK251" s="58"/>
      <c r="AL251" s="58"/>
      <c r="AM251" s="58"/>
      <c r="AN251" s="58"/>
      <c r="AO251" s="58"/>
    </row>
    <row r="252" spans="1:41" x14ac:dyDescent="0.2">
      <c r="A252" s="49" t="s">
        <v>67</v>
      </c>
      <c r="B252" s="50">
        <v>43256</v>
      </c>
      <c r="C252" s="51">
        <v>0.48958333333333298</v>
      </c>
      <c r="D252" s="49" t="s">
        <v>236</v>
      </c>
      <c r="E252" s="49">
        <v>3</v>
      </c>
      <c r="F252" s="52">
        <v>52</v>
      </c>
      <c r="G252" s="53">
        <v>2</v>
      </c>
      <c r="H252" s="54">
        <v>3.8461538461538464E-2</v>
      </c>
      <c r="I252" s="55">
        <v>6.83E-2</v>
      </c>
      <c r="J252" s="53">
        <v>314.15899999999999</v>
      </c>
      <c r="K252" s="53">
        <v>0.75129999999999997</v>
      </c>
      <c r="L252" s="53">
        <v>11</v>
      </c>
      <c r="M252" s="56">
        <v>209.07693331558633</v>
      </c>
      <c r="N252" s="53">
        <v>1135</v>
      </c>
      <c r="O252" s="58" t="s">
        <v>282</v>
      </c>
      <c r="P252" s="57" t="s">
        <v>82</v>
      </c>
      <c r="Q252" s="53" t="s">
        <v>127</v>
      </c>
      <c r="R252" s="53" t="s">
        <v>283</v>
      </c>
      <c r="S252" s="53"/>
      <c r="T252" s="59">
        <v>2</v>
      </c>
      <c r="U252" s="59">
        <v>2</v>
      </c>
      <c r="V252" s="53">
        <v>9.3000000000000007</v>
      </c>
      <c r="W252" s="53"/>
      <c r="X252" s="53"/>
      <c r="Y252" s="9">
        <f t="shared" si="6"/>
        <v>418.15386663117266</v>
      </c>
      <c r="Z252" s="60" t="s">
        <v>73</v>
      </c>
      <c r="AA252" s="58" t="s">
        <v>317</v>
      </c>
      <c r="AB252" s="58" t="s">
        <v>75</v>
      </c>
      <c r="AC252" s="61" t="s">
        <v>221</v>
      </c>
      <c r="AD252" s="53" t="s">
        <v>129</v>
      </c>
      <c r="AE252" s="56">
        <f t="shared" si="7"/>
        <v>17.578766844999997</v>
      </c>
      <c r="AF252" s="56">
        <v>17.578766844999997</v>
      </c>
      <c r="AG252" s="62"/>
      <c r="AH252" s="63"/>
      <c r="AI252" s="61"/>
      <c r="AJ252" s="58"/>
      <c r="AK252" s="58"/>
      <c r="AL252" s="58"/>
      <c r="AM252" s="58"/>
      <c r="AN252" s="58"/>
      <c r="AO252" s="58"/>
    </row>
    <row r="253" spans="1:41" x14ac:dyDescent="0.2">
      <c r="A253" s="49" t="s">
        <v>67</v>
      </c>
      <c r="B253" s="50">
        <v>43256</v>
      </c>
      <c r="C253" s="51">
        <v>0.48958333333333298</v>
      </c>
      <c r="D253" s="49" t="s">
        <v>236</v>
      </c>
      <c r="E253" s="49">
        <v>3</v>
      </c>
      <c r="F253" s="52">
        <v>52</v>
      </c>
      <c r="G253" s="53">
        <v>2</v>
      </c>
      <c r="H253" s="54">
        <v>3.8461538461538464E-2</v>
      </c>
      <c r="I253" s="55">
        <v>6.83E-2</v>
      </c>
      <c r="J253" s="53">
        <v>314.15899999999999</v>
      </c>
      <c r="K253" s="53">
        <v>0.75129999999999997</v>
      </c>
      <c r="L253" s="53">
        <v>11</v>
      </c>
      <c r="M253" s="56">
        <v>209.07693331558633</v>
      </c>
      <c r="N253" s="53">
        <v>1419</v>
      </c>
      <c r="O253" s="57" t="s">
        <v>94</v>
      </c>
      <c r="P253" s="57" t="s">
        <v>82</v>
      </c>
      <c r="Q253" s="53" t="s">
        <v>95</v>
      </c>
      <c r="R253" s="53" t="s">
        <v>96</v>
      </c>
      <c r="S253" s="53"/>
      <c r="T253" s="59">
        <v>380</v>
      </c>
      <c r="U253" s="59">
        <v>766</v>
      </c>
      <c r="V253" s="53">
        <v>0.8</v>
      </c>
      <c r="W253" s="53">
        <v>0.8</v>
      </c>
      <c r="X253" s="53">
        <v>0.8</v>
      </c>
      <c r="Y253" s="9">
        <f t="shared" si="6"/>
        <v>79449.234659922804</v>
      </c>
      <c r="Z253" s="60" t="s">
        <v>97</v>
      </c>
      <c r="AA253" s="58" t="s">
        <v>317</v>
      </c>
      <c r="AB253" s="58" t="s">
        <v>75</v>
      </c>
      <c r="AC253" s="61" t="s">
        <v>221</v>
      </c>
      <c r="AD253" s="53" t="s">
        <v>85</v>
      </c>
      <c r="AE253" s="56">
        <f t="shared" si="7"/>
        <v>0.17999999999999997</v>
      </c>
      <c r="AF253" s="56">
        <v>0.18</v>
      </c>
      <c r="AG253" s="56">
        <v>0.18</v>
      </c>
      <c r="AH253" s="56">
        <v>0.18</v>
      </c>
      <c r="AI253" s="56">
        <v>0.18</v>
      </c>
      <c r="AJ253" s="56">
        <v>0.18</v>
      </c>
      <c r="AK253" s="56">
        <v>0.18</v>
      </c>
      <c r="AL253" s="56">
        <v>0.18</v>
      </c>
      <c r="AM253" s="56">
        <v>0.18</v>
      </c>
      <c r="AN253" s="56">
        <v>0.18</v>
      </c>
      <c r="AO253" s="56">
        <v>0.18</v>
      </c>
    </row>
    <row r="254" spans="1:41" x14ac:dyDescent="0.2">
      <c r="A254" s="49" t="s">
        <v>67</v>
      </c>
      <c r="B254" s="50">
        <v>43256</v>
      </c>
      <c r="C254" s="51">
        <v>0.48958333333333298</v>
      </c>
      <c r="D254" s="49" t="s">
        <v>236</v>
      </c>
      <c r="E254" s="49">
        <v>3</v>
      </c>
      <c r="F254" s="52">
        <v>52</v>
      </c>
      <c r="G254" s="53">
        <v>2</v>
      </c>
      <c r="H254" s="54">
        <v>3.8461538461538464E-2</v>
      </c>
      <c r="I254" s="55">
        <v>6.83E-2</v>
      </c>
      <c r="J254" s="53">
        <v>314.15899999999999</v>
      </c>
      <c r="K254" s="53">
        <v>0.75129999999999997</v>
      </c>
      <c r="L254" s="53">
        <v>11</v>
      </c>
      <c r="M254" s="56">
        <v>209.07693331558633</v>
      </c>
      <c r="N254" s="53">
        <v>1471</v>
      </c>
      <c r="O254" s="57" t="s">
        <v>318</v>
      </c>
      <c r="P254" s="57" t="s">
        <v>82</v>
      </c>
      <c r="Q254" s="53" t="s">
        <v>319</v>
      </c>
      <c r="R254" s="53" t="s">
        <v>320</v>
      </c>
      <c r="S254" s="53"/>
      <c r="T254" s="59">
        <v>1</v>
      </c>
      <c r="U254" s="59">
        <v>8</v>
      </c>
      <c r="V254" s="53">
        <v>1.9</v>
      </c>
      <c r="W254" s="53"/>
      <c r="X254" s="53"/>
      <c r="Y254" s="9">
        <f t="shared" si="6"/>
        <v>209.07693331558633</v>
      </c>
      <c r="Z254" s="60" t="s">
        <v>97</v>
      </c>
      <c r="AA254" s="58" t="s">
        <v>317</v>
      </c>
      <c r="AB254" s="58" t="s">
        <v>75</v>
      </c>
      <c r="AC254" s="61" t="s">
        <v>221</v>
      </c>
      <c r="AD254" s="53" t="s">
        <v>321</v>
      </c>
      <c r="AE254" s="56">
        <f t="shared" si="7"/>
        <v>6.8589999999999991</v>
      </c>
      <c r="AF254" s="56">
        <v>6.8589999999999991</v>
      </c>
      <c r="AG254" s="62"/>
      <c r="AH254" s="63"/>
      <c r="AI254" s="61"/>
      <c r="AJ254" s="58"/>
      <c r="AK254" s="58"/>
      <c r="AL254" s="58"/>
      <c r="AM254" s="58"/>
      <c r="AN254" s="58"/>
      <c r="AO254" s="58"/>
    </row>
    <row r="255" spans="1:41" x14ac:dyDescent="0.2">
      <c r="A255" s="49" t="s">
        <v>67</v>
      </c>
      <c r="B255" s="50">
        <v>43256</v>
      </c>
      <c r="C255" s="51">
        <v>0.48958333333333298</v>
      </c>
      <c r="D255" s="49" t="s">
        <v>236</v>
      </c>
      <c r="E255" s="49">
        <v>3</v>
      </c>
      <c r="F255" s="52">
        <v>52</v>
      </c>
      <c r="G255" s="53">
        <v>2</v>
      </c>
      <c r="H255" s="54">
        <v>3.8461538461538464E-2</v>
      </c>
      <c r="I255" s="55">
        <v>6.83E-2</v>
      </c>
      <c r="J255" s="53">
        <v>314.15899999999999</v>
      </c>
      <c r="K255" s="53">
        <v>0.75129999999999997</v>
      </c>
      <c r="L255" s="53">
        <v>11</v>
      </c>
      <c r="M255" s="56">
        <v>209.07693331558633</v>
      </c>
      <c r="N255" s="53">
        <v>1519</v>
      </c>
      <c r="O255" s="58" t="s">
        <v>301</v>
      </c>
      <c r="P255" s="57" t="s">
        <v>82</v>
      </c>
      <c r="Q255" s="53" t="s">
        <v>302</v>
      </c>
      <c r="R255" s="53" t="s">
        <v>84</v>
      </c>
      <c r="S255" s="53"/>
      <c r="T255" s="59">
        <v>1</v>
      </c>
      <c r="U255" s="59">
        <v>7</v>
      </c>
      <c r="V255" s="53">
        <v>0.9</v>
      </c>
      <c r="W255" s="53"/>
      <c r="X255" s="53"/>
      <c r="Y255" s="9">
        <f t="shared" si="6"/>
        <v>209.07693331558633</v>
      </c>
      <c r="Z255" s="60" t="s">
        <v>97</v>
      </c>
      <c r="AA255" s="58" t="s">
        <v>317</v>
      </c>
      <c r="AB255" s="58" t="s">
        <v>75</v>
      </c>
      <c r="AC255" s="61" t="s">
        <v>221</v>
      </c>
      <c r="AD255" s="53" t="s">
        <v>85</v>
      </c>
      <c r="AE255" s="56">
        <f t="shared" si="7"/>
        <v>0.381703185</v>
      </c>
      <c r="AF255" s="56">
        <v>0.381703185</v>
      </c>
      <c r="AG255" s="62"/>
      <c r="AH255" s="63"/>
      <c r="AI255" s="61"/>
      <c r="AJ255" s="58"/>
      <c r="AK255" s="58"/>
      <c r="AL255" s="58"/>
      <c r="AM255" s="58"/>
      <c r="AN255" s="58"/>
      <c r="AO255" s="58"/>
    </row>
    <row r="256" spans="1:41" x14ac:dyDescent="0.2">
      <c r="A256" s="49" t="s">
        <v>67</v>
      </c>
      <c r="B256" s="50">
        <v>43256</v>
      </c>
      <c r="C256" s="51">
        <v>0.51458333333333295</v>
      </c>
      <c r="D256" s="49" t="s">
        <v>245</v>
      </c>
      <c r="E256" s="49"/>
      <c r="F256" s="52">
        <v>62</v>
      </c>
      <c r="G256" s="53">
        <v>2</v>
      </c>
      <c r="H256" s="54">
        <v>3.2258064516129031E-2</v>
      </c>
      <c r="I256" s="55">
        <v>6.83E-2</v>
      </c>
      <c r="J256" s="53">
        <v>314.15899999999999</v>
      </c>
      <c r="K256" s="53">
        <v>0.61470000000000002</v>
      </c>
      <c r="L256" s="53">
        <v>9</v>
      </c>
      <c r="M256" s="56">
        <v>255.53847405238326</v>
      </c>
      <c r="N256" s="53">
        <v>145</v>
      </c>
      <c r="O256" s="57" t="s">
        <v>69</v>
      </c>
      <c r="P256" s="58" t="s">
        <v>70</v>
      </c>
      <c r="Q256" s="53" t="s">
        <v>71</v>
      </c>
      <c r="R256" s="53" t="s">
        <v>72</v>
      </c>
      <c r="S256" s="53"/>
      <c r="T256" s="59">
        <v>1</v>
      </c>
      <c r="U256" s="59">
        <v>1</v>
      </c>
      <c r="V256" s="53">
        <v>17.600000000000001</v>
      </c>
      <c r="W256" s="53"/>
      <c r="X256" s="53"/>
      <c r="Y256" s="9">
        <f t="shared" si="6"/>
        <v>255.53847405238326</v>
      </c>
      <c r="Z256" s="60" t="s">
        <v>73</v>
      </c>
      <c r="AA256" s="58" t="s">
        <v>295</v>
      </c>
      <c r="AB256" s="58" t="s">
        <v>75</v>
      </c>
      <c r="AC256" s="61" t="s">
        <v>221</v>
      </c>
      <c r="AD256" s="53" t="s">
        <v>77</v>
      </c>
      <c r="AE256" s="56">
        <f t="shared" si="7"/>
        <v>567.71044572000005</v>
      </c>
      <c r="AF256" s="56">
        <v>567.71044572000005</v>
      </c>
      <c r="AG256" s="62"/>
      <c r="AH256" s="63"/>
      <c r="AI256" s="61"/>
      <c r="AJ256" s="58"/>
      <c r="AK256" s="58"/>
      <c r="AL256" s="58"/>
      <c r="AM256" s="58"/>
      <c r="AN256" s="58"/>
      <c r="AO256" s="58"/>
    </row>
    <row r="257" spans="1:41" x14ac:dyDescent="0.2">
      <c r="A257" s="49" t="s">
        <v>67</v>
      </c>
      <c r="B257" s="50">
        <v>43256</v>
      </c>
      <c r="C257" s="51">
        <v>0.51458333333333295</v>
      </c>
      <c r="D257" s="49" t="s">
        <v>245</v>
      </c>
      <c r="E257" s="49"/>
      <c r="F257" s="52">
        <v>62</v>
      </c>
      <c r="G257" s="53">
        <v>2</v>
      </c>
      <c r="H257" s="54">
        <v>3.2258064516129031E-2</v>
      </c>
      <c r="I257" s="55">
        <v>6.83E-2</v>
      </c>
      <c r="J257" s="53">
        <v>314.15899999999999</v>
      </c>
      <c r="K257" s="53">
        <v>0.61470000000000002</v>
      </c>
      <c r="L257" s="53">
        <v>9</v>
      </c>
      <c r="M257" s="56">
        <v>255.53847405238326</v>
      </c>
      <c r="N257" s="53">
        <v>190</v>
      </c>
      <c r="O257" s="57" t="s">
        <v>102</v>
      </c>
      <c r="P257" s="58" t="s">
        <v>70</v>
      </c>
      <c r="Q257" s="53" t="s">
        <v>103</v>
      </c>
      <c r="R257" s="53" t="s">
        <v>84</v>
      </c>
      <c r="S257" s="53"/>
      <c r="T257" s="59">
        <v>3</v>
      </c>
      <c r="U257" s="59">
        <v>3</v>
      </c>
      <c r="V257" s="53">
        <v>7.4</v>
      </c>
      <c r="W257" s="53"/>
      <c r="X257" s="53"/>
      <c r="Y257" s="9">
        <f t="shared" si="6"/>
        <v>766.61542215714974</v>
      </c>
      <c r="Z257" s="60" t="s">
        <v>73</v>
      </c>
      <c r="AA257" s="58" t="s">
        <v>295</v>
      </c>
      <c r="AB257" s="58" t="s">
        <v>75</v>
      </c>
      <c r="AC257" s="61" t="s">
        <v>221</v>
      </c>
      <c r="AD257" s="53" t="s">
        <v>104</v>
      </c>
      <c r="AE257" s="56">
        <f t="shared" si="7"/>
        <v>129.81992357000001</v>
      </c>
      <c r="AF257" s="56">
        <v>129.81992357000001</v>
      </c>
      <c r="AG257" s="62"/>
      <c r="AH257" s="63"/>
      <c r="AI257" s="61"/>
      <c r="AJ257" s="58"/>
      <c r="AK257" s="58"/>
      <c r="AL257" s="58"/>
      <c r="AM257" s="58"/>
      <c r="AN257" s="58"/>
      <c r="AO257" s="58"/>
    </row>
    <row r="258" spans="1:41" x14ac:dyDescent="0.2">
      <c r="A258" s="49" t="s">
        <v>67</v>
      </c>
      <c r="B258" s="50">
        <v>43256</v>
      </c>
      <c r="C258" s="51">
        <v>0.51458333333333295</v>
      </c>
      <c r="D258" s="49" t="s">
        <v>245</v>
      </c>
      <c r="E258" s="49"/>
      <c r="F258" s="52">
        <v>62</v>
      </c>
      <c r="G258" s="53">
        <v>2</v>
      </c>
      <c r="H258" s="54">
        <v>3.2258064516129031E-2</v>
      </c>
      <c r="I258" s="55">
        <v>6.83E-2</v>
      </c>
      <c r="J258" s="53">
        <v>314.15899999999999</v>
      </c>
      <c r="K258" s="53">
        <v>0.61470000000000002</v>
      </c>
      <c r="L258" s="53">
        <v>9</v>
      </c>
      <c r="M258" s="56">
        <v>255.53847405238326</v>
      </c>
      <c r="N258" s="53">
        <v>1031</v>
      </c>
      <c r="O258" s="57" t="s">
        <v>81</v>
      </c>
      <c r="P258" s="57" t="s">
        <v>82</v>
      </c>
      <c r="Q258" s="53" t="s">
        <v>83</v>
      </c>
      <c r="R258" s="53" t="s">
        <v>84</v>
      </c>
      <c r="S258" s="53"/>
      <c r="T258" s="59">
        <v>3</v>
      </c>
      <c r="U258" s="59">
        <v>3</v>
      </c>
      <c r="V258" s="53">
        <v>7.4</v>
      </c>
      <c r="W258" s="53"/>
      <c r="X258" s="53"/>
      <c r="Y258" s="9">
        <f t="shared" si="6"/>
        <v>766.61542215714974</v>
      </c>
      <c r="Z258" s="60" t="s">
        <v>73</v>
      </c>
      <c r="AA258" s="58" t="s">
        <v>295</v>
      </c>
      <c r="AB258" s="58" t="s">
        <v>75</v>
      </c>
      <c r="AC258" s="61" t="s">
        <v>221</v>
      </c>
      <c r="AD258" s="53" t="s">
        <v>85</v>
      </c>
      <c r="AE258" s="56">
        <f t="shared" si="7"/>
        <v>64.910485383333324</v>
      </c>
      <c r="AF258" s="56">
        <v>64.910485383333324</v>
      </c>
      <c r="AG258" s="62"/>
      <c r="AH258" s="63"/>
      <c r="AI258" s="61"/>
      <c r="AJ258" s="58"/>
      <c r="AK258" s="58"/>
      <c r="AL258" s="58"/>
      <c r="AM258" s="58"/>
      <c r="AN258" s="58"/>
      <c r="AO258" s="58"/>
    </row>
    <row r="259" spans="1:41" x14ac:dyDescent="0.2">
      <c r="A259" s="49" t="s">
        <v>67</v>
      </c>
      <c r="B259" s="50">
        <v>43256</v>
      </c>
      <c r="C259" s="51">
        <v>0.51458333333333295</v>
      </c>
      <c r="D259" s="49" t="s">
        <v>245</v>
      </c>
      <c r="E259" s="49"/>
      <c r="F259" s="52">
        <v>62</v>
      </c>
      <c r="G259" s="53">
        <v>2</v>
      </c>
      <c r="H259" s="54">
        <v>3.2258064516129031E-2</v>
      </c>
      <c r="I259" s="55">
        <v>6.83E-2</v>
      </c>
      <c r="J259" s="53">
        <v>314.15899999999999</v>
      </c>
      <c r="K259" s="53">
        <v>0.61470000000000002</v>
      </c>
      <c r="L259" s="53">
        <v>9</v>
      </c>
      <c r="M259" s="56">
        <v>255.53847405238326</v>
      </c>
      <c r="N259" s="53">
        <v>1037</v>
      </c>
      <c r="O259" s="57" t="s">
        <v>86</v>
      </c>
      <c r="P259" s="57" t="s">
        <v>82</v>
      </c>
      <c r="Q259" s="53" t="s">
        <v>87</v>
      </c>
      <c r="R259" s="53" t="s">
        <v>84</v>
      </c>
      <c r="S259" s="53"/>
      <c r="T259" s="59">
        <v>28</v>
      </c>
      <c r="U259" s="59">
        <v>28</v>
      </c>
      <c r="V259" s="53">
        <v>3.7</v>
      </c>
      <c r="W259" s="53"/>
      <c r="X259" s="53"/>
      <c r="Y259" s="9">
        <f t="shared" ref="Y259:Y322" si="8">(T259*J259)/(G259*I259*L259)</f>
        <v>7155.0772734667307</v>
      </c>
      <c r="Z259" s="60" t="s">
        <v>73</v>
      </c>
      <c r="AA259" s="58" t="s">
        <v>295</v>
      </c>
      <c r="AB259" s="58" t="s">
        <v>75</v>
      </c>
      <c r="AC259" s="61" t="s">
        <v>221</v>
      </c>
      <c r="AD259" s="53" t="s">
        <v>85</v>
      </c>
      <c r="AE259" s="56">
        <f t="shared" ref="AE259:AE322" si="9">AVERAGE(AF259:AO259)</f>
        <v>11.494030613333329</v>
      </c>
      <c r="AF259" s="56">
        <v>11.494030613333329</v>
      </c>
      <c r="AG259" s="62"/>
      <c r="AH259" s="63"/>
      <c r="AI259" s="61"/>
      <c r="AJ259" s="58"/>
      <c r="AK259" s="58"/>
      <c r="AL259" s="58"/>
      <c r="AM259" s="58"/>
      <c r="AN259" s="58"/>
      <c r="AO259" s="58"/>
    </row>
    <row r="260" spans="1:41" x14ac:dyDescent="0.2">
      <c r="A260" s="49" t="s">
        <v>67</v>
      </c>
      <c r="B260" s="50">
        <v>43256</v>
      </c>
      <c r="C260" s="51">
        <v>0.51458333333333295</v>
      </c>
      <c r="D260" s="49" t="s">
        <v>245</v>
      </c>
      <c r="E260" s="49"/>
      <c r="F260" s="52">
        <v>62</v>
      </c>
      <c r="G260" s="53">
        <v>2</v>
      </c>
      <c r="H260" s="54">
        <v>3.2258064516129031E-2</v>
      </c>
      <c r="I260" s="55">
        <v>6.83E-2</v>
      </c>
      <c r="J260" s="53">
        <v>314.15899999999999</v>
      </c>
      <c r="K260" s="53">
        <v>0.61470000000000002</v>
      </c>
      <c r="L260" s="53">
        <v>9</v>
      </c>
      <c r="M260" s="56">
        <v>255.53847405238326</v>
      </c>
      <c r="N260" s="53">
        <v>1140</v>
      </c>
      <c r="O260" s="57" t="s">
        <v>126</v>
      </c>
      <c r="P260" s="57" t="s">
        <v>82</v>
      </c>
      <c r="Q260" s="53" t="s">
        <v>127</v>
      </c>
      <c r="R260" s="53" t="s">
        <v>128</v>
      </c>
      <c r="S260" s="53"/>
      <c r="T260" s="59">
        <v>5</v>
      </c>
      <c r="U260" s="59">
        <v>5</v>
      </c>
      <c r="V260" s="53">
        <v>18.5</v>
      </c>
      <c r="W260" s="53"/>
      <c r="X260" s="53"/>
      <c r="Y260" s="9">
        <f t="shared" si="8"/>
        <v>1277.6923702619165</v>
      </c>
      <c r="Z260" s="60" t="s">
        <v>73</v>
      </c>
      <c r="AA260" s="58" t="s">
        <v>295</v>
      </c>
      <c r="AB260" s="58" t="s">
        <v>75</v>
      </c>
      <c r="AC260" s="61" t="s">
        <v>221</v>
      </c>
      <c r="AD260" s="53" t="s">
        <v>129</v>
      </c>
      <c r="AE260" s="56">
        <f t="shared" si="9"/>
        <v>25.13952677833333</v>
      </c>
      <c r="AF260" s="56">
        <v>25.13952677833333</v>
      </c>
      <c r="AG260" s="62"/>
      <c r="AH260" s="63"/>
      <c r="AI260" s="61"/>
      <c r="AJ260" s="58"/>
      <c r="AK260" s="58"/>
      <c r="AL260" s="58"/>
      <c r="AM260" s="58"/>
      <c r="AN260" s="58"/>
      <c r="AO260" s="58"/>
    </row>
    <row r="261" spans="1:41" x14ac:dyDescent="0.2">
      <c r="A261" s="49" t="s">
        <v>67</v>
      </c>
      <c r="B261" s="50">
        <v>43256</v>
      </c>
      <c r="C261" s="51">
        <v>0.51458333333333295</v>
      </c>
      <c r="D261" s="49" t="s">
        <v>245</v>
      </c>
      <c r="E261" s="49"/>
      <c r="F261" s="52">
        <v>62</v>
      </c>
      <c r="G261" s="53">
        <v>2</v>
      </c>
      <c r="H261" s="54">
        <v>3.2258064516129031E-2</v>
      </c>
      <c r="I261" s="55">
        <v>6.83E-2</v>
      </c>
      <c r="J261" s="53">
        <v>314.15899999999999</v>
      </c>
      <c r="K261" s="53">
        <v>0.61470000000000002</v>
      </c>
      <c r="L261" s="53">
        <v>9</v>
      </c>
      <c r="M261" s="56">
        <v>255.53847405238326</v>
      </c>
      <c r="N261" s="53">
        <v>1364</v>
      </c>
      <c r="O261" s="57" t="s">
        <v>88</v>
      </c>
      <c r="P261" s="57" t="s">
        <v>82</v>
      </c>
      <c r="Q261" s="53" t="s">
        <v>89</v>
      </c>
      <c r="R261" s="53" t="s">
        <v>90</v>
      </c>
      <c r="S261" s="53"/>
      <c r="T261" s="59">
        <v>1</v>
      </c>
      <c r="U261" s="59">
        <v>1</v>
      </c>
      <c r="V261" s="53">
        <v>9.3000000000000007</v>
      </c>
      <c r="W261" s="53"/>
      <c r="X261" s="53"/>
      <c r="Y261" s="9">
        <f t="shared" si="8"/>
        <v>255.53847405238326</v>
      </c>
      <c r="Z261" s="60" t="s">
        <v>73</v>
      </c>
      <c r="AA261" s="58" t="s">
        <v>295</v>
      </c>
      <c r="AB261" s="58" t="s">
        <v>75</v>
      </c>
      <c r="AC261" s="61" t="s">
        <v>221</v>
      </c>
      <c r="AD261" s="53" t="s">
        <v>91</v>
      </c>
      <c r="AE261" s="56">
        <f t="shared" si="9"/>
        <v>337.38084788249995</v>
      </c>
      <c r="AF261" s="56">
        <v>337.38084788249995</v>
      </c>
      <c r="AG261" s="62"/>
      <c r="AH261" s="63"/>
      <c r="AI261" s="61"/>
      <c r="AJ261" s="58"/>
      <c r="AK261" s="58"/>
      <c r="AL261" s="58"/>
      <c r="AM261" s="58"/>
      <c r="AN261" s="58"/>
      <c r="AO261" s="58"/>
    </row>
    <row r="262" spans="1:41" x14ac:dyDescent="0.2">
      <c r="A262" s="49" t="s">
        <v>67</v>
      </c>
      <c r="B262" s="50">
        <v>43256</v>
      </c>
      <c r="C262" s="51">
        <v>0.51458333333333295</v>
      </c>
      <c r="D262" s="49" t="s">
        <v>245</v>
      </c>
      <c r="E262" s="49"/>
      <c r="F262" s="52">
        <v>62</v>
      </c>
      <c r="G262" s="53">
        <v>2</v>
      </c>
      <c r="H262" s="54">
        <v>3.2258064516129031E-2</v>
      </c>
      <c r="I262" s="55">
        <v>6.83E-2</v>
      </c>
      <c r="J262" s="53">
        <v>314.15899999999999</v>
      </c>
      <c r="K262" s="53">
        <v>0.61470000000000002</v>
      </c>
      <c r="L262" s="53">
        <v>9</v>
      </c>
      <c r="M262" s="56">
        <v>255.53847405238326</v>
      </c>
      <c r="N262" s="53">
        <v>1419</v>
      </c>
      <c r="O262" s="57" t="s">
        <v>94</v>
      </c>
      <c r="P262" s="57" t="s">
        <v>82</v>
      </c>
      <c r="Q262" s="53" t="s">
        <v>95</v>
      </c>
      <c r="R262" s="53" t="s">
        <v>96</v>
      </c>
      <c r="S262" s="53"/>
      <c r="T262" s="59">
        <v>382</v>
      </c>
      <c r="U262" s="59">
        <v>765</v>
      </c>
      <c r="V262" s="53">
        <v>0.8</v>
      </c>
      <c r="W262" s="53">
        <v>0.8</v>
      </c>
      <c r="X262" s="53">
        <v>0.8</v>
      </c>
      <c r="Y262" s="9">
        <f t="shared" si="8"/>
        <v>97615.697088010405</v>
      </c>
      <c r="Z262" s="60" t="s">
        <v>97</v>
      </c>
      <c r="AA262" s="58" t="s">
        <v>295</v>
      </c>
      <c r="AB262" s="58" t="s">
        <v>75</v>
      </c>
      <c r="AC262" s="61" t="s">
        <v>221</v>
      </c>
      <c r="AD262" s="53" t="s">
        <v>85</v>
      </c>
      <c r="AE262" s="56">
        <f t="shared" si="9"/>
        <v>0.17999999999999997</v>
      </c>
      <c r="AF262" s="56">
        <v>0.18</v>
      </c>
      <c r="AG262" s="56">
        <v>0.18</v>
      </c>
      <c r="AH262" s="56">
        <v>0.18</v>
      </c>
      <c r="AI262" s="56">
        <v>0.18</v>
      </c>
      <c r="AJ262" s="56">
        <v>0.18</v>
      </c>
      <c r="AK262" s="56">
        <v>0.18</v>
      </c>
      <c r="AL262" s="56">
        <v>0.18</v>
      </c>
      <c r="AM262" s="56">
        <v>0.18</v>
      </c>
      <c r="AN262" s="56">
        <v>0.18</v>
      </c>
      <c r="AO262" s="56">
        <v>0.18</v>
      </c>
    </row>
    <row r="263" spans="1:41" x14ac:dyDescent="0.2">
      <c r="A263" s="49" t="s">
        <v>67</v>
      </c>
      <c r="B263" s="50">
        <v>43256</v>
      </c>
      <c r="C263" s="51">
        <v>0.52847222222222201</v>
      </c>
      <c r="D263" s="49" t="s">
        <v>306</v>
      </c>
      <c r="E263" s="49"/>
      <c r="F263" s="52">
        <v>63</v>
      </c>
      <c r="G263" s="53">
        <v>1</v>
      </c>
      <c r="H263" s="54">
        <v>1.5873015873015872E-2</v>
      </c>
      <c r="I263" s="55">
        <v>6.83E-2</v>
      </c>
      <c r="J263" s="53">
        <v>314.15899999999999</v>
      </c>
      <c r="K263" s="53">
        <v>1.2977000000000001</v>
      </c>
      <c r="L263" s="53">
        <v>19</v>
      </c>
      <c r="M263" s="56">
        <v>242.08908068120519</v>
      </c>
      <c r="N263" s="53">
        <v>145</v>
      </c>
      <c r="O263" s="57" t="s">
        <v>69</v>
      </c>
      <c r="P263" s="58" t="s">
        <v>70</v>
      </c>
      <c r="Q263" s="53" t="s">
        <v>71</v>
      </c>
      <c r="R263" s="53" t="s">
        <v>72</v>
      </c>
      <c r="S263" s="53"/>
      <c r="T263" s="59">
        <v>1</v>
      </c>
      <c r="U263" s="59">
        <v>1</v>
      </c>
      <c r="V263" s="53">
        <v>20.399999999999999</v>
      </c>
      <c r="W263" s="53"/>
      <c r="X263" s="53"/>
      <c r="Y263" s="9">
        <f t="shared" si="8"/>
        <v>242.08908068120519</v>
      </c>
      <c r="Z263" s="60" t="s">
        <v>73</v>
      </c>
      <c r="AA263" s="58" t="s">
        <v>307</v>
      </c>
      <c r="AB263" s="58" t="s">
        <v>75</v>
      </c>
      <c r="AC263" s="61" t="s">
        <v>112</v>
      </c>
      <c r="AD263" s="53" t="s">
        <v>77</v>
      </c>
      <c r="AE263" s="56">
        <f t="shared" si="9"/>
        <v>770.66344289999984</v>
      </c>
      <c r="AF263" s="56">
        <v>770.66344289999984</v>
      </c>
      <c r="AG263" s="62"/>
      <c r="AH263" s="63"/>
      <c r="AI263" s="61"/>
      <c r="AJ263" s="58"/>
      <c r="AK263" s="58"/>
      <c r="AL263" s="58"/>
      <c r="AM263" s="58"/>
      <c r="AN263" s="58"/>
      <c r="AO263" s="58"/>
    </row>
    <row r="264" spans="1:41" x14ac:dyDescent="0.2">
      <c r="A264" s="49" t="s">
        <v>67</v>
      </c>
      <c r="B264" s="50">
        <v>43256</v>
      </c>
      <c r="C264" s="51">
        <v>0.52847222222222201</v>
      </c>
      <c r="D264" s="49" t="s">
        <v>306</v>
      </c>
      <c r="E264" s="49"/>
      <c r="F264" s="52">
        <v>63</v>
      </c>
      <c r="G264" s="53">
        <v>1</v>
      </c>
      <c r="H264" s="54">
        <v>1.5873015873015872E-2</v>
      </c>
      <c r="I264" s="55">
        <v>6.83E-2</v>
      </c>
      <c r="J264" s="53">
        <v>314.15899999999999</v>
      </c>
      <c r="K264" s="53">
        <v>1.2977000000000001</v>
      </c>
      <c r="L264" s="53">
        <v>19</v>
      </c>
      <c r="M264" s="56">
        <v>242.08908068120519</v>
      </c>
      <c r="N264" s="53">
        <v>1037</v>
      </c>
      <c r="O264" s="57" t="s">
        <v>86</v>
      </c>
      <c r="P264" s="57" t="s">
        <v>82</v>
      </c>
      <c r="Q264" s="53" t="s">
        <v>87</v>
      </c>
      <c r="R264" s="53" t="s">
        <v>84</v>
      </c>
      <c r="S264" s="53"/>
      <c r="T264" s="59">
        <v>16</v>
      </c>
      <c r="U264" s="59">
        <v>16</v>
      </c>
      <c r="V264" s="53">
        <v>3.7</v>
      </c>
      <c r="W264" s="53"/>
      <c r="X264" s="53"/>
      <c r="Y264" s="9">
        <f t="shared" si="8"/>
        <v>3873.425290899283</v>
      </c>
      <c r="Z264" s="60" t="s">
        <v>73</v>
      </c>
      <c r="AA264" s="58" t="s">
        <v>307</v>
      </c>
      <c r="AB264" s="58" t="s">
        <v>75</v>
      </c>
      <c r="AC264" s="61" t="s">
        <v>112</v>
      </c>
      <c r="AD264" s="53" t="s">
        <v>85</v>
      </c>
      <c r="AE264" s="56">
        <f t="shared" si="9"/>
        <v>14.137154999999998</v>
      </c>
      <c r="AF264" s="56">
        <v>14.137154999999998</v>
      </c>
      <c r="AG264" s="62"/>
      <c r="AH264" s="63"/>
      <c r="AI264" s="61"/>
      <c r="AJ264" s="58"/>
      <c r="AK264" s="58"/>
      <c r="AL264" s="58"/>
      <c r="AM264" s="58"/>
      <c r="AN264" s="58"/>
      <c r="AO264" s="58"/>
    </row>
    <row r="265" spans="1:41" x14ac:dyDescent="0.2">
      <c r="A265" s="49" t="s">
        <v>67</v>
      </c>
      <c r="B265" s="50">
        <v>43256</v>
      </c>
      <c r="C265" s="51">
        <v>0.52847222222222201</v>
      </c>
      <c r="D265" s="49" t="s">
        <v>306</v>
      </c>
      <c r="E265" s="49"/>
      <c r="F265" s="52">
        <v>63</v>
      </c>
      <c r="G265" s="53">
        <v>1</v>
      </c>
      <c r="H265" s="54">
        <v>1.5873015873015872E-2</v>
      </c>
      <c r="I265" s="55">
        <v>6.83E-2</v>
      </c>
      <c r="J265" s="53">
        <v>314.15899999999999</v>
      </c>
      <c r="K265" s="53">
        <v>1.2977000000000001</v>
      </c>
      <c r="L265" s="53">
        <v>19</v>
      </c>
      <c r="M265" s="56">
        <v>242.08908068120519</v>
      </c>
      <c r="N265" s="53">
        <v>1761</v>
      </c>
      <c r="O265" s="57" t="s">
        <v>287</v>
      </c>
      <c r="P265" s="57" t="s">
        <v>82</v>
      </c>
      <c r="Q265" s="53" t="s">
        <v>288</v>
      </c>
      <c r="R265" s="53" t="s">
        <v>289</v>
      </c>
      <c r="S265" s="53"/>
      <c r="T265" s="59">
        <v>1</v>
      </c>
      <c r="U265" s="59">
        <v>1</v>
      </c>
      <c r="V265" s="53">
        <v>5.6</v>
      </c>
      <c r="W265" s="53"/>
      <c r="X265" s="53"/>
      <c r="Y265" s="9">
        <f t="shared" si="8"/>
        <v>242.08908068120519</v>
      </c>
      <c r="Z265" s="60" t="s">
        <v>73</v>
      </c>
      <c r="AA265" s="58" t="s">
        <v>307</v>
      </c>
      <c r="AB265" s="58" t="s">
        <v>75</v>
      </c>
      <c r="AC265" s="61" t="s">
        <v>112</v>
      </c>
      <c r="AD265" s="53" t="s">
        <v>215</v>
      </c>
      <c r="AE265" s="56">
        <f t="shared" si="9"/>
        <v>3.5625630599999996</v>
      </c>
      <c r="AF265" s="56">
        <v>3.5625630599999996</v>
      </c>
      <c r="AG265" s="62"/>
      <c r="AH265" s="63"/>
      <c r="AI265" s="61"/>
      <c r="AJ265" s="58"/>
      <c r="AK265" s="58"/>
      <c r="AL265" s="58"/>
      <c r="AM265" s="58"/>
      <c r="AN265" s="58"/>
      <c r="AO265" s="58"/>
    </row>
    <row r="266" spans="1:41" x14ac:dyDescent="0.2">
      <c r="A266" s="49" t="s">
        <v>67</v>
      </c>
      <c r="B266" s="50">
        <v>43256</v>
      </c>
      <c r="C266" s="51">
        <v>0.52847222222222201</v>
      </c>
      <c r="D266" s="49" t="s">
        <v>306</v>
      </c>
      <c r="E266" s="49"/>
      <c r="F266" s="52">
        <v>63</v>
      </c>
      <c r="G266" s="53">
        <v>1</v>
      </c>
      <c r="H266" s="54">
        <v>1.5873015873015872E-2</v>
      </c>
      <c r="I266" s="55">
        <v>6.83E-2</v>
      </c>
      <c r="J266" s="53">
        <v>314.15899999999999</v>
      </c>
      <c r="K266" s="53">
        <v>1.2977000000000001</v>
      </c>
      <c r="L266" s="53">
        <v>19</v>
      </c>
      <c r="M266" s="56">
        <v>242.08908068120519</v>
      </c>
      <c r="N266" s="53">
        <v>1140</v>
      </c>
      <c r="O266" s="57" t="s">
        <v>126</v>
      </c>
      <c r="P266" s="57" t="s">
        <v>82</v>
      </c>
      <c r="Q266" s="53" t="s">
        <v>127</v>
      </c>
      <c r="R266" s="53" t="s">
        <v>128</v>
      </c>
      <c r="S266" s="53"/>
      <c r="T266" s="59">
        <v>3</v>
      </c>
      <c r="U266" s="59">
        <v>3</v>
      </c>
      <c r="V266" s="53">
        <v>13</v>
      </c>
      <c r="W266" s="53"/>
      <c r="X266" s="53"/>
      <c r="Y266" s="9">
        <f t="shared" si="8"/>
        <v>726.26724204361551</v>
      </c>
      <c r="Z266" s="60" t="s">
        <v>73</v>
      </c>
      <c r="AA266" s="58" t="s">
        <v>307</v>
      </c>
      <c r="AB266" s="58" t="s">
        <v>75</v>
      </c>
      <c r="AC266" s="61" t="s">
        <v>112</v>
      </c>
      <c r="AD266" s="53" t="s">
        <v>129</v>
      </c>
      <c r="AE266" s="56">
        <f t="shared" si="9"/>
        <v>31.424277573333335</v>
      </c>
      <c r="AF266" s="56">
        <v>31.424277573333335</v>
      </c>
      <c r="AG266" s="62"/>
      <c r="AH266" s="63"/>
      <c r="AI266" s="61"/>
      <c r="AJ266" s="58"/>
      <c r="AK266" s="58"/>
      <c r="AL266" s="58"/>
      <c r="AM266" s="58"/>
      <c r="AN266" s="58"/>
      <c r="AO266" s="58"/>
    </row>
    <row r="267" spans="1:41" x14ac:dyDescent="0.2">
      <c r="A267" s="49" t="s">
        <v>67</v>
      </c>
      <c r="B267" s="50">
        <v>43256</v>
      </c>
      <c r="C267" s="51">
        <v>0.52847222222222201</v>
      </c>
      <c r="D267" s="49" t="s">
        <v>306</v>
      </c>
      <c r="E267" s="49"/>
      <c r="F267" s="52">
        <v>63</v>
      </c>
      <c r="G267" s="53">
        <v>1</v>
      </c>
      <c r="H267" s="54">
        <v>1.5873015873015872E-2</v>
      </c>
      <c r="I267" s="55">
        <v>6.83E-2</v>
      </c>
      <c r="J267" s="53">
        <v>314.15899999999999</v>
      </c>
      <c r="K267" s="53">
        <v>1.2977000000000001</v>
      </c>
      <c r="L267" s="53">
        <v>19</v>
      </c>
      <c r="M267" s="56">
        <v>242.08908068120519</v>
      </c>
      <c r="N267" s="53">
        <v>1419</v>
      </c>
      <c r="O267" s="57" t="s">
        <v>94</v>
      </c>
      <c r="P267" s="57" t="s">
        <v>82</v>
      </c>
      <c r="Q267" s="53" t="s">
        <v>95</v>
      </c>
      <c r="R267" s="53" t="s">
        <v>96</v>
      </c>
      <c r="S267" s="53"/>
      <c r="T267" s="59">
        <v>379</v>
      </c>
      <c r="U267" s="59">
        <v>762</v>
      </c>
      <c r="V267" s="53">
        <v>0.8</v>
      </c>
      <c r="W267" s="53">
        <v>0.8</v>
      </c>
      <c r="X267" s="53">
        <v>0.8</v>
      </c>
      <c r="Y267" s="9">
        <f t="shared" si="8"/>
        <v>91751.761578176767</v>
      </c>
      <c r="Z267" s="60" t="s">
        <v>97</v>
      </c>
      <c r="AA267" s="58" t="s">
        <v>307</v>
      </c>
      <c r="AB267" s="58" t="s">
        <v>75</v>
      </c>
      <c r="AC267" s="61" t="s">
        <v>112</v>
      </c>
      <c r="AD267" s="53" t="s">
        <v>85</v>
      </c>
      <c r="AE267" s="56">
        <f t="shared" si="9"/>
        <v>0.17999999999999997</v>
      </c>
      <c r="AF267" s="56">
        <v>0.18</v>
      </c>
      <c r="AG267" s="56">
        <v>0.18</v>
      </c>
      <c r="AH267" s="56">
        <v>0.18</v>
      </c>
      <c r="AI267" s="56">
        <v>0.18</v>
      </c>
      <c r="AJ267" s="56">
        <v>0.18</v>
      </c>
      <c r="AK267" s="56">
        <v>0.18</v>
      </c>
      <c r="AL267" s="56">
        <v>0.18</v>
      </c>
      <c r="AM267" s="56">
        <v>0.18</v>
      </c>
      <c r="AN267" s="56">
        <v>0.18</v>
      </c>
      <c r="AO267" s="56">
        <v>0.18</v>
      </c>
    </row>
    <row r="268" spans="1:41" x14ac:dyDescent="0.2">
      <c r="A268" s="49" t="s">
        <v>67</v>
      </c>
      <c r="B268" s="50">
        <v>43256</v>
      </c>
      <c r="C268" s="51">
        <v>0.52847222222222201</v>
      </c>
      <c r="D268" s="49" t="s">
        <v>306</v>
      </c>
      <c r="E268" s="49"/>
      <c r="F268" s="52">
        <v>63</v>
      </c>
      <c r="G268" s="53">
        <v>1</v>
      </c>
      <c r="H268" s="54">
        <v>1.5873015873015872E-2</v>
      </c>
      <c r="I268" s="55">
        <v>6.83E-2</v>
      </c>
      <c r="J268" s="53">
        <v>314.15899999999999</v>
      </c>
      <c r="K268" s="53">
        <v>1.2977000000000001</v>
      </c>
      <c r="L268" s="53">
        <v>19</v>
      </c>
      <c r="M268" s="56">
        <v>242.08908068120519</v>
      </c>
      <c r="N268" s="53">
        <v>1423</v>
      </c>
      <c r="O268" s="57" t="s">
        <v>163</v>
      </c>
      <c r="P268" s="57" t="s">
        <v>82</v>
      </c>
      <c r="Q268" s="53" t="s">
        <v>95</v>
      </c>
      <c r="R268" s="53" t="s">
        <v>84</v>
      </c>
      <c r="S268" s="53"/>
      <c r="T268" s="59">
        <v>5</v>
      </c>
      <c r="U268" s="59">
        <v>7</v>
      </c>
      <c r="V268" s="53">
        <v>5.6</v>
      </c>
      <c r="W268" s="53"/>
      <c r="X268" s="53"/>
      <c r="Y268" s="9">
        <f t="shared" si="8"/>
        <v>1210.4454034060261</v>
      </c>
      <c r="Z268" s="60" t="s">
        <v>97</v>
      </c>
      <c r="AA268" s="58" t="s">
        <v>307</v>
      </c>
      <c r="AB268" s="58" t="s">
        <v>75</v>
      </c>
      <c r="AC268" s="61" t="s">
        <v>112</v>
      </c>
      <c r="AD268" s="53" t="s">
        <v>85</v>
      </c>
      <c r="AE268" s="56">
        <f t="shared" si="9"/>
        <v>57.905786879999994</v>
      </c>
      <c r="AF268" s="56">
        <v>57.905786879999994</v>
      </c>
      <c r="AG268" s="62"/>
      <c r="AH268" s="63"/>
      <c r="AI268" s="61"/>
      <c r="AJ268" s="58"/>
      <c r="AK268" s="58"/>
      <c r="AL268" s="58"/>
      <c r="AM268" s="58"/>
      <c r="AN268" s="58"/>
      <c r="AO268" s="58"/>
    </row>
    <row r="269" spans="1:41" x14ac:dyDescent="0.2">
      <c r="A269" s="49" t="s">
        <v>67</v>
      </c>
      <c r="B269" s="50">
        <v>43257</v>
      </c>
      <c r="C269" s="51">
        <v>0.43402777777777801</v>
      </c>
      <c r="D269" s="49" t="s">
        <v>187</v>
      </c>
      <c r="E269" s="49">
        <v>3</v>
      </c>
      <c r="F269" s="52">
        <v>59</v>
      </c>
      <c r="G269" s="53">
        <v>2</v>
      </c>
      <c r="H269" s="54">
        <v>3.3898305084745763E-2</v>
      </c>
      <c r="I269" s="55">
        <v>6.83E-2</v>
      </c>
      <c r="J269" s="53">
        <v>314.15899999999999</v>
      </c>
      <c r="K269" s="53">
        <v>0.68300000000000005</v>
      </c>
      <c r="L269" s="53">
        <v>10</v>
      </c>
      <c r="M269" s="56">
        <v>229.98462664714492</v>
      </c>
      <c r="N269" s="53">
        <v>190</v>
      </c>
      <c r="O269" s="57" t="s">
        <v>102</v>
      </c>
      <c r="P269" s="58" t="s">
        <v>70</v>
      </c>
      <c r="Q269" s="53" t="s">
        <v>103</v>
      </c>
      <c r="R269" s="53" t="s">
        <v>84</v>
      </c>
      <c r="S269" s="53"/>
      <c r="T269" s="59">
        <v>1</v>
      </c>
      <c r="U269" s="59">
        <v>1</v>
      </c>
      <c r="V269" s="53">
        <v>5.6</v>
      </c>
      <c r="W269" s="53"/>
      <c r="X269" s="53"/>
      <c r="Y269" s="9">
        <f t="shared" si="8"/>
        <v>229.98462664714492</v>
      </c>
      <c r="Z269" s="60" t="s">
        <v>73</v>
      </c>
      <c r="AA269" s="58" t="s">
        <v>327</v>
      </c>
      <c r="AB269" s="58" t="s">
        <v>75</v>
      </c>
      <c r="AC269" s="61" t="s">
        <v>328</v>
      </c>
      <c r="AD269" s="53" t="s">
        <v>104</v>
      </c>
      <c r="AE269" s="56">
        <f t="shared" si="9"/>
        <v>91.131242719999989</v>
      </c>
      <c r="AF269" s="56">
        <v>91.131242719999989</v>
      </c>
      <c r="AG269" s="62"/>
      <c r="AH269" s="63"/>
      <c r="AI269" s="61"/>
      <c r="AJ269" s="58"/>
      <c r="AK269" s="58"/>
      <c r="AL269" s="58"/>
      <c r="AM269" s="58"/>
      <c r="AN269" s="58"/>
      <c r="AO269" s="58"/>
    </row>
    <row r="270" spans="1:41" x14ac:dyDescent="0.2">
      <c r="A270" s="49" t="s">
        <v>67</v>
      </c>
      <c r="B270" s="50">
        <v>43257</v>
      </c>
      <c r="C270" s="51">
        <v>0.43402777777777801</v>
      </c>
      <c r="D270" s="49" t="s">
        <v>187</v>
      </c>
      <c r="E270" s="49">
        <v>3</v>
      </c>
      <c r="F270" s="52">
        <v>59</v>
      </c>
      <c r="G270" s="53">
        <v>2</v>
      </c>
      <c r="H270" s="54">
        <v>3.3898305084745763E-2</v>
      </c>
      <c r="I270" s="55">
        <v>6.83E-2</v>
      </c>
      <c r="J270" s="53">
        <v>314.15899999999999</v>
      </c>
      <c r="K270" s="53">
        <v>0.68300000000000005</v>
      </c>
      <c r="L270" s="53">
        <v>10</v>
      </c>
      <c r="M270" s="56">
        <v>229.98462664714492</v>
      </c>
      <c r="N270" s="53">
        <v>1037</v>
      </c>
      <c r="O270" s="57" t="s">
        <v>86</v>
      </c>
      <c r="P270" s="57" t="s">
        <v>82</v>
      </c>
      <c r="Q270" s="53" t="s">
        <v>87</v>
      </c>
      <c r="R270" s="53" t="s">
        <v>84</v>
      </c>
      <c r="S270" s="53"/>
      <c r="T270" s="59">
        <v>19</v>
      </c>
      <c r="U270" s="59">
        <v>19</v>
      </c>
      <c r="V270" s="53">
        <v>2.8</v>
      </c>
      <c r="W270" s="53"/>
      <c r="X270" s="53"/>
      <c r="Y270" s="9">
        <f t="shared" si="8"/>
        <v>4369.7079062957537</v>
      </c>
      <c r="Z270" s="60" t="s">
        <v>73</v>
      </c>
      <c r="AA270" s="58" t="s">
        <v>327</v>
      </c>
      <c r="AB270" s="58" t="s">
        <v>75</v>
      </c>
      <c r="AC270" s="61" t="s">
        <v>328</v>
      </c>
      <c r="AD270" s="53" t="s">
        <v>85</v>
      </c>
      <c r="AE270" s="56">
        <f t="shared" si="9"/>
        <v>7.2382233599999992</v>
      </c>
      <c r="AF270" s="56">
        <v>7.2382233599999992</v>
      </c>
      <c r="AG270" s="62"/>
      <c r="AH270" s="63"/>
      <c r="AI270" s="61"/>
      <c r="AJ270" s="58"/>
      <c r="AK270" s="58"/>
      <c r="AL270" s="58"/>
      <c r="AM270" s="58"/>
      <c r="AN270" s="58"/>
      <c r="AO270" s="58"/>
    </row>
    <row r="271" spans="1:41" x14ac:dyDescent="0.2">
      <c r="A271" s="49" t="s">
        <v>67</v>
      </c>
      <c r="B271" s="50">
        <v>43257</v>
      </c>
      <c r="C271" s="51">
        <v>0.43402777777777801</v>
      </c>
      <c r="D271" s="49" t="s">
        <v>187</v>
      </c>
      <c r="E271" s="49">
        <v>3</v>
      </c>
      <c r="F271" s="52">
        <v>59</v>
      </c>
      <c r="G271" s="53">
        <v>2</v>
      </c>
      <c r="H271" s="54">
        <v>3.3898305084745763E-2</v>
      </c>
      <c r="I271" s="55">
        <v>6.83E-2</v>
      </c>
      <c r="J271" s="53">
        <v>314.15899999999999</v>
      </c>
      <c r="K271" s="53">
        <v>0.68300000000000005</v>
      </c>
      <c r="L271" s="53">
        <v>10</v>
      </c>
      <c r="M271" s="56">
        <v>229.98462664714492</v>
      </c>
      <c r="N271" s="53">
        <v>1419</v>
      </c>
      <c r="O271" s="57" t="s">
        <v>94</v>
      </c>
      <c r="P271" s="57" t="s">
        <v>82</v>
      </c>
      <c r="Q271" s="53" t="s">
        <v>95</v>
      </c>
      <c r="R271" s="53" t="s">
        <v>96</v>
      </c>
      <c r="S271" s="53"/>
      <c r="T271" s="59">
        <v>393</v>
      </c>
      <c r="U271" s="59">
        <v>789</v>
      </c>
      <c r="V271" s="53">
        <v>0.8</v>
      </c>
      <c r="W271" s="53">
        <v>0.8</v>
      </c>
      <c r="X271" s="53">
        <v>0.8</v>
      </c>
      <c r="Y271" s="9">
        <f t="shared" si="8"/>
        <v>90383.95827232796</v>
      </c>
      <c r="Z271" s="60" t="s">
        <v>97</v>
      </c>
      <c r="AA271" s="58" t="s">
        <v>327</v>
      </c>
      <c r="AB271" s="58" t="s">
        <v>75</v>
      </c>
      <c r="AC271" s="61" t="s">
        <v>328</v>
      </c>
      <c r="AD271" s="53" t="s">
        <v>85</v>
      </c>
      <c r="AE271" s="56">
        <f t="shared" si="9"/>
        <v>0.17999999999999997</v>
      </c>
      <c r="AF271" s="56">
        <v>0.18</v>
      </c>
      <c r="AG271" s="56">
        <v>0.18</v>
      </c>
      <c r="AH271" s="56">
        <v>0.18</v>
      </c>
      <c r="AI271" s="56">
        <v>0.18</v>
      </c>
      <c r="AJ271" s="56">
        <v>0.18</v>
      </c>
      <c r="AK271" s="56">
        <v>0.18</v>
      </c>
      <c r="AL271" s="56">
        <v>0.18</v>
      </c>
      <c r="AM271" s="56">
        <v>0.18</v>
      </c>
      <c r="AN271" s="56">
        <v>0.18</v>
      </c>
      <c r="AO271" s="56">
        <v>0.18</v>
      </c>
    </row>
    <row r="272" spans="1:41" x14ac:dyDescent="0.2">
      <c r="A272" s="49" t="s">
        <v>67</v>
      </c>
      <c r="B272" s="50">
        <v>43257</v>
      </c>
      <c r="C272" s="51">
        <v>0.43402777777777801</v>
      </c>
      <c r="D272" s="49" t="s">
        <v>187</v>
      </c>
      <c r="E272" s="49">
        <v>3</v>
      </c>
      <c r="F272" s="52">
        <v>59</v>
      </c>
      <c r="G272" s="53">
        <v>2</v>
      </c>
      <c r="H272" s="54">
        <v>3.3898305084745763E-2</v>
      </c>
      <c r="I272" s="55">
        <v>6.83E-2</v>
      </c>
      <c r="J272" s="53">
        <v>314.15899999999999</v>
      </c>
      <c r="K272" s="53">
        <v>0.68300000000000005</v>
      </c>
      <c r="L272" s="53">
        <v>10</v>
      </c>
      <c r="M272" s="56">
        <v>229.98462664714492</v>
      </c>
      <c r="N272" s="53">
        <v>1423</v>
      </c>
      <c r="O272" s="57" t="s">
        <v>163</v>
      </c>
      <c r="P272" s="57" t="s">
        <v>82</v>
      </c>
      <c r="Q272" s="53" t="s">
        <v>95</v>
      </c>
      <c r="R272" s="53" t="s">
        <v>84</v>
      </c>
      <c r="S272" s="53"/>
      <c r="T272" s="59">
        <v>1</v>
      </c>
      <c r="U272" s="59">
        <v>7</v>
      </c>
      <c r="V272" s="53">
        <v>1.9</v>
      </c>
      <c r="W272" s="53"/>
      <c r="X272" s="53"/>
      <c r="Y272" s="9">
        <f t="shared" si="8"/>
        <v>229.98462664714492</v>
      </c>
      <c r="Z272" s="60" t="s">
        <v>97</v>
      </c>
      <c r="AA272" s="58" t="s">
        <v>327</v>
      </c>
      <c r="AB272" s="58" t="s">
        <v>75</v>
      </c>
      <c r="AC272" s="61" t="s">
        <v>328</v>
      </c>
      <c r="AD272" s="53" t="s">
        <v>85</v>
      </c>
      <c r="AE272" s="56">
        <f t="shared" si="9"/>
        <v>3.5913609683333325</v>
      </c>
      <c r="AF272" s="56">
        <v>3.5913609683333325</v>
      </c>
      <c r="AG272" s="62"/>
      <c r="AH272" s="63"/>
      <c r="AI272" s="61"/>
      <c r="AJ272" s="58"/>
      <c r="AK272" s="58"/>
      <c r="AL272" s="58"/>
      <c r="AM272" s="58"/>
      <c r="AN272" s="58"/>
      <c r="AO272" s="58"/>
    </row>
    <row r="273" spans="1:41" x14ac:dyDescent="0.2">
      <c r="A273" s="49" t="s">
        <v>67</v>
      </c>
      <c r="B273" s="50">
        <v>43257</v>
      </c>
      <c r="C273" s="51">
        <v>0.43402777777777801</v>
      </c>
      <c r="D273" s="49" t="s">
        <v>187</v>
      </c>
      <c r="E273" s="49">
        <v>3</v>
      </c>
      <c r="F273" s="52">
        <v>59</v>
      </c>
      <c r="G273" s="53">
        <v>2</v>
      </c>
      <c r="H273" s="54">
        <v>3.3898305084745763E-2</v>
      </c>
      <c r="I273" s="55">
        <v>6.83E-2</v>
      </c>
      <c r="J273" s="53">
        <v>314.15899999999999</v>
      </c>
      <c r="K273" s="53">
        <v>0.68300000000000005</v>
      </c>
      <c r="L273" s="53">
        <v>10</v>
      </c>
      <c r="M273" s="56">
        <v>229.98462664714492</v>
      </c>
      <c r="N273" s="53">
        <v>1519</v>
      </c>
      <c r="O273" s="58" t="s">
        <v>301</v>
      </c>
      <c r="P273" s="57" t="s">
        <v>82</v>
      </c>
      <c r="Q273" s="53" t="s">
        <v>302</v>
      </c>
      <c r="R273" s="53" t="s">
        <v>84</v>
      </c>
      <c r="S273" s="53"/>
      <c r="T273" s="59">
        <v>1</v>
      </c>
      <c r="U273" s="59">
        <v>5</v>
      </c>
      <c r="V273" s="53">
        <v>0.9</v>
      </c>
      <c r="W273" s="53"/>
      <c r="X273" s="53"/>
      <c r="Y273" s="9">
        <f t="shared" si="8"/>
        <v>229.98462664714492</v>
      </c>
      <c r="Z273" s="60" t="s">
        <v>97</v>
      </c>
      <c r="AA273" s="58" t="s">
        <v>327</v>
      </c>
      <c r="AB273" s="58" t="s">
        <v>75</v>
      </c>
      <c r="AC273" s="61" t="s">
        <v>328</v>
      </c>
      <c r="AD273" s="53" t="s">
        <v>85</v>
      </c>
      <c r="AE273" s="56">
        <f t="shared" si="9"/>
        <v>0.381703185</v>
      </c>
      <c r="AF273" s="56">
        <v>0.381703185</v>
      </c>
      <c r="AG273" s="62"/>
      <c r="AH273" s="63"/>
      <c r="AI273" s="61"/>
      <c r="AJ273" s="58"/>
      <c r="AK273" s="58"/>
      <c r="AL273" s="58"/>
      <c r="AM273" s="58"/>
      <c r="AN273" s="58"/>
      <c r="AO273" s="58"/>
    </row>
    <row r="274" spans="1:41" x14ac:dyDescent="0.2">
      <c r="A274" s="49" t="s">
        <v>67</v>
      </c>
      <c r="B274" s="50">
        <v>43257</v>
      </c>
      <c r="C274" s="51">
        <v>0.45972222222222198</v>
      </c>
      <c r="D274" s="49" t="s">
        <v>108</v>
      </c>
      <c r="E274" s="49">
        <v>3</v>
      </c>
      <c r="F274" s="52">
        <v>60.1</v>
      </c>
      <c r="G274" s="53">
        <v>2</v>
      </c>
      <c r="H274" s="54">
        <v>3.3277870216306155E-2</v>
      </c>
      <c r="I274" s="55">
        <v>6.83E-2</v>
      </c>
      <c r="J274" s="53">
        <v>314.15899999999999</v>
      </c>
      <c r="K274" s="53">
        <v>0.68300000000000005</v>
      </c>
      <c r="L274" s="53">
        <v>10</v>
      </c>
      <c r="M274" s="56">
        <v>229.98462664714492</v>
      </c>
      <c r="N274" s="53">
        <v>145</v>
      </c>
      <c r="O274" s="57" t="s">
        <v>69</v>
      </c>
      <c r="P274" s="58" t="s">
        <v>70</v>
      </c>
      <c r="Q274" s="53" t="s">
        <v>71</v>
      </c>
      <c r="R274" s="53" t="s">
        <v>72</v>
      </c>
      <c r="S274" s="53"/>
      <c r="T274" s="59">
        <v>1</v>
      </c>
      <c r="U274" s="59">
        <v>1</v>
      </c>
      <c r="V274" s="53">
        <v>13</v>
      </c>
      <c r="W274" s="53"/>
      <c r="X274" s="53"/>
      <c r="Y274" s="9">
        <f t="shared" si="8"/>
        <v>229.98462664714492</v>
      </c>
      <c r="Z274" s="60" t="s">
        <v>73</v>
      </c>
      <c r="AA274" s="58" t="s">
        <v>326</v>
      </c>
      <c r="AB274" s="58" t="s">
        <v>75</v>
      </c>
      <c r="AC274" s="61" t="s">
        <v>76</v>
      </c>
      <c r="AD274" s="53" t="s">
        <v>77</v>
      </c>
      <c r="AE274" s="56">
        <f t="shared" si="9"/>
        <v>211.55467059999998</v>
      </c>
      <c r="AF274" s="56">
        <v>211.55467059999998</v>
      </c>
      <c r="AG274" s="62"/>
      <c r="AH274" s="63"/>
      <c r="AI274" s="61"/>
      <c r="AJ274" s="58"/>
      <c r="AK274" s="58"/>
      <c r="AL274" s="58"/>
      <c r="AM274" s="58"/>
      <c r="AN274" s="58"/>
      <c r="AO274" s="58"/>
    </row>
    <row r="275" spans="1:41" x14ac:dyDescent="0.2">
      <c r="A275" s="49" t="s">
        <v>67</v>
      </c>
      <c r="B275" s="50">
        <v>43257</v>
      </c>
      <c r="C275" s="51">
        <v>0.45972222222222198</v>
      </c>
      <c r="D275" s="49" t="s">
        <v>108</v>
      </c>
      <c r="E275" s="49">
        <v>3</v>
      </c>
      <c r="F275" s="52">
        <v>60.1</v>
      </c>
      <c r="G275" s="53">
        <v>2</v>
      </c>
      <c r="H275" s="54">
        <v>3.3277870216306155E-2</v>
      </c>
      <c r="I275" s="55">
        <v>6.83E-2</v>
      </c>
      <c r="J275" s="53">
        <v>314.15899999999999</v>
      </c>
      <c r="K275" s="53">
        <v>0.68300000000000005</v>
      </c>
      <c r="L275" s="53">
        <v>10</v>
      </c>
      <c r="M275" s="56">
        <v>229.98462664714492</v>
      </c>
      <c r="N275" s="53">
        <v>1031</v>
      </c>
      <c r="O275" s="57" t="s">
        <v>81</v>
      </c>
      <c r="P275" s="57" t="s">
        <v>82</v>
      </c>
      <c r="Q275" s="53" t="s">
        <v>83</v>
      </c>
      <c r="R275" s="53" t="s">
        <v>84</v>
      </c>
      <c r="S275" s="53"/>
      <c r="T275" s="59">
        <v>1</v>
      </c>
      <c r="U275" s="59">
        <v>1</v>
      </c>
      <c r="V275" s="53">
        <v>5.6</v>
      </c>
      <c r="W275" s="53"/>
      <c r="X275" s="53"/>
      <c r="Y275" s="9">
        <f t="shared" si="8"/>
        <v>229.98462664714492</v>
      </c>
      <c r="Z275" s="60" t="s">
        <v>73</v>
      </c>
      <c r="AA275" s="58" t="s">
        <v>326</v>
      </c>
      <c r="AB275" s="58" t="s">
        <v>75</v>
      </c>
      <c r="AC275" s="61" t="s">
        <v>76</v>
      </c>
      <c r="AD275" s="53" t="s">
        <v>85</v>
      </c>
      <c r="AE275" s="56">
        <f t="shared" si="9"/>
        <v>75.532201173333306</v>
      </c>
      <c r="AF275" s="56">
        <v>75.532201173333306</v>
      </c>
      <c r="AG275" s="62"/>
      <c r="AH275" s="63"/>
      <c r="AI275" s="61"/>
      <c r="AJ275" s="58"/>
      <c r="AK275" s="58"/>
      <c r="AL275" s="58"/>
      <c r="AM275" s="58"/>
      <c r="AN275" s="58"/>
      <c r="AO275" s="58"/>
    </row>
    <row r="276" spans="1:41" x14ac:dyDescent="0.2">
      <c r="A276" s="49" t="s">
        <v>67</v>
      </c>
      <c r="B276" s="50">
        <v>43257</v>
      </c>
      <c r="C276" s="51">
        <v>0.45972222222222198</v>
      </c>
      <c r="D276" s="49" t="s">
        <v>108</v>
      </c>
      <c r="E276" s="49">
        <v>3</v>
      </c>
      <c r="F276" s="52">
        <v>60.1</v>
      </c>
      <c r="G276" s="53">
        <v>2</v>
      </c>
      <c r="H276" s="54">
        <v>3.3277870216306155E-2</v>
      </c>
      <c r="I276" s="55">
        <v>6.83E-2</v>
      </c>
      <c r="J276" s="53">
        <v>314.15899999999999</v>
      </c>
      <c r="K276" s="53">
        <v>0.68300000000000005</v>
      </c>
      <c r="L276" s="53">
        <v>10</v>
      </c>
      <c r="M276" s="56">
        <v>229.98462664714492</v>
      </c>
      <c r="N276" s="53">
        <v>1037</v>
      </c>
      <c r="O276" s="57" t="s">
        <v>86</v>
      </c>
      <c r="P276" s="57" t="s">
        <v>82</v>
      </c>
      <c r="Q276" s="53" t="s">
        <v>87</v>
      </c>
      <c r="R276" s="53" t="s">
        <v>84</v>
      </c>
      <c r="S276" s="53"/>
      <c r="T276" s="59">
        <v>20</v>
      </c>
      <c r="U276" s="59">
        <v>20</v>
      </c>
      <c r="V276" s="53">
        <v>3.7</v>
      </c>
      <c r="W276" s="53"/>
      <c r="X276" s="53"/>
      <c r="Y276" s="9">
        <f t="shared" si="8"/>
        <v>4599.6925329428987</v>
      </c>
      <c r="Z276" s="60" t="s">
        <v>73</v>
      </c>
      <c r="AA276" s="58" t="s">
        <v>326</v>
      </c>
      <c r="AB276" s="58" t="s">
        <v>75</v>
      </c>
      <c r="AC276" s="61" t="s">
        <v>76</v>
      </c>
      <c r="AD276" s="53" t="s">
        <v>85</v>
      </c>
      <c r="AE276" s="56">
        <f t="shared" si="9"/>
        <v>9.2027643066666673</v>
      </c>
      <c r="AF276" s="56">
        <v>9.2027643066666673</v>
      </c>
      <c r="AG276" s="62"/>
      <c r="AH276" s="63"/>
      <c r="AI276" s="61"/>
      <c r="AJ276" s="58"/>
      <c r="AK276" s="58"/>
      <c r="AL276" s="58"/>
      <c r="AM276" s="58"/>
      <c r="AN276" s="58"/>
      <c r="AO276" s="58"/>
    </row>
    <row r="277" spans="1:41" x14ac:dyDescent="0.2">
      <c r="A277" s="49" t="s">
        <v>67</v>
      </c>
      <c r="B277" s="50">
        <v>43257</v>
      </c>
      <c r="C277" s="51">
        <v>0.45972222222222198</v>
      </c>
      <c r="D277" s="49" t="s">
        <v>108</v>
      </c>
      <c r="E277" s="49">
        <v>3</v>
      </c>
      <c r="F277" s="52">
        <v>60.1</v>
      </c>
      <c r="G277" s="53">
        <v>2</v>
      </c>
      <c r="H277" s="54">
        <v>3.3277870216306155E-2</v>
      </c>
      <c r="I277" s="55">
        <v>6.83E-2</v>
      </c>
      <c r="J277" s="53">
        <v>314.15899999999999</v>
      </c>
      <c r="K277" s="53">
        <v>0.68300000000000005</v>
      </c>
      <c r="L277" s="53">
        <v>10</v>
      </c>
      <c r="M277" s="56">
        <v>229.98462664714492</v>
      </c>
      <c r="N277" s="53">
        <v>1135</v>
      </c>
      <c r="O277" s="58" t="s">
        <v>282</v>
      </c>
      <c r="P277" s="57" t="s">
        <v>82</v>
      </c>
      <c r="Q277" s="53" t="s">
        <v>127</v>
      </c>
      <c r="R277" s="53" t="s">
        <v>283</v>
      </c>
      <c r="S277" s="53"/>
      <c r="T277" s="59">
        <v>1</v>
      </c>
      <c r="U277" s="59">
        <v>1</v>
      </c>
      <c r="V277" s="53">
        <v>7.4</v>
      </c>
      <c r="W277" s="53"/>
      <c r="X277" s="53"/>
      <c r="Y277" s="9">
        <f t="shared" si="8"/>
        <v>229.98462664714492</v>
      </c>
      <c r="Z277" s="60" t="s">
        <v>73</v>
      </c>
      <c r="AA277" s="58" t="s">
        <v>326</v>
      </c>
      <c r="AB277" s="58" t="s">
        <v>75</v>
      </c>
      <c r="AC277" s="61" t="s">
        <v>76</v>
      </c>
      <c r="AD277" s="53" t="s">
        <v>129</v>
      </c>
      <c r="AE277" s="56">
        <f t="shared" si="9"/>
        <v>13.987405876666664</v>
      </c>
      <c r="AF277" s="56">
        <v>13.987405876666664</v>
      </c>
      <c r="AG277" s="62"/>
      <c r="AH277" s="63"/>
      <c r="AI277" s="61"/>
      <c r="AJ277" s="58"/>
      <c r="AK277" s="58"/>
      <c r="AL277" s="58"/>
      <c r="AM277" s="58"/>
      <c r="AN277" s="58"/>
      <c r="AO277" s="58"/>
    </row>
    <row r="278" spans="1:41" x14ac:dyDescent="0.2">
      <c r="A278" s="49" t="s">
        <v>67</v>
      </c>
      <c r="B278" s="50">
        <v>43257</v>
      </c>
      <c r="C278" s="51">
        <v>0.45972222222222198</v>
      </c>
      <c r="D278" s="49" t="s">
        <v>108</v>
      </c>
      <c r="E278" s="49">
        <v>3</v>
      </c>
      <c r="F278" s="52">
        <v>60.1</v>
      </c>
      <c r="G278" s="53">
        <v>2</v>
      </c>
      <c r="H278" s="54">
        <v>3.3277870216306155E-2</v>
      </c>
      <c r="I278" s="55">
        <v>6.83E-2</v>
      </c>
      <c r="J278" s="53">
        <v>314.15899999999999</v>
      </c>
      <c r="K278" s="53">
        <v>0.68300000000000005</v>
      </c>
      <c r="L278" s="53">
        <v>10</v>
      </c>
      <c r="M278" s="56">
        <v>229.98462664714492</v>
      </c>
      <c r="N278" s="53">
        <v>1733</v>
      </c>
      <c r="O278" s="57" t="s">
        <v>92</v>
      </c>
      <c r="P278" s="57" t="s">
        <v>82</v>
      </c>
      <c r="Q278" s="53" t="s">
        <v>89</v>
      </c>
      <c r="R278" s="53" t="s">
        <v>93</v>
      </c>
      <c r="S278" s="53"/>
      <c r="T278" s="59">
        <v>2</v>
      </c>
      <c r="U278" s="59">
        <v>2</v>
      </c>
      <c r="V278" s="53">
        <v>7.4</v>
      </c>
      <c r="W278" s="53"/>
      <c r="X278" s="53"/>
      <c r="Y278" s="9">
        <f t="shared" si="8"/>
        <v>459.96925329428984</v>
      </c>
      <c r="Z278" s="60" t="s">
        <v>73</v>
      </c>
      <c r="AA278" s="58" t="s">
        <v>326</v>
      </c>
      <c r="AB278" s="58" t="s">
        <v>75</v>
      </c>
      <c r="AC278" s="61" t="s">
        <v>76</v>
      </c>
      <c r="AD278" s="53" t="s">
        <v>91</v>
      </c>
      <c r="AE278" s="56">
        <f t="shared" si="9"/>
        <v>117.24675679166666</v>
      </c>
      <c r="AF278" s="56">
        <v>117.24675679166666</v>
      </c>
      <c r="AG278" s="62"/>
      <c r="AH278" s="63"/>
      <c r="AI278" s="61"/>
      <c r="AJ278" s="58"/>
      <c r="AK278" s="58"/>
      <c r="AL278" s="58"/>
      <c r="AM278" s="58"/>
      <c r="AN278" s="58"/>
      <c r="AO278" s="58"/>
    </row>
    <row r="279" spans="1:41" x14ac:dyDescent="0.2">
      <c r="A279" s="49" t="s">
        <v>67</v>
      </c>
      <c r="B279" s="50">
        <v>43257</v>
      </c>
      <c r="C279" s="51">
        <v>0.45972222222222198</v>
      </c>
      <c r="D279" s="49" t="s">
        <v>108</v>
      </c>
      <c r="E279" s="49">
        <v>3</v>
      </c>
      <c r="F279" s="52">
        <v>60.1</v>
      </c>
      <c r="G279" s="53">
        <v>2</v>
      </c>
      <c r="H279" s="54">
        <v>3.3277870216306155E-2</v>
      </c>
      <c r="I279" s="55">
        <v>6.83E-2</v>
      </c>
      <c r="J279" s="53">
        <v>314.15899999999999</v>
      </c>
      <c r="K279" s="53">
        <v>0.68300000000000005</v>
      </c>
      <c r="L279" s="53">
        <v>10</v>
      </c>
      <c r="M279" s="56">
        <v>229.98462664714492</v>
      </c>
      <c r="N279" s="53">
        <v>1419</v>
      </c>
      <c r="O279" s="57" t="s">
        <v>94</v>
      </c>
      <c r="P279" s="57" t="s">
        <v>82</v>
      </c>
      <c r="Q279" s="53" t="s">
        <v>95</v>
      </c>
      <c r="R279" s="53" t="s">
        <v>96</v>
      </c>
      <c r="S279" s="53"/>
      <c r="T279" s="59">
        <v>396</v>
      </c>
      <c r="U279" s="59">
        <v>795</v>
      </c>
      <c r="V279" s="53">
        <v>0.8</v>
      </c>
      <c r="W279" s="53">
        <v>0.8</v>
      </c>
      <c r="X279" s="53">
        <v>0.8</v>
      </c>
      <c r="Y279" s="9">
        <f t="shared" si="8"/>
        <v>91073.912152269389</v>
      </c>
      <c r="Z279" s="60" t="s">
        <v>97</v>
      </c>
      <c r="AA279" s="58" t="s">
        <v>326</v>
      </c>
      <c r="AB279" s="58" t="s">
        <v>75</v>
      </c>
      <c r="AC279" s="61" t="s">
        <v>76</v>
      </c>
      <c r="AD279" s="53" t="s">
        <v>85</v>
      </c>
      <c r="AE279" s="56">
        <f t="shared" si="9"/>
        <v>0.17999999999999997</v>
      </c>
      <c r="AF279" s="56">
        <v>0.18</v>
      </c>
      <c r="AG279" s="56">
        <v>0.18</v>
      </c>
      <c r="AH279" s="56">
        <v>0.18</v>
      </c>
      <c r="AI279" s="56">
        <v>0.18</v>
      </c>
      <c r="AJ279" s="56">
        <v>0.18</v>
      </c>
      <c r="AK279" s="56">
        <v>0.18</v>
      </c>
      <c r="AL279" s="56">
        <v>0.18</v>
      </c>
      <c r="AM279" s="56">
        <v>0.18</v>
      </c>
      <c r="AN279" s="56">
        <v>0.18</v>
      </c>
      <c r="AO279" s="56">
        <v>0.18</v>
      </c>
    </row>
    <row r="280" spans="1:41" x14ac:dyDescent="0.2">
      <c r="A280" s="49" t="s">
        <v>67</v>
      </c>
      <c r="B280" s="50">
        <v>43257</v>
      </c>
      <c r="C280" s="51">
        <v>0.47222222222222199</v>
      </c>
      <c r="D280" s="49" t="s">
        <v>181</v>
      </c>
      <c r="E280" s="49"/>
      <c r="F280" s="52">
        <v>61</v>
      </c>
      <c r="G280" s="53">
        <v>2</v>
      </c>
      <c r="H280" s="54">
        <v>3.2786885245901641E-2</v>
      </c>
      <c r="I280" s="55">
        <v>6.83E-2</v>
      </c>
      <c r="J280" s="53">
        <v>314.15899999999999</v>
      </c>
      <c r="K280" s="53">
        <v>0.5464</v>
      </c>
      <c r="L280" s="53">
        <v>8</v>
      </c>
      <c r="M280" s="56">
        <v>287.48078330893117</v>
      </c>
      <c r="N280" s="53">
        <v>145</v>
      </c>
      <c r="O280" s="57" t="s">
        <v>69</v>
      </c>
      <c r="P280" s="58" t="s">
        <v>70</v>
      </c>
      <c r="Q280" s="53" t="s">
        <v>71</v>
      </c>
      <c r="R280" s="53" t="s">
        <v>72</v>
      </c>
      <c r="S280" s="53"/>
      <c r="T280" s="59">
        <v>1</v>
      </c>
      <c r="U280" s="59">
        <v>1</v>
      </c>
      <c r="V280" s="53">
        <v>18.5</v>
      </c>
      <c r="W280" s="53"/>
      <c r="X280" s="53"/>
      <c r="Y280" s="9">
        <f t="shared" si="8"/>
        <v>287.48078330893117</v>
      </c>
      <c r="Z280" s="60" t="s">
        <v>73</v>
      </c>
      <c r="AA280" s="58" t="s">
        <v>323</v>
      </c>
      <c r="AB280" s="58" t="s">
        <v>75</v>
      </c>
      <c r="AC280" s="61" t="s">
        <v>324</v>
      </c>
      <c r="AD280" s="53" t="s">
        <v>77</v>
      </c>
      <c r="AE280" s="56">
        <f t="shared" si="9"/>
        <v>596.7410935124999</v>
      </c>
      <c r="AF280" s="56">
        <v>596.7410935124999</v>
      </c>
      <c r="AG280" s="62"/>
      <c r="AH280" s="63"/>
      <c r="AI280" s="61"/>
      <c r="AJ280" s="58"/>
      <c r="AK280" s="58"/>
      <c r="AL280" s="58"/>
      <c r="AM280" s="58"/>
      <c r="AN280" s="58"/>
      <c r="AO280" s="58"/>
    </row>
    <row r="281" spans="1:41" x14ac:dyDescent="0.2">
      <c r="A281" s="49" t="s">
        <v>67</v>
      </c>
      <c r="B281" s="50">
        <v>43257</v>
      </c>
      <c r="C281" s="51">
        <v>0.47222222222222199</v>
      </c>
      <c r="D281" s="49" t="s">
        <v>181</v>
      </c>
      <c r="E281" s="49"/>
      <c r="F281" s="52">
        <v>61</v>
      </c>
      <c r="G281" s="53">
        <v>2</v>
      </c>
      <c r="H281" s="54">
        <v>3.2786885245901641E-2</v>
      </c>
      <c r="I281" s="55">
        <v>6.83E-2</v>
      </c>
      <c r="J281" s="53">
        <v>314.15899999999999</v>
      </c>
      <c r="K281" s="53">
        <v>0.5464</v>
      </c>
      <c r="L281" s="53">
        <v>8</v>
      </c>
      <c r="M281" s="56">
        <v>287.48078330893117</v>
      </c>
      <c r="N281" s="53">
        <v>190</v>
      </c>
      <c r="O281" s="57" t="s">
        <v>102</v>
      </c>
      <c r="P281" s="58" t="s">
        <v>70</v>
      </c>
      <c r="Q281" s="53" t="s">
        <v>103</v>
      </c>
      <c r="R281" s="53" t="s">
        <v>84</v>
      </c>
      <c r="S281" s="53"/>
      <c r="T281" s="59">
        <v>3</v>
      </c>
      <c r="U281" s="59">
        <v>3</v>
      </c>
      <c r="V281" s="53">
        <v>5.6</v>
      </c>
      <c r="W281" s="53"/>
      <c r="X281" s="53"/>
      <c r="Y281" s="9">
        <f t="shared" si="8"/>
        <v>862.44234992679355</v>
      </c>
      <c r="Z281" s="60" t="s">
        <v>73</v>
      </c>
      <c r="AA281" s="58" t="s">
        <v>323</v>
      </c>
      <c r="AB281" s="58" t="s">
        <v>75</v>
      </c>
      <c r="AC281" s="61" t="s">
        <v>324</v>
      </c>
      <c r="AD281" s="53" t="s">
        <v>104</v>
      </c>
      <c r="AE281" s="56">
        <f t="shared" si="9"/>
        <v>98.520262399999979</v>
      </c>
      <c r="AF281" s="56">
        <v>98.520262399999979</v>
      </c>
      <c r="AG281" s="62"/>
      <c r="AH281" s="63"/>
      <c r="AI281" s="61"/>
      <c r="AJ281" s="58"/>
      <c r="AK281" s="58"/>
      <c r="AL281" s="58"/>
      <c r="AM281" s="58"/>
      <c r="AN281" s="58"/>
      <c r="AO281" s="58"/>
    </row>
    <row r="282" spans="1:41" x14ac:dyDescent="0.2">
      <c r="A282" s="49" t="s">
        <v>67</v>
      </c>
      <c r="B282" s="50">
        <v>43257</v>
      </c>
      <c r="C282" s="51">
        <v>0.47222222222222199</v>
      </c>
      <c r="D282" s="49" t="s">
        <v>181</v>
      </c>
      <c r="E282" s="49"/>
      <c r="F282" s="52">
        <v>61</v>
      </c>
      <c r="G282" s="53">
        <v>2</v>
      </c>
      <c r="H282" s="54">
        <v>3.2786885245901641E-2</v>
      </c>
      <c r="I282" s="55">
        <v>6.83E-2</v>
      </c>
      <c r="J282" s="53">
        <v>314.15899999999999</v>
      </c>
      <c r="K282" s="53">
        <v>0.5464</v>
      </c>
      <c r="L282" s="53">
        <v>8</v>
      </c>
      <c r="M282" s="56">
        <v>287.48078330893117</v>
      </c>
      <c r="N282" s="53">
        <v>1037</v>
      </c>
      <c r="O282" s="57" t="s">
        <v>86</v>
      </c>
      <c r="P282" s="57" t="s">
        <v>82</v>
      </c>
      <c r="Q282" s="53" t="s">
        <v>87</v>
      </c>
      <c r="R282" s="53" t="s">
        <v>84</v>
      </c>
      <c r="S282" s="53"/>
      <c r="T282" s="59">
        <v>18</v>
      </c>
      <c r="U282" s="59">
        <v>18</v>
      </c>
      <c r="V282" s="53">
        <v>2.8</v>
      </c>
      <c r="W282" s="53"/>
      <c r="X282" s="53"/>
      <c r="Y282" s="9">
        <f t="shared" si="8"/>
        <v>5174.6540995607611</v>
      </c>
      <c r="Z282" s="60" t="s">
        <v>73</v>
      </c>
      <c r="AA282" s="58" t="s">
        <v>323</v>
      </c>
      <c r="AB282" s="58" t="s">
        <v>75</v>
      </c>
      <c r="AC282" s="61" t="s">
        <v>324</v>
      </c>
      <c r="AD282" s="53" t="s">
        <v>85</v>
      </c>
      <c r="AE282" s="56">
        <f t="shared" si="9"/>
        <v>11.494030613333329</v>
      </c>
      <c r="AF282" s="56">
        <v>11.494030613333329</v>
      </c>
      <c r="AG282" s="62"/>
      <c r="AH282" s="63"/>
      <c r="AI282" s="61"/>
      <c r="AJ282" s="58"/>
      <c r="AK282" s="58"/>
      <c r="AL282" s="58"/>
      <c r="AM282" s="58"/>
      <c r="AN282" s="58"/>
      <c r="AO282" s="58"/>
    </row>
    <row r="283" spans="1:41" x14ac:dyDescent="0.2">
      <c r="A283" s="49" t="s">
        <v>67</v>
      </c>
      <c r="B283" s="50">
        <v>43257</v>
      </c>
      <c r="C283" s="51">
        <v>0.47222222222222199</v>
      </c>
      <c r="D283" s="49" t="s">
        <v>181</v>
      </c>
      <c r="E283" s="49"/>
      <c r="F283" s="52">
        <v>61</v>
      </c>
      <c r="G283" s="53">
        <v>2</v>
      </c>
      <c r="H283" s="54">
        <v>3.2786885245901641E-2</v>
      </c>
      <c r="I283" s="55">
        <v>6.83E-2</v>
      </c>
      <c r="J283" s="53">
        <v>314.15899999999999</v>
      </c>
      <c r="K283" s="53">
        <v>0.5464</v>
      </c>
      <c r="L283" s="53">
        <v>8</v>
      </c>
      <c r="M283" s="56">
        <v>287.48078330893117</v>
      </c>
      <c r="N283" s="53">
        <v>1135</v>
      </c>
      <c r="O283" s="58" t="s">
        <v>282</v>
      </c>
      <c r="P283" s="57" t="s">
        <v>82</v>
      </c>
      <c r="Q283" s="53" t="s">
        <v>127</v>
      </c>
      <c r="R283" s="53" t="s">
        <v>283</v>
      </c>
      <c r="S283" s="53"/>
      <c r="T283" s="59">
        <v>1</v>
      </c>
      <c r="U283" s="59">
        <v>1</v>
      </c>
      <c r="V283" s="53">
        <v>9.3000000000000007</v>
      </c>
      <c r="W283" s="53"/>
      <c r="X283" s="53"/>
      <c r="Y283" s="9">
        <f t="shared" si="8"/>
        <v>287.48078330893117</v>
      </c>
      <c r="Z283" s="60" t="s">
        <v>73</v>
      </c>
      <c r="AA283" s="58" t="s">
        <v>323</v>
      </c>
      <c r="AB283" s="58" t="s">
        <v>75</v>
      </c>
      <c r="AC283" s="61" t="s">
        <v>324</v>
      </c>
      <c r="AD283" s="53" t="s">
        <v>129</v>
      </c>
      <c r="AE283" s="56">
        <f t="shared" si="9"/>
        <v>17.578766844999997</v>
      </c>
      <c r="AF283" s="56">
        <v>17.578766844999997</v>
      </c>
      <c r="AG283" s="62"/>
      <c r="AH283" s="63"/>
      <c r="AI283" s="61"/>
      <c r="AJ283" s="58"/>
      <c r="AK283" s="58"/>
      <c r="AL283" s="58"/>
      <c r="AM283" s="58"/>
      <c r="AN283" s="58"/>
      <c r="AO283" s="58"/>
    </row>
    <row r="284" spans="1:41" x14ac:dyDescent="0.2">
      <c r="A284" s="49" t="s">
        <v>67</v>
      </c>
      <c r="B284" s="50">
        <v>43257</v>
      </c>
      <c r="C284" s="51">
        <v>0.47222222222222199</v>
      </c>
      <c r="D284" s="49" t="s">
        <v>181</v>
      </c>
      <c r="E284" s="49"/>
      <c r="F284" s="52">
        <v>61</v>
      </c>
      <c r="G284" s="53">
        <v>2</v>
      </c>
      <c r="H284" s="54">
        <v>3.2786885245901641E-2</v>
      </c>
      <c r="I284" s="55">
        <v>6.83E-2</v>
      </c>
      <c r="J284" s="53">
        <v>314.15899999999999</v>
      </c>
      <c r="K284" s="53">
        <v>0.5464</v>
      </c>
      <c r="L284" s="53">
        <v>8</v>
      </c>
      <c r="M284" s="56">
        <v>287.48078330893117</v>
      </c>
      <c r="N284" s="53">
        <v>1733</v>
      </c>
      <c r="O284" s="57" t="s">
        <v>92</v>
      </c>
      <c r="P284" s="57" t="s">
        <v>82</v>
      </c>
      <c r="Q284" s="53" t="s">
        <v>89</v>
      </c>
      <c r="R284" s="53" t="s">
        <v>93</v>
      </c>
      <c r="S284" s="53"/>
      <c r="T284" s="59">
        <v>2</v>
      </c>
      <c r="U284" s="59">
        <v>2</v>
      </c>
      <c r="V284" s="53">
        <v>7.4</v>
      </c>
      <c r="W284" s="53"/>
      <c r="X284" s="53"/>
      <c r="Y284" s="9">
        <f t="shared" si="8"/>
        <v>574.96156661786233</v>
      </c>
      <c r="Z284" s="60" t="s">
        <v>73</v>
      </c>
      <c r="AA284" s="58" t="s">
        <v>323</v>
      </c>
      <c r="AB284" s="58" t="s">
        <v>75</v>
      </c>
      <c r="AC284" s="61" t="s">
        <v>324</v>
      </c>
      <c r="AD284" s="53" t="s">
        <v>91</v>
      </c>
      <c r="AE284" s="56">
        <f t="shared" si="9"/>
        <v>118.35285827083332</v>
      </c>
      <c r="AF284" s="56">
        <v>118.35285827083332</v>
      </c>
      <c r="AG284" s="62"/>
      <c r="AH284" s="63"/>
      <c r="AI284" s="61"/>
      <c r="AJ284" s="58"/>
      <c r="AK284" s="58"/>
      <c r="AL284" s="58"/>
      <c r="AM284" s="58"/>
      <c r="AN284" s="58"/>
      <c r="AO284" s="58"/>
    </row>
    <row r="285" spans="1:41" x14ac:dyDescent="0.2">
      <c r="A285" s="49" t="s">
        <v>67</v>
      </c>
      <c r="B285" s="50">
        <v>43257</v>
      </c>
      <c r="C285" s="51">
        <v>0.47222222222222199</v>
      </c>
      <c r="D285" s="49" t="s">
        <v>181</v>
      </c>
      <c r="E285" s="49"/>
      <c r="F285" s="52">
        <v>61</v>
      </c>
      <c r="G285" s="53">
        <v>2</v>
      </c>
      <c r="H285" s="54">
        <v>3.2786885245901641E-2</v>
      </c>
      <c r="I285" s="55">
        <v>6.83E-2</v>
      </c>
      <c r="J285" s="53">
        <v>314.15899999999999</v>
      </c>
      <c r="K285" s="53">
        <v>0.5464</v>
      </c>
      <c r="L285" s="53">
        <v>8</v>
      </c>
      <c r="M285" s="56">
        <v>287.48078330893117</v>
      </c>
      <c r="N285" s="53">
        <v>1419</v>
      </c>
      <c r="O285" s="57" t="s">
        <v>94</v>
      </c>
      <c r="P285" s="57" t="s">
        <v>82</v>
      </c>
      <c r="Q285" s="53" t="s">
        <v>95</v>
      </c>
      <c r="R285" s="53" t="s">
        <v>96</v>
      </c>
      <c r="S285" s="53"/>
      <c r="T285" s="59">
        <v>432</v>
      </c>
      <c r="U285" s="59">
        <v>871</v>
      </c>
      <c r="V285" s="53">
        <v>0.8</v>
      </c>
      <c r="W285" s="53">
        <v>0.8</v>
      </c>
      <c r="X285" s="53">
        <v>0.8</v>
      </c>
      <c r="Y285" s="9">
        <f t="shared" si="8"/>
        <v>124191.69838945827</v>
      </c>
      <c r="Z285" s="60" t="s">
        <v>97</v>
      </c>
      <c r="AA285" s="58" t="s">
        <v>323</v>
      </c>
      <c r="AB285" s="58" t="s">
        <v>75</v>
      </c>
      <c r="AC285" s="61" t="s">
        <v>324</v>
      </c>
      <c r="AD285" s="53" t="s">
        <v>85</v>
      </c>
      <c r="AE285" s="56">
        <f t="shared" si="9"/>
        <v>0.17999999999999997</v>
      </c>
      <c r="AF285" s="56">
        <v>0.18</v>
      </c>
      <c r="AG285" s="56">
        <v>0.18</v>
      </c>
      <c r="AH285" s="56">
        <v>0.18</v>
      </c>
      <c r="AI285" s="56">
        <v>0.18</v>
      </c>
      <c r="AJ285" s="56">
        <v>0.18</v>
      </c>
      <c r="AK285" s="56">
        <v>0.18</v>
      </c>
      <c r="AL285" s="56">
        <v>0.18</v>
      </c>
      <c r="AM285" s="56">
        <v>0.18</v>
      </c>
      <c r="AN285" s="56">
        <v>0.18</v>
      </c>
      <c r="AO285" s="56">
        <v>0.18</v>
      </c>
    </row>
    <row r="286" spans="1:41" x14ac:dyDescent="0.2">
      <c r="A286" s="49" t="s">
        <v>67</v>
      </c>
      <c r="B286" s="50">
        <v>43257</v>
      </c>
      <c r="C286" s="51">
        <v>0.47916666666666702</v>
      </c>
      <c r="D286" s="49" t="s">
        <v>144</v>
      </c>
      <c r="E286" s="49"/>
      <c r="F286" s="52">
        <v>62</v>
      </c>
      <c r="G286" s="53">
        <v>2</v>
      </c>
      <c r="H286" s="54">
        <v>3.2258064516129031E-2</v>
      </c>
      <c r="I286" s="55">
        <v>6.83E-2</v>
      </c>
      <c r="J286" s="53">
        <v>314.15899999999999</v>
      </c>
      <c r="K286" s="53">
        <v>0.5464</v>
      </c>
      <c r="L286" s="53">
        <v>8</v>
      </c>
      <c r="M286" s="56">
        <v>287.48078330893117</v>
      </c>
      <c r="N286" s="53">
        <v>145</v>
      </c>
      <c r="O286" s="57" t="s">
        <v>69</v>
      </c>
      <c r="P286" s="58" t="s">
        <v>70</v>
      </c>
      <c r="Q286" s="53" t="s">
        <v>71</v>
      </c>
      <c r="R286" s="53" t="s">
        <v>72</v>
      </c>
      <c r="S286" s="53"/>
      <c r="T286" s="59">
        <v>1</v>
      </c>
      <c r="U286" s="59">
        <v>1</v>
      </c>
      <c r="V286" s="53">
        <v>18.5</v>
      </c>
      <c r="W286" s="53"/>
      <c r="X286" s="53"/>
      <c r="Y286" s="9">
        <f t="shared" si="8"/>
        <v>287.48078330893117</v>
      </c>
      <c r="Z286" s="60" t="s">
        <v>73</v>
      </c>
      <c r="AA286" s="58" t="s">
        <v>316</v>
      </c>
      <c r="AB286" s="58" t="s">
        <v>75</v>
      </c>
      <c r="AC286" s="61" t="s">
        <v>221</v>
      </c>
      <c r="AD286" s="53" t="s">
        <v>77</v>
      </c>
      <c r="AE286" s="56">
        <f t="shared" si="9"/>
        <v>596.7410935124999</v>
      </c>
      <c r="AF286" s="56">
        <v>596.7410935124999</v>
      </c>
      <c r="AG286" s="62"/>
      <c r="AH286" s="63"/>
      <c r="AI286" s="61"/>
      <c r="AJ286" s="58"/>
      <c r="AK286" s="58"/>
      <c r="AL286" s="58"/>
      <c r="AM286" s="58"/>
      <c r="AN286" s="58"/>
      <c r="AO286" s="58"/>
    </row>
    <row r="287" spans="1:41" x14ac:dyDescent="0.2">
      <c r="A287" s="49" t="s">
        <v>67</v>
      </c>
      <c r="B287" s="50">
        <v>43257</v>
      </c>
      <c r="C287" s="51">
        <v>0.47916666666666702</v>
      </c>
      <c r="D287" s="49" t="s">
        <v>144</v>
      </c>
      <c r="E287" s="49"/>
      <c r="F287" s="52">
        <v>62</v>
      </c>
      <c r="G287" s="53">
        <v>2</v>
      </c>
      <c r="H287" s="54">
        <v>3.2258064516129031E-2</v>
      </c>
      <c r="I287" s="55">
        <v>6.83E-2</v>
      </c>
      <c r="J287" s="53">
        <v>314.15899999999999</v>
      </c>
      <c r="K287" s="53">
        <v>0.5464</v>
      </c>
      <c r="L287" s="53">
        <v>8</v>
      </c>
      <c r="M287" s="56">
        <v>287.48078330893117</v>
      </c>
      <c r="N287" s="53">
        <v>1037</v>
      </c>
      <c r="O287" s="57" t="s">
        <v>86</v>
      </c>
      <c r="P287" s="57" t="s">
        <v>82</v>
      </c>
      <c r="Q287" s="53" t="s">
        <v>87</v>
      </c>
      <c r="R287" s="53" t="s">
        <v>84</v>
      </c>
      <c r="S287" s="53"/>
      <c r="T287" s="59">
        <v>12</v>
      </c>
      <c r="U287" s="59">
        <v>12</v>
      </c>
      <c r="V287" s="53">
        <v>2.8</v>
      </c>
      <c r="W287" s="53"/>
      <c r="X287" s="53"/>
      <c r="Y287" s="9">
        <f t="shared" si="8"/>
        <v>3449.7693997071742</v>
      </c>
      <c r="Z287" s="60" t="s">
        <v>73</v>
      </c>
      <c r="AA287" s="58" t="s">
        <v>316</v>
      </c>
      <c r="AB287" s="58" t="s">
        <v>75</v>
      </c>
      <c r="AC287" s="61" t="s">
        <v>221</v>
      </c>
      <c r="AD287" s="53" t="s">
        <v>85</v>
      </c>
      <c r="AE287" s="56">
        <f t="shared" si="9"/>
        <v>7.2382233599999992</v>
      </c>
      <c r="AF287" s="56">
        <v>7.2382233599999992</v>
      </c>
      <c r="AG287" s="62"/>
      <c r="AH287" s="63"/>
      <c r="AI287" s="61"/>
      <c r="AJ287" s="58"/>
      <c r="AK287" s="58"/>
      <c r="AL287" s="58"/>
      <c r="AM287" s="58"/>
      <c r="AN287" s="58"/>
      <c r="AO287" s="58"/>
    </row>
    <row r="288" spans="1:41" x14ac:dyDescent="0.2">
      <c r="A288" s="49" t="s">
        <v>67</v>
      </c>
      <c r="B288" s="50">
        <v>43257</v>
      </c>
      <c r="C288" s="51">
        <v>0.47916666666666702</v>
      </c>
      <c r="D288" s="49" t="s">
        <v>144</v>
      </c>
      <c r="E288" s="49"/>
      <c r="F288" s="52">
        <v>62</v>
      </c>
      <c r="G288" s="53">
        <v>2</v>
      </c>
      <c r="H288" s="54">
        <v>3.2258064516129031E-2</v>
      </c>
      <c r="I288" s="55">
        <v>6.83E-2</v>
      </c>
      <c r="J288" s="53">
        <v>314.15899999999999</v>
      </c>
      <c r="K288" s="53">
        <v>0.5464</v>
      </c>
      <c r="L288" s="53">
        <v>8</v>
      </c>
      <c r="M288" s="56">
        <v>287.48078330893117</v>
      </c>
      <c r="N288" s="53">
        <v>1733</v>
      </c>
      <c r="O288" s="57" t="s">
        <v>92</v>
      </c>
      <c r="P288" s="57" t="s">
        <v>82</v>
      </c>
      <c r="Q288" s="53" t="s">
        <v>89</v>
      </c>
      <c r="R288" s="53" t="s">
        <v>93</v>
      </c>
      <c r="S288" s="53"/>
      <c r="T288" s="59">
        <v>2</v>
      </c>
      <c r="U288" s="59">
        <v>2</v>
      </c>
      <c r="V288" s="53">
        <v>5.6</v>
      </c>
      <c r="W288" s="53"/>
      <c r="X288" s="53"/>
      <c r="Y288" s="9">
        <f t="shared" si="8"/>
        <v>574.96156661786233</v>
      </c>
      <c r="Z288" s="60" t="s">
        <v>73</v>
      </c>
      <c r="AA288" s="58" t="s">
        <v>316</v>
      </c>
      <c r="AB288" s="58" t="s">
        <v>75</v>
      </c>
      <c r="AC288" s="61" t="s">
        <v>221</v>
      </c>
      <c r="AD288" s="53" t="s">
        <v>91</v>
      </c>
      <c r="AE288" s="56">
        <f t="shared" si="9"/>
        <v>75.532201173333306</v>
      </c>
      <c r="AF288" s="56">
        <v>75.532201173333306</v>
      </c>
      <c r="AG288" s="62"/>
      <c r="AH288" s="63"/>
      <c r="AI288" s="61"/>
      <c r="AJ288" s="58"/>
      <c r="AK288" s="58"/>
      <c r="AL288" s="58"/>
      <c r="AM288" s="58"/>
      <c r="AN288" s="58"/>
      <c r="AO288" s="58"/>
    </row>
    <row r="289" spans="1:41" x14ac:dyDescent="0.2">
      <c r="A289" s="49" t="s">
        <v>67</v>
      </c>
      <c r="B289" s="50">
        <v>43257</v>
      </c>
      <c r="C289" s="51">
        <v>0.47916666666666702</v>
      </c>
      <c r="D289" s="49" t="s">
        <v>144</v>
      </c>
      <c r="E289" s="49"/>
      <c r="F289" s="52">
        <v>62</v>
      </c>
      <c r="G289" s="53">
        <v>2</v>
      </c>
      <c r="H289" s="54">
        <v>3.2258064516129031E-2</v>
      </c>
      <c r="I289" s="55">
        <v>6.83E-2</v>
      </c>
      <c r="J289" s="53">
        <v>314.15899999999999</v>
      </c>
      <c r="K289" s="53">
        <v>0.5464</v>
      </c>
      <c r="L289" s="53">
        <v>8</v>
      </c>
      <c r="M289" s="56">
        <v>287.48078330893117</v>
      </c>
      <c r="N289" s="53">
        <v>1419</v>
      </c>
      <c r="O289" s="57" t="s">
        <v>94</v>
      </c>
      <c r="P289" s="57" t="s">
        <v>82</v>
      </c>
      <c r="Q289" s="53" t="s">
        <v>95</v>
      </c>
      <c r="R289" s="53" t="s">
        <v>96</v>
      </c>
      <c r="S289" s="53"/>
      <c r="T289" s="59">
        <v>442</v>
      </c>
      <c r="U289" s="59">
        <v>892</v>
      </c>
      <c r="V289" s="53">
        <v>0.8</v>
      </c>
      <c r="W289" s="53">
        <v>0.8</v>
      </c>
      <c r="X289" s="53">
        <v>0.8</v>
      </c>
      <c r="Y289" s="9">
        <f t="shared" si="8"/>
        <v>127066.50622254757</v>
      </c>
      <c r="Z289" s="60" t="s">
        <v>97</v>
      </c>
      <c r="AA289" s="58" t="s">
        <v>316</v>
      </c>
      <c r="AB289" s="58" t="s">
        <v>75</v>
      </c>
      <c r="AC289" s="61" t="s">
        <v>221</v>
      </c>
      <c r="AD289" s="53" t="s">
        <v>85</v>
      </c>
      <c r="AE289" s="56">
        <f t="shared" si="9"/>
        <v>0.17999999999999997</v>
      </c>
      <c r="AF289" s="56">
        <v>0.18</v>
      </c>
      <c r="AG289" s="56">
        <v>0.18</v>
      </c>
      <c r="AH289" s="56">
        <v>0.18</v>
      </c>
      <c r="AI289" s="56">
        <v>0.18</v>
      </c>
      <c r="AJ289" s="56">
        <v>0.18</v>
      </c>
      <c r="AK289" s="56">
        <v>0.18</v>
      </c>
      <c r="AL289" s="56">
        <v>0.18</v>
      </c>
      <c r="AM289" s="56">
        <v>0.18</v>
      </c>
      <c r="AN289" s="56">
        <v>0.18</v>
      </c>
      <c r="AO289" s="56">
        <v>0.18</v>
      </c>
    </row>
    <row r="290" spans="1:41" x14ac:dyDescent="0.2">
      <c r="A290" s="49" t="s">
        <v>67</v>
      </c>
      <c r="B290" s="50">
        <v>43257</v>
      </c>
      <c r="C290" s="51">
        <v>0.51041666666666696</v>
      </c>
      <c r="D290" s="49" t="s">
        <v>170</v>
      </c>
      <c r="E290" s="49">
        <v>3</v>
      </c>
      <c r="F290" s="52">
        <v>62</v>
      </c>
      <c r="G290" s="53">
        <v>2</v>
      </c>
      <c r="H290" s="54">
        <v>3.2258064516129031E-2</v>
      </c>
      <c r="I290" s="55">
        <v>6.83E-2</v>
      </c>
      <c r="J290" s="53">
        <v>314.15899999999999</v>
      </c>
      <c r="K290" s="53">
        <v>0.4098</v>
      </c>
      <c r="L290" s="53">
        <v>6</v>
      </c>
      <c r="M290" s="56">
        <v>383.30771107857493</v>
      </c>
      <c r="N290" s="53">
        <v>1037</v>
      </c>
      <c r="O290" s="57" t="s">
        <v>86</v>
      </c>
      <c r="P290" s="57" t="s">
        <v>82</v>
      </c>
      <c r="Q290" s="53" t="s">
        <v>87</v>
      </c>
      <c r="R290" s="53" t="s">
        <v>84</v>
      </c>
      <c r="S290" s="53"/>
      <c r="T290" s="59">
        <v>16</v>
      </c>
      <c r="U290" s="59">
        <v>16</v>
      </c>
      <c r="V290" s="53">
        <v>2.8</v>
      </c>
      <c r="W290" s="53"/>
      <c r="X290" s="53"/>
      <c r="Y290" s="9">
        <f t="shared" si="8"/>
        <v>6132.9233772571988</v>
      </c>
      <c r="Z290" s="60" t="s">
        <v>73</v>
      </c>
      <c r="AA290" s="58" t="s">
        <v>329</v>
      </c>
      <c r="AB290" s="58" t="s">
        <v>75</v>
      </c>
      <c r="AC290" s="61" t="s">
        <v>330</v>
      </c>
      <c r="AD290" s="53" t="s">
        <v>85</v>
      </c>
      <c r="AE290" s="56">
        <f t="shared" si="9"/>
        <v>7.2382233599999992</v>
      </c>
      <c r="AF290" s="56">
        <v>7.2382233599999992</v>
      </c>
      <c r="AG290" s="62"/>
      <c r="AH290" s="63"/>
      <c r="AI290" s="61"/>
      <c r="AJ290" s="58"/>
      <c r="AK290" s="58"/>
      <c r="AL290" s="58"/>
      <c r="AM290" s="58"/>
      <c r="AN290" s="58"/>
      <c r="AO290" s="58"/>
    </row>
    <row r="291" spans="1:41" x14ac:dyDescent="0.2">
      <c r="A291" s="49" t="s">
        <v>67</v>
      </c>
      <c r="B291" s="50">
        <v>43257</v>
      </c>
      <c r="C291" s="51">
        <v>0.51041666666666696</v>
      </c>
      <c r="D291" s="49" t="s">
        <v>170</v>
      </c>
      <c r="E291" s="49">
        <v>3</v>
      </c>
      <c r="F291" s="52">
        <v>62</v>
      </c>
      <c r="G291" s="53">
        <v>2</v>
      </c>
      <c r="H291" s="54">
        <v>3.2258064516129031E-2</v>
      </c>
      <c r="I291" s="55">
        <v>6.83E-2</v>
      </c>
      <c r="J291" s="53">
        <v>314.15899999999999</v>
      </c>
      <c r="K291" s="53">
        <v>0.4098</v>
      </c>
      <c r="L291" s="53">
        <v>6</v>
      </c>
      <c r="M291" s="56">
        <v>383.30771107857493</v>
      </c>
      <c r="N291" s="53">
        <v>1140</v>
      </c>
      <c r="O291" s="57" t="s">
        <v>126</v>
      </c>
      <c r="P291" s="57" t="s">
        <v>82</v>
      </c>
      <c r="Q291" s="53" t="s">
        <v>127</v>
      </c>
      <c r="R291" s="53" t="s">
        <v>128</v>
      </c>
      <c r="S291" s="53"/>
      <c r="T291" s="59">
        <v>1</v>
      </c>
      <c r="U291" s="59">
        <v>1</v>
      </c>
      <c r="V291" s="53">
        <v>11.1</v>
      </c>
      <c r="W291" s="53"/>
      <c r="X291" s="53"/>
      <c r="Y291" s="9">
        <f t="shared" si="8"/>
        <v>383.30771107857493</v>
      </c>
      <c r="Z291" s="60" t="s">
        <v>73</v>
      </c>
      <c r="AA291" s="58" t="s">
        <v>329</v>
      </c>
      <c r="AB291" s="58" t="s">
        <v>75</v>
      </c>
      <c r="AC291" s="61" t="s">
        <v>330</v>
      </c>
      <c r="AD291" s="53" t="s">
        <v>129</v>
      </c>
      <c r="AE291" s="56">
        <f t="shared" si="9"/>
        <v>20.981108814999995</v>
      </c>
      <c r="AF291" s="56">
        <v>20.981108814999995</v>
      </c>
      <c r="AG291" s="62"/>
      <c r="AH291" s="63"/>
      <c r="AI291" s="61"/>
      <c r="AJ291" s="58"/>
      <c r="AK291" s="58"/>
      <c r="AL291" s="58"/>
      <c r="AM291" s="58"/>
      <c r="AN291" s="58"/>
      <c r="AO291" s="58"/>
    </row>
    <row r="292" spans="1:41" x14ac:dyDescent="0.2">
      <c r="A292" s="49" t="s">
        <v>67</v>
      </c>
      <c r="B292" s="50">
        <v>43257</v>
      </c>
      <c r="C292" s="51">
        <v>0.51041666666666696</v>
      </c>
      <c r="D292" s="49" t="s">
        <v>170</v>
      </c>
      <c r="E292" s="49">
        <v>3</v>
      </c>
      <c r="F292" s="52">
        <v>62</v>
      </c>
      <c r="G292" s="53">
        <v>2</v>
      </c>
      <c r="H292" s="54">
        <v>3.2258064516129031E-2</v>
      </c>
      <c r="I292" s="55">
        <v>6.83E-2</v>
      </c>
      <c r="J292" s="53">
        <v>314.15899999999999</v>
      </c>
      <c r="K292" s="53">
        <v>0.4098</v>
      </c>
      <c r="L292" s="53">
        <v>6</v>
      </c>
      <c r="M292" s="56">
        <v>383.30771107857493</v>
      </c>
      <c r="N292" s="53">
        <v>1419</v>
      </c>
      <c r="O292" s="57" t="s">
        <v>94</v>
      </c>
      <c r="P292" s="57" t="s">
        <v>82</v>
      </c>
      <c r="Q292" s="53" t="s">
        <v>95</v>
      </c>
      <c r="R292" s="53" t="s">
        <v>96</v>
      </c>
      <c r="S292" s="53"/>
      <c r="T292" s="59">
        <v>393</v>
      </c>
      <c r="U292" s="59">
        <v>789</v>
      </c>
      <c r="V292" s="53">
        <v>0.8</v>
      </c>
      <c r="W292" s="53">
        <v>0.8</v>
      </c>
      <c r="X292" s="53">
        <v>0.8</v>
      </c>
      <c r="Y292" s="9">
        <f t="shared" si="8"/>
        <v>150639.93045387993</v>
      </c>
      <c r="Z292" s="60" t="s">
        <v>97</v>
      </c>
      <c r="AA292" s="58" t="s">
        <v>329</v>
      </c>
      <c r="AB292" s="58" t="s">
        <v>75</v>
      </c>
      <c r="AC292" s="61" t="s">
        <v>330</v>
      </c>
      <c r="AD292" s="53" t="s">
        <v>85</v>
      </c>
      <c r="AE292" s="56">
        <f t="shared" si="9"/>
        <v>0.17999999999999997</v>
      </c>
      <c r="AF292" s="56">
        <v>0.18</v>
      </c>
      <c r="AG292" s="56">
        <v>0.18</v>
      </c>
      <c r="AH292" s="56">
        <v>0.18</v>
      </c>
      <c r="AI292" s="56">
        <v>0.18</v>
      </c>
      <c r="AJ292" s="56">
        <v>0.18</v>
      </c>
      <c r="AK292" s="56">
        <v>0.18</v>
      </c>
      <c r="AL292" s="56">
        <v>0.18</v>
      </c>
      <c r="AM292" s="56">
        <v>0.18</v>
      </c>
      <c r="AN292" s="56">
        <v>0.18</v>
      </c>
      <c r="AO292" s="56">
        <v>0.18</v>
      </c>
    </row>
    <row r="293" spans="1:41" x14ac:dyDescent="0.2">
      <c r="A293" s="49" t="s">
        <v>67</v>
      </c>
      <c r="B293" s="50">
        <v>43257</v>
      </c>
      <c r="C293" s="51">
        <v>0.52222222222222203</v>
      </c>
      <c r="D293" s="49" t="s">
        <v>173</v>
      </c>
      <c r="E293" s="49"/>
      <c r="F293" s="52">
        <v>62</v>
      </c>
      <c r="G293" s="53">
        <v>2</v>
      </c>
      <c r="H293" s="54">
        <v>3.2258064516129031E-2</v>
      </c>
      <c r="I293" s="55">
        <v>6.83E-2</v>
      </c>
      <c r="J293" s="53">
        <v>314.15899999999999</v>
      </c>
      <c r="K293" s="53">
        <v>0.75129999999999997</v>
      </c>
      <c r="L293" s="53">
        <v>11</v>
      </c>
      <c r="M293" s="56">
        <v>209.07693331558633</v>
      </c>
      <c r="N293" s="53">
        <v>145</v>
      </c>
      <c r="O293" s="57" t="s">
        <v>69</v>
      </c>
      <c r="P293" s="58" t="s">
        <v>70</v>
      </c>
      <c r="Q293" s="53" t="s">
        <v>71</v>
      </c>
      <c r="R293" s="53" t="s">
        <v>72</v>
      </c>
      <c r="S293" s="53"/>
      <c r="T293" s="59">
        <v>1</v>
      </c>
      <c r="U293" s="59">
        <v>1</v>
      </c>
      <c r="V293" s="53">
        <v>22.2</v>
      </c>
      <c r="W293" s="53"/>
      <c r="X293" s="53"/>
      <c r="Y293" s="9">
        <f t="shared" si="8"/>
        <v>209.07693331558633</v>
      </c>
      <c r="Z293" s="60" t="s">
        <v>73</v>
      </c>
      <c r="AA293" s="58" t="s">
        <v>332</v>
      </c>
      <c r="AB293" s="58" t="s">
        <v>75</v>
      </c>
      <c r="AC293" s="61" t="s">
        <v>112</v>
      </c>
      <c r="AD293" s="53" t="s">
        <v>77</v>
      </c>
      <c r="AE293" s="56">
        <f t="shared" si="9"/>
        <v>954.78574961999993</v>
      </c>
      <c r="AF293" s="56">
        <v>954.78574961999993</v>
      </c>
      <c r="AG293" s="62"/>
      <c r="AH293" s="63"/>
      <c r="AI293" s="61"/>
      <c r="AJ293" s="58"/>
      <c r="AK293" s="58"/>
      <c r="AL293" s="58"/>
      <c r="AM293" s="58"/>
      <c r="AN293" s="58"/>
      <c r="AO293" s="58"/>
    </row>
    <row r="294" spans="1:41" x14ac:dyDescent="0.2">
      <c r="A294" s="49" t="s">
        <v>67</v>
      </c>
      <c r="B294" s="50">
        <v>43257</v>
      </c>
      <c r="C294" s="51">
        <v>0.52222222222222203</v>
      </c>
      <c r="D294" s="49" t="s">
        <v>173</v>
      </c>
      <c r="E294" s="49"/>
      <c r="F294" s="52">
        <v>62</v>
      </c>
      <c r="G294" s="53">
        <v>2</v>
      </c>
      <c r="H294" s="54">
        <v>3.2258064516129031E-2</v>
      </c>
      <c r="I294" s="55">
        <v>6.83E-2</v>
      </c>
      <c r="J294" s="53">
        <v>314.15899999999999</v>
      </c>
      <c r="K294" s="53">
        <v>0.75129999999999997</v>
      </c>
      <c r="L294" s="53">
        <v>11</v>
      </c>
      <c r="M294" s="56">
        <v>209.07693331558633</v>
      </c>
      <c r="N294" s="53">
        <v>749</v>
      </c>
      <c r="O294" s="57" t="s">
        <v>190</v>
      </c>
      <c r="P294" s="58" t="s">
        <v>70</v>
      </c>
      <c r="Q294" s="53" t="s">
        <v>191</v>
      </c>
      <c r="R294" s="53" t="s">
        <v>84</v>
      </c>
      <c r="S294" s="53"/>
      <c r="T294" s="59">
        <v>1</v>
      </c>
      <c r="U294" s="59">
        <v>1</v>
      </c>
      <c r="V294" s="53">
        <v>20.399999999999999</v>
      </c>
      <c r="W294" s="53"/>
      <c r="X294" s="53"/>
      <c r="Y294" s="9">
        <f t="shared" si="8"/>
        <v>209.07693331558633</v>
      </c>
      <c r="Z294" s="60" t="s">
        <v>73</v>
      </c>
      <c r="AA294" s="58" t="s">
        <v>332</v>
      </c>
      <c r="AB294" s="58" t="s">
        <v>75</v>
      </c>
      <c r="AC294" s="61" t="s">
        <v>112</v>
      </c>
      <c r="AD294" s="53" t="s">
        <v>193</v>
      </c>
      <c r="AE294" s="56">
        <f t="shared" si="9"/>
        <v>79.967999999999975</v>
      </c>
      <c r="AF294" s="56">
        <v>79.967999999999975</v>
      </c>
      <c r="AG294" s="62"/>
      <c r="AH294" s="63"/>
      <c r="AI294" s="61"/>
      <c r="AJ294" s="58"/>
      <c r="AK294" s="58"/>
      <c r="AL294" s="58"/>
      <c r="AM294" s="58"/>
      <c r="AN294" s="58"/>
      <c r="AO294" s="58"/>
    </row>
    <row r="295" spans="1:41" x14ac:dyDescent="0.2">
      <c r="A295" s="49" t="s">
        <v>67</v>
      </c>
      <c r="B295" s="50">
        <v>43257</v>
      </c>
      <c r="C295" s="51">
        <v>0.52222222222222203</v>
      </c>
      <c r="D295" s="49" t="s">
        <v>173</v>
      </c>
      <c r="E295" s="49"/>
      <c r="F295" s="52">
        <v>62</v>
      </c>
      <c r="G295" s="53">
        <v>2</v>
      </c>
      <c r="H295" s="54">
        <v>3.2258064516129031E-2</v>
      </c>
      <c r="I295" s="55">
        <v>6.83E-2</v>
      </c>
      <c r="J295" s="53">
        <v>314.15899999999999</v>
      </c>
      <c r="K295" s="53">
        <v>0.75129999999999997</v>
      </c>
      <c r="L295" s="53">
        <v>11</v>
      </c>
      <c r="M295" s="56">
        <v>209.07693331558633</v>
      </c>
      <c r="N295" s="53">
        <v>1037</v>
      </c>
      <c r="O295" s="57" t="s">
        <v>86</v>
      </c>
      <c r="P295" s="57" t="s">
        <v>82</v>
      </c>
      <c r="Q295" s="53" t="s">
        <v>87</v>
      </c>
      <c r="R295" s="53" t="s">
        <v>84</v>
      </c>
      <c r="S295" s="53"/>
      <c r="T295" s="59">
        <v>26</v>
      </c>
      <c r="U295" s="59">
        <v>26</v>
      </c>
      <c r="V295" s="53">
        <v>2.8</v>
      </c>
      <c r="W295" s="53"/>
      <c r="X295" s="53"/>
      <c r="Y295" s="9">
        <f t="shared" si="8"/>
        <v>5436.0002662052448</v>
      </c>
      <c r="Z295" s="60" t="s">
        <v>73</v>
      </c>
      <c r="AA295" s="58" t="s">
        <v>332</v>
      </c>
      <c r="AB295" s="58" t="s">
        <v>75</v>
      </c>
      <c r="AC295" s="61" t="s">
        <v>112</v>
      </c>
      <c r="AD295" s="53" t="s">
        <v>85</v>
      </c>
      <c r="AE295" s="56">
        <f t="shared" si="9"/>
        <v>6.3706209216666645</v>
      </c>
      <c r="AF295" s="56">
        <v>6.3706209216666645</v>
      </c>
      <c r="AG295" s="62"/>
      <c r="AH295" s="63"/>
      <c r="AI295" s="61"/>
      <c r="AJ295" s="58"/>
      <c r="AK295" s="58"/>
      <c r="AL295" s="58"/>
      <c r="AM295" s="58"/>
      <c r="AN295" s="58"/>
      <c r="AO295" s="58"/>
    </row>
    <row r="296" spans="1:41" x14ac:dyDescent="0.2">
      <c r="A296" s="49" t="s">
        <v>67</v>
      </c>
      <c r="B296" s="50">
        <v>43257</v>
      </c>
      <c r="C296" s="51">
        <v>0.52222222222222203</v>
      </c>
      <c r="D296" s="49" t="s">
        <v>173</v>
      </c>
      <c r="E296" s="49"/>
      <c r="F296" s="52">
        <v>62</v>
      </c>
      <c r="G296" s="53">
        <v>2</v>
      </c>
      <c r="H296" s="54">
        <v>3.2258064516129031E-2</v>
      </c>
      <c r="I296" s="55">
        <v>6.83E-2</v>
      </c>
      <c r="J296" s="53">
        <v>314.15899999999999</v>
      </c>
      <c r="K296" s="53">
        <v>0.75129999999999997</v>
      </c>
      <c r="L296" s="53">
        <v>11</v>
      </c>
      <c r="M296" s="56">
        <v>209.07693331558633</v>
      </c>
      <c r="N296" s="53">
        <v>1119</v>
      </c>
      <c r="O296" s="58" t="s">
        <v>197</v>
      </c>
      <c r="P296" s="57" t="s">
        <v>82</v>
      </c>
      <c r="Q296" s="53" t="s">
        <v>198</v>
      </c>
      <c r="R296" s="53" t="s">
        <v>199</v>
      </c>
      <c r="S296" s="53"/>
      <c r="T296" s="59">
        <v>1</v>
      </c>
      <c r="U296" s="59">
        <v>1</v>
      </c>
      <c r="V296" s="53">
        <v>5.6</v>
      </c>
      <c r="W296" s="53"/>
      <c r="X296" s="53"/>
      <c r="Y296" s="9">
        <f t="shared" si="8"/>
        <v>209.07693331558633</v>
      </c>
      <c r="Z296" s="60" t="s">
        <v>73</v>
      </c>
      <c r="AA296" s="58" t="s">
        <v>332</v>
      </c>
      <c r="AB296" s="58" t="s">
        <v>75</v>
      </c>
      <c r="AC296" s="61" t="s">
        <v>112</v>
      </c>
      <c r="AD296" s="53" t="s">
        <v>150</v>
      </c>
      <c r="AE296" s="56">
        <f t="shared" si="9"/>
        <v>30.377080906666663</v>
      </c>
      <c r="AF296" s="56">
        <v>30.377080906666663</v>
      </c>
      <c r="AG296" s="62"/>
      <c r="AH296" s="63"/>
      <c r="AI296" s="61"/>
      <c r="AJ296" s="58"/>
      <c r="AK296" s="58"/>
      <c r="AL296" s="58"/>
      <c r="AM296" s="58"/>
      <c r="AN296" s="58"/>
      <c r="AO296" s="58"/>
    </row>
    <row r="297" spans="1:41" x14ac:dyDescent="0.2">
      <c r="A297" s="49" t="s">
        <v>67</v>
      </c>
      <c r="B297" s="50">
        <v>43257</v>
      </c>
      <c r="C297" s="51">
        <v>0.52222222222222203</v>
      </c>
      <c r="D297" s="49" t="s">
        <v>173</v>
      </c>
      <c r="E297" s="49"/>
      <c r="F297" s="52">
        <v>62</v>
      </c>
      <c r="G297" s="53">
        <v>2</v>
      </c>
      <c r="H297" s="54">
        <v>3.2258064516129031E-2</v>
      </c>
      <c r="I297" s="55">
        <v>6.83E-2</v>
      </c>
      <c r="J297" s="53">
        <v>314.15899999999999</v>
      </c>
      <c r="K297" s="53">
        <v>0.75129999999999997</v>
      </c>
      <c r="L297" s="53">
        <v>11</v>
      </c>
      <c r="M297" s="56">
        <v>209.07693331558633</v>
      </c>
      <c r="N297" s="53">
        <v>1419</v>
      </c>
      <c r="O297" s="57" t="s">
        <v>94</v>
      </c>
      <c r="P297" s="57" t="s">
        <v>82</v>
      </c>
      <c r="Q297" s="53" t="s">
        <v>95</v>
      </c>
      <c r="R297" s="53" t="s">
        <v>96</v>
      </c>
      <c r="S297" s="53"/>
      <c r="T297" s="59">
        <v>377</v>
      </c>
      <c r="U297" s="59">
        <v>759</v>
      </c>
      <c r="V297" s="53">
        <v>0.8</v>
      </c>
      <c r="W297" s="53">
        <v>0.8</v>
      </c>
      <c r="X297" s="53">
        <v>0.8</v>
      </c>
      <c r="Y297" s="9">
        <f t="shared" si="8"/>
        <v>78822.003859976045</v>
      </c>
      <c r="Z297" s="60" t="s">
        <v>97</v>
      </c>
      <c r="AA297" s="58" t="s">
        <v>332</v>
      </c>
      <c r="AB297" s="58" t="s">
        <v>75</v>
      </c>
      <c r="AC297" s="61" t="s">
        <v>112</v>
      </c>
      <c r="AD297" s="53" t="s">
        <v>85</v>
      </c>
      <c r="AE297" s="56">
        <f t="shared" si="9"/>
        <v>0.17999999999999997</v>
      </c>
      <c r="AF297" s="56">
        <v>0.18</v>
      </c>
      <c r="AG297" s="56">
        <v>0.18</v>
      </c>
      <c r="AH297" s="56">
        <v>0.18</v>
      </c>
      <c r="AI297" s="56">
        <v>0.18</v>
      </c>
      <c r="AJ297" s="56">
        <v>0.18</v>
      </c>
      <c r="AK297" s="56">
        <v>0.18</v>
      </c>
      <c r="AL297" s="56">
        <v>0.18</v>
      </c>
      <c r="AM297" s="56">
        <v>0.18</v>
      </c>
      <c r="AN297" s="56">
        <v>0.18</v>
      </c>
      <c r="AO297" s="56">
        <v>0.18</v>
      </c>
    </row>
    <row r="298" spans="1:41" x14ac:dyDescent="0.2">
      <c r="A298" s="49" t="s">
        <v>67</v>
      </c>
      <c r="B298" s="50">
        <v>43257</v>
      </c>
      <c r="C298" s="51">
        <v>0.530555555555556</v>
      </c>
      <c r="D298" s="51" t="s">
        <v>194</v>
      </c>
      <c r="E298" s="49"/>
      <c r="F298" s="52">
        <v>63</v>
      </c>
      <c r="G298" s="53">
        <v>2</v>
      </c>
      <c r="H298" s="54">
        <v>3.1746031746031744E-2</v>
      </c>
      <c r="I298" s="55">
        <v>6.83E-2</v>
      </c>
      <c r="J298" s="53">
        <v>314.15899999999999</v>
      </c>
      <c r="K298" s="53">
        <v>0.88790000000000002</v>
      </c>
      <c r="L298" s="53">
        <v>13</v>
      </c>
      <c r="M298" s="56">
        <v>176.91125126703457</v>
      </c>
      <c r="N298" s="53">
        <v>145</v>
      </c>
      <c r="O298" s="57" t="s">
        <v>69</v>
      </c>
      <c r="P298" s="58" t="s">
        <v>70</v>
      </c>
      <c r="Q298" s="53" t="s">
        <v>71</v>
      </c>
      <c r="R298" s="53" t="s">
        <v>72</v>
      </c>
      <c r="S298" s="53"/>
      <c r="T298" s="59">
        <v>2</v>
      </c>
      <c r="U298" s="59">
        <v>2</v>
      </c>
      <c r="V298" s="53">
        <v>40.700000000000003</v>
      </c>
      <c r="W298" s="53"/>
      <c r="X298" s="53"/>
      <c r="Y298" s="9">
        <f t="shared" si="8"/>
        <v>353.82250253406914</v>
      </c>
      <c r="Z298" s="60" t="s">
        <v>73</v>
      </c>
      <c r="AA298" s="58" t="s">
        <v>333</v>
      </c>
      <c r="AB298" s="58" t="s">
        <v>75</v>
      </c>
      <c r="AC298" s="61" t="s">
        <v>281</v>
      </c>
      <c r="AD298" s="53" t="s">
        <v>77</v>
      </c>
      <c r="AE298" s="56">
        <f t="shared" si="9"/>
        <v>1467.86394524</v>
      </c>
      <c r="AF298" s="56">
        <v>1467.86394524</v>
      </c>
      <c r="AG298" s="62"/>
      <c r="AH298" s="63"/>
      <c r="AI298" s="61"/>
      <c r="AJ298" s="58"/>
      <c r="AK298" s="58"/>
      <c r="AL298" s="58"/>
      <c r="AM298" s="58"/>
      <c r="AN298" s="58"/>
      <c r="AO298" s="58"/>
    </row>
    <row r="299" spans="1:41" x14ac:dyDescent="0.2">
      <c r="A299" s="49" t="s">
        <v>67</v>
      </c>
      <c r="B299" s="50">
        <v>43257</v>
      </c>
      <c r="C299" s="51">
        <v>0.530555555555556</v>
      </c>
      <c r="D299" s="51" t="s">
        <v>194</v>
      </c>
      <c r="E299" s="49"/>
      <c r="F299" s="52">
        <v>63</v>
      </c>
      <c r="G299" s="53">
        <v>2</v>
      </c>
      <c r="H299" s="54">
        <v>3.1746031746031744E-2</v>
      </c>
      <c r="I299" s="55">
        <v>6.83E-2</v>
      </c>
      <c r="J299" s="53">
        <v>314.15899999999999</v>
      </c>
      <c r="K299" s="53">
        <v>0.88790000000000002</v>
      </c>
      <c r="L299" s="53">
        <v>13</v>
      </c>
      <c r="M299" s="56">
        <v>176.91125126703457</v>
      </c>
      <c r="N299" s="53">
        <v>749</v>
      </c>
      <c r="O299" s="57" t="s">
        <v>190</v>
      </c>
      <c r="P299" s="58" t="s">
        <v>70</v>
      </c>
      <c r="Q299" s="53" t="s">
        <v>191</v>
      </c>
      <c r="R299" s="53" t="s">
        <v>84</v>
      </c>
      <c r="S299" s="53"/>
      <c r="T299" s="59">
        <v>1</v>
      </c>
      <c r="U299" s="59">
        <v>1</v>
      </c>
      <c r="V299" s="53">
        <v>16.7</v>
      </c>
      <c r="W299" s="53"/>
      <c r="X299" s="53"/>
      <c r="Y299" s="9">
        <f t="shared" si="8"/>
        <v>176.91125126703457</v>
      </c>
      <c r="Z299" s="60" t="s">
        <v>73</v>
      </c>
      <c r="AA299" s="58" t="s">
        <v>333</v>
      </c>
      <c r="AB299" s="58" t="s">
        <v>75</v>
      </c>
      <c r="AC299" s="61" t="s">
        <v>281</v>
      </c>
      <c r="AD299" s="53" t="s">
        <v>193</v>
      </c>
      <c r="AE299" s="56">
        <f t="shared" si="9"/>
        <v>65.463999999999999</v>
      </c>
      <c r="AF299" s="56">
        <v>65.463999999999999</v>
      </c>
      <c r="AG299" s="62"/>
      <c r="AH299" s="63"/>
      <c r="AI299" s="61"/>
      <c r="AJ299" s="58"/>
      <c r="AK299" s="58"/>
      <c r="AL299" s="58"/>
      <c r="AM299" s="58"/>
      <c r="AN299" s="58"/>
      <c r="AO299" s="58"/>
    </row>
    <row r="300" spans="1:41" x14ac:dyDescent="0.2">
      <c r="A300" s="49" t="s">
        <v>67</v>
      </c>
      <c r="B300" s="50">
        <v>43257</v>
      </c>
      <c r="C300" s="51">
        <v>0.530555555555556</v>
      </c>
      <c r="D300" s="51" t="s">
        <v>194</v>
      </c>
      <c r="E300" s="49"/>
      <c r="F300" s="52">
        <v>63</v>
      </c>
      <c r="G300" s="53">
        <v>2</v>
      </c>
      <c r="H300" s="54">
        <v>3.1746031746031744E-2</v>
      </c>
      <c r="I300" s="55">
        <v>6.83E-2</v>
      </c>
      <c r="J300" s="53">
        <v>314.15899999999999</v>
      </c>
      <c r="K300" s="53">
        <v>0.88790000000000002</v>
      </c>
      <c r="L300" s="53">
        <v>13</v>
      </c>
      <c r="M300" s="56">
        <v>176.91125126703457</v>
      </c>
      <c r="N300" s="53">
        <v>1037</v>
      </c>
      <c r="O300" s="57" t="s">
        <v>86</v>
      </c>
      <c r="P300" s="57" t="s">
        <v>82</v>
      </c>
      <c r="Q300" s="53" t="s">
        <v>87</v>
      </c>
      <c r="R300" s="53" t="s">
        <v>84</v>
      </c>
      <c r="S300" s="53"/>
      <c r="T300" s="59">
        <v>28</v>
      </c>
      <c r="U300" s="59">
        <v>28</v>
      </c>
      <c r="V300" s="53">
        <v>3.7</v>
      </c>
      <c r="W300" s="53"/>
      <c r="X300" s="53"/>
      <c r="Y300" s="9">
        <f t="shared" si="8"/>
        <v>4953.5150354769676</v>
      </c>
      <c r="Z300" s="60" t="s">
        <v>73</v>
      </c>
      <c r="AA300" s="58" t="s">
        <v>333</v>
      </c>
      <c r="AB300" s="58" t="s">
        <v>75</v>
      </c>
      <c r="AC300" s="61" t="s">
        <v>281</v>
      </c>
      <c r="AD300" s="53" t="s">
        <v>85</v>
      </c>
      <c r="AE300" s="56">
        <f t="shared" si="9"/>
        <v>14.137154999999998</v>
      </c>
      <c r="AF300" s="56">
        <v>14.137154999999998</v>
      </c>
      <c r="AG300" s="62"/>
      <c r="AH300" s="63"/>
      <c r="AI300" s="61"/>
      <c r="AJ300" s="58"/>
      <c r="AK300" s="58"/>
      <c r="AL300" s="58"/>
      <c r="AM300" s="58"/>
      <c r="AN300" s="58"/>
      <c r="AO300" s="58"/>
    </row>
    <row r="301" spans="1:41" x14ac:dyDescent="0.2">
      <c r="A301" s="49" t="s">
        <v>67</v>
      </c>
      <c r="B301" s="50">
        <v>43257</v>
      </c>
      <c r="C301" s="51">
        <v>0.530555555555556</v>
      </c>
      <c r="D301" s="51" t="s">
        <v>194</v>
      </c>
      <c r="E301" s="49"/>
      <c r="F301" s="52">
        <v>63</v>
      </c>
      <c r="G301" s="53">
        <v>2</v>
      </c>
      <c r="H301" s="54">
        <v>3.1746031746031744E-2</v>
      </c>
      <c r="I301" s="55">
        <v>6.83E-2</v>
      </c>
      <c r="J301" s="53">
        <v>314.15899999999999</v>
      </c>
      <c r="K301" s="53">
        <v>0.88790000000000002</v>
      </c>
      <c r="L301" s="53">
        <v>13</v>
      </c>
      <c r="M301" s="56">
        <v>176.91125126703457</v>
      </c>
      <c r="N301" s="53">
        <v>1806</v>
      </c>
      <c r="O301" s="57" t="s">
        <v>206</v>
      </c>
      <c r="P301" s="57" t="s">
        <v>82</v>
      </c>
      <c r="Q301" s="53" t="s">
        <v>207</v>
      </c>
      <c r="R301" s="53" t="s">
        <v>84</v>
      </c>
      <c r="S301" s="53"/>
      <c r="T301" s="59">
        <v>2</v>
      </c>
      <c r="U301" s="59">
        <v>2</v>
      </c>
      <c r="V301" s="53">
        <v>4.5999999999999996</v>
      </c>
      <c r="W301" s="53"/>
      <c r="X301" s="53"/>
      <c r="Y301" s="9">
        <f t="shared" si="8"/>
        <v>353.82250253406914</v>
      </c>
      <c r="Z301" s="60" t="s">
        <v>73</v>
      </c>
      <c r="AA301" s="58" t="s">
        <v>333</v>
      </c>
      <c r="AB301" s="58" t="s">
        <v>75</v>
      </c>
      <c r="AC301" s="61" t="s">
        <v>281</v>
      </c>
      <c r="AD301" s="53" t="s">
        <v>120</v>
      </c>
      <c r="AE301" s="56">
        <f t="shared" si="9"/>
        <v>30.105856970000001</v>
      </c>
      <c r="AF301" s="56">
        <v>30.105856970000001</v>
      </c>
      <c r="AG301" s="62"/>
      <c r="AH301" s="63"/>
      <c r="AI301" s="61"/>
      <c r="AJ301" s="58"/>
      <c r="AK301" s="58"/>
      <c r="AL301" s="58"/>
      <c r="AM301" s="58"/>
      <c r="AN301" s="58"/>
      <c r="AO301" s="58"/>
    </row>
    <row r="302" spans="1:41" x14ac:dyDescent="0.2">
      <c r="A302" s="49" t="s">
        <v>67</v>
      </c>
      <c r="B302" s="50">
        <v>43257</v>
      </c>
      <c r="C302" s="51">
        <v>0.530555555555556</v>
      </c>
      <c r="D302" s="51" t="s">
        <v>194</v>
      </c>
      <c r="E302" s="49"/>
      <c r="F302" s="52">
        <v>63</v>
      </c>
      <c r="G302" s="53">
        <v>2</v>
      </c>
      <c r="H302" s="54">
        <v>3.1746031746031744E-2</v>
      </c>
      <c r="I302" s="55">
        <v>6.83E-2</v>
      </c>
      <c r="J302" s="53">
        <v>314.15899999999999</v>
      </c>
      <c r="K302" s="53">
        <v>0.88790000000000002</v>
      </c>
      <c r="L302" s="53">
        <v>13</v>
      </c>
      <c r="M302" s="56">
        <v>176.91125126703457</v>
      </c>
      <c r="N302" s="53">
        <v>1733</v>
      </c>
      <c r="O302" s="57" t="s">
        <v>92</v>
      </c>
      <c r="P302" s="57" t="s">
        <v>82</v>
      </c>
      <c r="Q302" s="53" t="s">
        <v>89</v>
      </c>
      <c r="R302" s="53" t="s">
        <v>93</v>
      </c>
      <c r="S302" s="53"/>
      <c r="T302" s="59">
        <v>2</v>
      </c>
      <c r="U302" s="59">
        <v>2</v>
      </c>
      <c r="V302" s="53">
        <v>7.4</v>
      </c>
      <c r="W302" s="53"/>
      <c r="X302" s="53"/>
      <c r="Y302" s="9">
        <f t="shared" si="8"/>
        <v>353.82250253406914</v>
      </c>
      <c r="Z302" s="60" t="s">
        <v>73</v>
      </c>
      <c r="AA302" s="58" t="s">
        <v>333</v>
      </c>
      <c r="AB302" s="58" t="s">
        <v>75</v>
      </c>
      <c r="AC302" s="61" t="s">
        <v>281</v>
      </c>
      <c r="AD302" s="53" t="s">
        <v>91</v>
      </c>
      <c r="AE302" s="56">
        <f t="shared" si="9"/>
        <v>137.2613030833333</v>
      </c>
      <c r="AF302" s="56">
        <v>137.2613030833333</v>
      </c>
      <c r="AG302" s="62"/>
      <c r="AH302" s="63"/>
      <c r="AI302" s="61"/>
      <c r="AJ302" s="58"/>
      <c r="AK302" s="58"/>
      <c r="AL302" s="58"/>
      <c r="AM302" s="58"/>
      <c r="AN302" s="58"/>
      <c r="AO302" s="58"/>
    </row>
    <row r="303" spans="1:41" x14ac:dyDescent="0.2">
      <c r="A303" s="49" t="s">
        <v>67</v>
      </c>
      <c r="B303" s="50">
        <v>43257</v>
      </c>
      <c r="C303" s="51">
        <v>0.530555555555556</v>
      </c>
      <c r="D303" s="51" t="s">
        <v>194</v>
      </c>
      <c r="E303" s="49"/>
      <c r="F303" s="52">
        <v>63</v>
      </c>
      <c r="G303" s="53">
        <v>2</v>
      </c>
      <c r="H303" s="54">
        <v>3.1746031746031744E-2</v>
      </c>
      <c r="I303" s="55">
        <v>6.83E-2</v>
      </c>
      <c r="J303" s="53">
        <v>314.15899999999999</v>
      </c>
      <c r="K303" s="53">
        <v>0.88790000000000002</v>
      </c>
      <c r="L303" s="53">
        <v>13</v>
      </c>
      <c r="M303" s="56">
        <v>176.91125126703457</v>
      </c>
      <c r="N303" s="53">
        <v>1419</v>
      </c>
      <c r="O303" s="57" t="s">
        <v>94</v>
      </c>
      <c r="P303" s="57" t="s">
        <v>82</v>
      </c>
      <c r="Q303" s="53" t="s">
        <v>95</v>
      </c>
      <c r="R303" s="53" t="s">
        <v>96</v>
      </c>
      <c r="S303" s="53"/>
      <c r="T303" s="59">
        <v>374</v>
      </c>
      <c r="U303" s="59">
        <v>754</v>
      </c>
      <c r="V303" s="53">
        <v>0.8</v>
      </c>
      <c r="W303" s="53">
        <v>0.8</v>
      </c>
      <c r="X303" s="53">
        <v>0.8</v>
      </c>
      <c r="Y303" s="9">
        <f t="shared" si="8"/>
        <v>66164.807973870935</v>
      </c>
      <c r="Z303" s="60" t="s">
        <v>97</v>
      </c>
      <c r="AA303" s="58" t="s">
        <v>333</v>
      </c>
      <c r="AB303" s="58" t="s">
        <v>75</v>
      </c>
      <c r="AC303" s="61" t="s">
        <v>281</v>
      </c>
      <c r="AD303" s="53" t="s">
        <v>85</v>
      </c>
      <c r="AE303" s="56">
        <f t="shared" si="9"/>
        <v>0.17999999999999997</v>
      </c>
      <c r="AF303" s="56">
        <v>0.18</v>
      </c>
      <c r="AG303" s="56">
        <v>0.18</v>
      </c>
      <c r="AH303" s="56">
        <v>0.18</v>
      </c>
      <c r="AI303" s="56">
        <v>0.18</v>
      </c>
      <c r="AJ303" s="56">
        <v>0.18</v>
      </c>
      <c r="AK303" s="56">
        <v>0.18</v>
      </c>
      <c r="AL303" s="56">
        <v>0.18</v>
      </c>
      <c r="AM303" s="56">
        <v>0.18</v>
      </c>
      <c r="AN303" s="56">
        <v>0.18</v>
      </c>
      <c r="AO303" s="56">
        <v>0.18</v>
      </c>
    </row>
    <row r="304" spans="1:41" x14ac:dyDescent="0.2">
      <c r="A304" s="49" t="s">
        <v>67</v>
      </c>
      <c r="B304" s="50">
        <v>43257</v>
      </c>
      <c r="C304" s="51">
        <v>0.530555555555556</v>
      </c>
      <c r="D304" s="51" t="s">
        <v>194</v>
      </c>
      <c r="E304" s="49"/>
      <c r="F304" s="52">
        <v>63</v>
      </c>
      <c r="G304" s="53">
        <v>2</v>
      </c>
      <c r="H304" s="54">
        <v>3.1746031746031744E-2</v>
      </c>
      <c r="I304" s="55">
        <v>6.83E-2</v>
      </c>
      <c r="J304" s="53">
        <v>314.15899999999999</v>
      </c>
      <c r="K304" s="53">
        <v>0.88790000000000002</v>
      </c>
      <c r="L304" s="53">
        <v>13</v>
      </c>
      <c r="M304" s="56">
        <v>176.91125126703457</v>
      </c>
      <c r="N304" s="53">
        <v>1519</v>
      </c>
      <c r="O304" s="58" t="s">
        <v>301</v>
      </c>
      <c r="P304" s="57" t="s">
        <v>82</v>
      </c>
      <c r="Q304" s="53" t="s">
        <v>302</v>
      </c>
      <c r="R304" s="53" t="s">
        <v>84</v>
      </c>
      <c r="S304" s="53"/>
      <c r="T304" s="59">
        <v>1</v>
      </c>
      <c r="U304" s="59">
        <v>7</v>
      </c>
      <c r="V304" s="53">
        <v>0.8</v>
      </c>
      <c r="W304" s="53"/>
      <c r="X304" s="53"/>
      <c r="Y304" s="9">
        <f t="shared" si="8"/>
        <v>176.91125126703457</v>
      </c>
      <c r="Z304" s="60" t="s">
        <v>97</v>
      </c>
      <c r="AA304" s="58" t="s">
        <v>333</v>
      </c>
      <c r="AB304" s="58" t="s">
        <v>75</v>
      </c>
      <c r="AC304" s="61" t="s">
        <v>281</v>
      </c>
      <c r="AD304" s="53" t="s">
        <v>85</v>
      </c>
      <c r="AE304" s="56">
        <f t="shared" si="9"/>
        <v>0.26808234666666664</v>
      </c>
      <c r="AF304" s="56">
        <v>0.26808234666666664</v>
      </c>
      <c r="AG304" s="62"/>
      <c r="AH304" s="63"/>
      <c r="AI304" s="61"/>
      <c r="AJ304" s="58"/>
      <c r="AK304" s="58"/>
      <c r="AL304" s="58"/>
      <c r="AM304" s="58"/>
      <c r="AN304" s="58"/>
      <c r="AO304" s="58"/>
    </row>
    <row r="305" spans="1:41" x14ac:dyDescent="0.2">
      <c r="A305" s="49" t="s">
        <v>67</v>
      </c>
      <c r="B305" s="50">
        <v>43257</v>
      </c>
      <c r="C305" s="51">
        <v>0.59791666666666698</v>
      </c>
      <c r="D305" s="49" t="s">
        <v>189</v>
      </c>
      <c r="E305" s="49">
        <v>3</v>
      </c>
      <c r="F305" s="52">
        <v>62</v>
      </c>
      <c r="G305" s="53">
        <v>2</v>
      </c>
      <c r="H305" s="54">
        <v>3.2258064516129031E-2</v>
      </c>
      <c r="I305" s="55">
        <v>6.83E-2</v>
      </c>
      <c r="J305" s="53">
        <v>314.15899999999999</v>
      </c>
      <c r="K305" s="53">
        <v>0.5464</v>
      </c>
      <c r="L305" s="53">
        <v>8</v>
      </c>
      <c r="M305" s="56">
        <v>287.48078330893117</v>
      </c>
      <c r="N305" s="53">
        <v>46</v>
      </c>
      <c r="O305" s="57" t="s">
        <v>109</v>
      </c>
      <c r="P305" s="58" t="s">
        <v>70</v>
      </c>
      <c r="Q305" s="53" t="s">
        <v>110</v>
      </c>
      <c r="R305" s="53" t="s">
        <v>84</v>
      </c>
      <c r="S305" s="53"/>
      <c r="T305" s="59">
        <v>1</v>
      </c>
      <c r="U305" s="59">
        <v>1</v>
      </c>
      <c r="V305" s="53">
        <v>11.1</v>
      </c>
      <c r="W305" s="53"/>
      <c r="X305" s="53"/>
      <c r="Y305" s="9">
        <f t="shared" si="8"/>
        <v>287.48078330893117</v>
      </c>
      <c r="Z305" s="60" t="s">
        <v>73</v>
      </c>
      <c r="AA305" s="58" t="s">
        <v>336</v>
      </c>
      <c r="AB305" s="58" t="s">
        <v>75</v>
      </c>
      <c r="AC305" s="61" t="s">
        <v>76</v>
      </c>
      <c r="AD305" s="53" t="s">
        <v>77</v>
      </c>
      <c r="AE305" s="56">
        <f t="shared" si="9"/>
        <v>90.317570909999986</v>
      </c>
      <c r="AF305" s="56">
        <v>90.317570909999986</v>
      </c>
      <c r="AG305" s="62"/>
      <c r="AH305" s="63"/>
      <c r="AI305" s="61"/>
      <c r="AJ305" s="58"/>
      <c r="AK305" s="58"/>
      <c r="AL305" s="58"/>
      <c r="AM305" s="58"/>
      <c r="AN305" s="58"/>
      <c r="AO305" s="58"/>
    </row>
    <row r="306" spans="1:41" x14ac:dyDescent="0.2">
      <c r="A306" s="49" t="s">
        <v>67</v>
      </c>
      <c r="B306" s="50">
        <v>43257</v>
      </c>
      <c r="C306" s="51">
        <v>0.59791666666666698</v>
      </c>
      <c r="D306" s="49" t="s">
        <v>189</v>
      </c>
      <c r="E306" s="49">
        <v>3</v>
      </c>
      <c r="F306" s="52">
        <v>62</v>
      </c>
      <c r="G306" s="53">
        <v>2</v>
      </c>
      <c r="H306" s="54">
        <v>3.2258064516129031E-2</v>
      </c>
      <c r="I306" s="55">
        <v>6.83E-2</v>
      </c>
      <c r="J306" s="53">
        <v>314.15899999999999</v>
      </c>
      <c r="K306" s="53">
        <v>0.5464</v>
      </c>
      <c r="L306" s="53">
        <v>8</v>
      </c>
      <c r="M306" s="56">
        <v>287.48078330893117</v>
      </c>
      <c r="N306" s="53">
        <v>1037</v>
      </c>
      <c r="O306" s="57" t="s">
        <v>86</v>
      </c>
      <c r="P306" s="57" t="s">
        <v>82</v>
      </c>
      <c r="Q306" s="53" t="s">
        <v>87</v>
      </c>
      <c r="R306" s="53" t="s">
        <v>84</v>
      </c>
      <c r="S306" s="53"/>
      <c r="T306" s="59">
        <v>11</v>
      </c>
      <c r="U306" s="59">
        <v>11</v>
      </c>
      <c r="V306" s="53">
        <v>2.8</v>
      </c>
      <c r="W306" s="53"/>
      <c r="X306" s="53"/>
      <c r="Y306" s="9">
        <f t="shared" si="8"/>
        <v>3162.288616398243</v>
      </c>
      <c r="Z306" s="60" t="s">
        <v>73</v>
      </c>
      <c r="AA306" s="58" t="s">
        <v>336</v>
      </c>
      <c r="AB306" s="58" t="s">
        <v>75</v>
      </c>
      <c r="AC306" s="61" t="s">
        <v>76</v>
      </c>
      <c r="AD306" s="53" t="s">
        <v>85</v>
      </c>
      <c r="AE306" s="56">
        <f t="shared" si="9"/>
        <v>7.2382233599999992</v>
      </c>
      <c r="AF306" s="56">
        <v>7.2382233599999992</v>
      </c>
      <c r="AG306" s="62"/>
      <c r="AH306" s="63"/>
      <c r="AI306" s="61"/>
      <c r="AJ306" s="58"/>
      <c r="AK306" s="58"/>
      <c r="AL306" s="58"/>
      <c r="AM306" s="58"/>
      <c r="AN306" s="58"/>
      <c r="AO306" s="58"/>
    </row>
    <row r="307" spans="1:41" x14ac:dyDescent="0.2">
      <c r="A307" s="49" t="s">
        <v>67</v>
      </c>
      <c r="B307" s="50">
        <v>43257</v>
      </c>
      <c r="C307" s="51">
        <v>0.59791666666666698</v>
      </c>
      <c r="D307" s="49" t="s">
        <v>189</v>
      </c>
      <c r="E307" s="49">
        <v>3</v>
      </c>
      <c r="F307" s="52">
        <v>62</v>
      </c>
      <c r="G307" s="53">
        <v>2</v>
      </c>
      <c r="H307" s="54">
        <v>3.2258064516129031E-2</v>
      </c>
      <c r="I307" s="55">
        <v>6.83E-2</v>
      </c>
      <c r="J307" s="53">
        <v>314.15899999999999</v>
      </c>
      <c r="K307" s="53">
        <v>0.5464</v>
      </c>
      <c r="L307" s="53">
        <v>8</v>
      </c>
      <c r="M307" s="56">
        <v>287.48078330893117</v>
      </c>
      <c r="N307" s="53">
        <v>1733</v>
      </c>
      <c r="O307" s="57" t="s">
        <v>92</v>
      </c>
      <c r="P307" s="57" t="s">
        <v>82</v>
      </c>
      <c r="Q307" s="53" t="s">
        <v>89</v>
      </c>
      <c r="R307" s="53" t="s">
        <v>93</v>
      </c>
      <c r="S307" s="53"/>
      <c r="T307" s="59">
        <v>3</v>
      </c>
      <c r="U307" s="59">
        <v>3</v>
      </c>
      <c r="V307" s="53">
        <v>6.2</v>
      </c>
      <c r="W307" s="53"/>
      <c r="X307" s="53"/>
      <c r="Y307" s="9">
        <f t="shared" si="8"/>
        <v>862.44234992679355</v>
      </c>
      <c r="Z307" s="60" t="s">
        <v>73</v>
      </c>
      <c r="AA307" s="58" t="s">
        <v>336</v>
      </c>
      <c r="AB307" s="58" t="s">
        <v>75</v>
      </c>
      <c r="AC307" s="61" t="s">
        <v>76</v>
      </c>
      <c r="AD307" s="53" t="s">
        <v>91</v>
      </c>
      <c r="AE307" s="56">
        <f t="shared" si="9"/>
        <v>99.629243670000008</v>
      </c>
      <c r="AF307" s="56">
        <v>99.629243670000008</v>
      </c>
      <c r="AG307" s="62"/>
      <c r="AH307" s="63"/>
      <c r="AI307" s="61"/>
      <c r="AJ307" s="58"/>
      <c r="AK307" s="58"/>
      <c r="AL307" s="58"/>
      <c r="AM307" s="58"/>
      <c r="AN307" s="58"/>
      <c r="AO307" s="58"/>
    </row>
    <row r="308" spans="1:41" x14ac:dyDescent="0.2">
      <c r="A308" s="49" t="s">
        <v>67</v>
      </c>
      <c r="B308" s="50">
        <v>43257</v>
      </c>
      <c r="C308" s="51">
        <v>0.59791666666666698</v>
      </c>
      <c r="D308" s="49" t="s">
        <v>189</v>
      </c>
      <c r="E308" s="49">
        <v>3</v>
      </c>
      <c r="F308" s="52">
        <v>62</v>
      </c>
      <c r="G308" s="53">
        <v>2</v>
      </c>
      <c r="H308" s="54">
        <v>3.2258064516129031E-2</v>
      </c>
      <c r="I308" s="55">
        <v>6.83E-2</v>
      </c>
      <c r="J308" s="53">
        <v>314.15899999999999</v>
      </c>
      <c r="K308" s="53">
        <v>0.5464</v>
      </c>
      <c r="L308" s="53">
        <v>8</v>
      </c>
      <c r="M308" s="56">
        <v>287.48078330893117</v>
      </c>
      <c r="N308" s="53">
        <v>1419</v>
      </c>
      <c r="O308" s="57" t="s">
        <v>94</v>
      </c>
      <c r="P308" s="57" t="s">
        <v>82</v>
      </c>
      <c r="Q308" s="53" t="s">
        <v>95</v>
      </c>
      <c r="R308" s="53" t="s">
        <v>96</v>
      </c>
      <c r="S308" s="53"/>
      <c r="T308" s="59">
        <v>398</v>
      </c>
      <c r="U308" s="59">
        <v>807</v>
      </c>
      <c r="V308" s="53">
        <v>0.8</v>
      </c>
      <c r="W308" s="53">
        <v>0.8</v>
      </c>
      <c r="X308" s="53">
        <v>0.8</v>
      </c>
      <c r="Y308" s="9">
        <f t="shared" si="8"/>
        <v>114417.35175695461</v>
      </c>
      <c r="Z308" s="60" t="s">
        <v>97</v>
      </c>
      <c r="AA308" s="58" t="s">
        <v>336</v>
      </c>
      <c r="AB308" s="58" t="s">
        <v>75</v>
      </c>
      <c r="AC308" s="61" t="s">
        <v>76</v>
      </c>
      <c r="AD308" s="53" t="s">
        <v>85</v>
      </c>
      <c r="AE308" s="56">
        <f t="shared" si="9"/>
        <v>0.17999999999999997</v>
      </c>
      <c r="AF308" s="56">
        <v>0.18</v>
      </c>
      <c r="AG308" s="56">
        <v>0.18</v>
      </c>
      <c r="AH308" s="56">
        <v>0.18</v>
      </c>
      <c r="AI308" s="56">
        <v>0.18</v>
      </c>
      <c r="AJ308" s="56">
        <v>0.18</v>
      </c>
      <c r="AK308" s="56">
        <v>0.18</v>
      </c>
      <c r="AL308" s="56">
        <v>0.18</v>
      </c>
      <c r="AM308" s="56">
        <v>0.18</v>
      </c>
      <c r="AN308" s="56">
        <v>0.18</v>
      </c>
      <c r="AO308" s="56">
        <v>0.18</v>
      </c>
    </row>
    <row r="309" spans="1:41" x14ac:dyDescent="0.2">
      <c r="A309" s="49" t="s">
        <v>67</v>
      </c>
      <c r="B309" s="50">
        <v>43286</v>
      </c>
      <c r="C309" s="51">
        <v>0.44583333333333303</v>
      </c>
      <c r="D309" s="49" t="s">
        <v>68</v>
      </c>
      <c r="E309" s="49">
        <v>3</v>
      </c>
      <c r="F309" s="52">
        <v>63</v>
      </c>
      <c r="G309" s="53">
        <v>1</v>
      </c>
      <c r="H309" s="54">
        <v>1.5873015873015872E-2</v>
      </c>
      <c r="I309" s="55">
        <v>6.83E-2</v>
      </c>
      <c r="J309" s="53">
        <v>314.15899999999999</v>
      </c>
      <c r="K309" s="53">
        <v>0.61470000000000002</v>
      </c>
      <c r="L309" s="53">
        <v>9</v>
      </c>
      <c r="M309" s="56">
        <v>511.07694810476653</v>
      </c>
      <c r="N309" s="53">
        <v>190</v>
      </c>
      <c r="O309" s="57" t="s">
        <v>102</v>
      </c>
      <c r="P309" s="58" t="s">
        <v>70</v>
      </c>
      <c r="Q309" s="53" t="s">
        <v>103</v>
      </c>
      <c r="R309" s="53" t="s">
        <v>84</v>
      </c>
      <c r="S309" s="53"/>
      <c r="T309" s="59">
        <v>1</v>
      </c>
      <c r="U309" s="59">
        <v>1</v>
      </c>
      <c r="V309" s="53">
        <v>6.5</v>
      </c>
      <c r="W309" s="53"/>
      <c r="X309" s="53"/>
      <c r="Y309" s="9">
        <f t="shared" si="8"/>
        <v>511.07694810476653</v>
      </c>
      <c r="Z309" s="60" t="s">
        <v>73</v>
      </c>
      <c r="AA309" s="58" t="s">
        <v>305</v>
      </c>
      <c r="AB309" s="58" t="s">
        <v>75</v>
      </c>
      <c r="AC309" s="61" t="s">
        <v>286</v>
      </c>
      <c r="AD309" s="53" t="s">
        <v>104</v>
      </c>
      <c r="AE309" s="56">
        <f t="shared" si="9"/>
        <v>152.64200412499997</v>
      </c>
      <c r="AF309" s="56">
        <v>152.64200412499997</v>
      </c>
      <c r="AG309" s="62"/>
      <c r="AH309" s="63"/>
      <c r="AI309" s="61"/>
      <c r="AJ309" s="58"/>
      <c r="AK309" s="58"/>
      <c r="AL309" s="58"/>
      <c r="AM309" s="58"/>
      <c r="AN309" s="58"/>
      <c r="AO309" s="58"/>
    </row>
    <row r="310" spans="1:41" x14ac:dyDescent="0.2">
      <c r="A310" s="49" t="s">
        <v>67</v>
      </c>
      <c r="B310" s="50">
        <v>43286</v>
      </c>
      <c r="C310" s="51">
        <v>0.44583333333333303</v>
      </c>
      <c r="D310" s="49" t="s">
        <v>68</v>
      </c>
      <c r="E310" s="49">
        <v>3</v>
      </c>
      <c r="F310" s="52">
        <v>63</v>
      </c>
      <c r="G310" s="53">
        <v>1</v>
      </c>
      <c r="H310" s="54">
        <v>1.5873015873015872E-2</v>
      </c>
      <c r="I310" s="55">
        <v>6.83E-2</v>
      </c>
      <c r="J310" s="53">
        <v>314.15899999999999</v>
      </c>
      <c r="K310" s="53">
        <v>0.61470000000000002</v>
      </c>
      <c r="L310" s="53">
        <v>9</v>
      </c>
      <c r="M310" s="56">
        <v>511.07694810476653</v>
      </c>
      <c r="N310" s="53">
        <v>1037</v>
      </c>
      <c r="O310" s="57" t="s">
        <v>86</v>
      </c>
      <c r="P310" s="57" t="s">
        <v>82</v>
      </c>
      <c r="Q310" s="53" t="s">
        <v>87</v>
      </c>
      <c r="R310" s="53" t="s">
        <v>84</v>
      </c>
      <c r="S310" s="53"/>
      <c r="T310" s="59">
        <v>18</v>
      </c>
      <c r="U310" s="59">
        <v>18</v>
      </c>
      <c r="V310" s="53">
        <v>3.7</v>
      </c>
      <c r="W310" s="53"/>
      <c r="X310" s="53"/>
      <c r="Y310" s="9">
        <f t="shared" si="8"/>
        <v>9199.3850658857973</v>
      </c>
      <c r="Z310" s="60" t="s">
        <v>73</v>
      </c>
      <c r="AA310" s="58" t="s">
        <v>305</v>
      </c>
      <c r="AB310" s="58" t="s">
        <v>75</v>
      </c>
      <c r="AC310" s="61" t="s">
        <v>286</v>
      </c>
      <c r="AD310" s="53" t="s">
        <v>85</v>
      </c>
      <c r="AE310" s="56">
        <f t="shared" si="9"/>
        <v>11.494030613333329</v>
      </c>
      <c r="AF310" s="56">
        <v>11.494030613333329</v>
      </c>
      <c r="AG310" s="62"/>
      <c r="AH310" s="63"/>
      <c r="AI310" s="61"/>
      <c r="AJ310" s="58"/>
      <c r="AK310" s="58"/>
      <c r="AL310" s="58"/>
      <c r="AM310" s="58"/>
      <c r="AN310" s="58"/>
      <c r="AO310" s="58"/>
    </row>
    <row r="311" spans="1:41" x14ac:dyDescent="0.2">
      <c r="A311" s="49" t="s">
        <v>67</v>
      </c>
      <c r="B311" s="50">
        <v>43286</v>
      </c>
      <c r="C311" s="51">
        <v>0.44583333333333303</v>
      </c>
      <c r="D311" s="49" t="s">
        <v>68</v>
      </c>
      <c r="E311" s="49">
        <v>3</v>
      </c>
      <c r="F311" s="52">
        <v>63</v>
      </c>
      <c r="G311" s="53">
        <v>1</v>
      </c>
      <c r="H311" s="54">
        <v>1.5873015873015872E-2</v>
      </c>
      <c r="I311" s="55">
        <v>6.83E-2</v>
      </c>
      <c r="J311" s="53">
        <v>314.15899999999999</v>
      </c>
      <c r="K311" s="53">
        <v>0.61470000000000002</v>
      </c>
      <c r="L311" s="53">
        <v>9</v>
      </c>
      <c r="M311" s="56">
        <v>511.07694810476653</v>
      </c>
      <c r="N311" s="53">
        <v>1364</v>
      </c>
      <c r="O311" s="57" t="s">
        <v>88</v>
      </c>
      <c r="P311" s="57" t="s">
        <v>82</v>
      </c>
      <c r="Q311" s="53" t="s">
        <v>89</v>
      </c>
      <c r="R311" s="53" t="s">
        <v>90</v>
      </c>
      <c r="S311" s="53"/>
      <c r="T311" s="59">
        <v>1</v>
      </c>
      <c r="U311" s="59">
        <v>1</v>
      </c>
      <c r="V311" s="53">
        <v>9.3000000000000007</v>
      </c>
      <c r="W311" s="53"/>
      <c r="X311" s="53"/>
      <c r="Y311" s="9">
        <f t="shared" si="8"/>
        <v>511.07694810476653</v>
      </c>
      <c r="Z311" s="60" t="s">
        <v>73</v>
      </c>
      <c r="AA311" s="58" t="s">
        <v>305</v>
      </c>
      <c r="AB311" s="58" t="s">
        <v>75</v>
      </c>
      <c r="AC311" s="61" t="s">
        <v>286</v>
      </c>
      <c r="AD311" s="53" t="s">
        <v>91</v>
      </c>
      <c r="AE311" s="56">
        <f t="shared" si="9"/>
        <v>337.38084788249995</v>
      </c>
      <c r="AF311" s="56">
        <v>337.38084788249995</v>
      </c>
      <c r="AG311" s="62"/>
      <c r="AH311" s="63"/>
      <c r="AI311" s="61"/>
      <c r="AJ311" s="58"/>
      <c r="AK311" s="58"/>
      <c r="AL311" s="58"/>
      <c r="AM311" s="58"/>
      <c r="AN311" s="58"/>
      <c r="AO311" s="58"/>
    </row>
    <row r="312" spans="1:41" x14ac:dyDescent="0.2">
      <c r="A312" s="49" t="s">
        <v>67</v>
      </c>
      <c r="B312" s="50">
        <v>43286</v>
      </c>
      <c r="C312" s="51">
        <v>0.44583333333333303</v>
      </c>
      <c r="D312" s="49" t="s">
        <v>68</v>
      </c>
      <c r="E312" s="49">
        <v>3</v>
      </c>
      <c r="F312" s="52">
        <v>63</v>
      </c>
      <c r="G312" s="53">
        <v>1</v>
      </c>
      <c r="H312" s="54">
        <v>1.5873015873015872E-2</v>
      </c>
      <c r="I312" s="55">
        <v>6.83E-2</v>
      </c>
      <c r="J312" s="53">
        <v>314.15899999999999</v>
      </c>
      <c r="K312" s="53">
        <v>0.61470000000000002</v>
      </c>
      <c r="L312" s="53">
        <v>9</v>
      </c>
      <c r="M312" s="56">
        <v>511.07694810476653</v>
      </c>
      <c r="N312" s="53">
        <v>1419</v>
      </c>
      <c r="O312" s="57" t="s">
        <v>94</v>
      </c>
      <c r="P312" s="57" t="s">
        <v>82</v>
      </c>
      <c r="Q312" s="53" t="s">
        <v>95</v>
      </c>
      <c r="R312" s="53" t="s">
        <v>96</v>
      </c>
      <c r="S312" s="53"/>
      <c r="T312" s="59">
        <v>408</v>
      </c>
      <c r="U312" s="59">
        <v>820</v>
      </c>
      <c r="V312" s="53">
        <v>0.8</v>
      </c>
      <c r="W312" s="53">
        <v>0.8</v>
      </c>
      <c r="X312" s="53">
        <v>0.8</v>
      </c>
      <c r="Y312" s="9">
        <f t="shared" si="8"/>
        <v>208519.39482674474</v>
      </c>
      <c r="Z312" s="60" t="s">
        <v>97</v>
      </c>
      <c r="AA312" s="58" t="s">
        <v>305</v>
      </c>
      <c r="AB312" s="58" t="s">
        <v>75</v>
      </c>
      <c r="AC312" s="61" t="s">
        <v>286</v>
      </c>
      <c r="AD312" s="53" t="s">
        <v>85</v>
      </c>
      <c r="AE312" s="56">
        <f t="shared" si="9"/>
        <v>0.17999999999999997</v>
      </c>
      <c r="AF312" s="56">
        <v>0.18</v>
      </c>
      <c r="AG312" s="56">
        <v>0.18</v>
      </c>
      <c r="AH312" s="56">
        <v>0.18</v>
      </c>
      <c r="AI312" s="56">
        <v>0.18</v>
      </c>
      <c r="AJ312" s="56">
        <v>0.18</v>
      </c>
      <c r="AK312" s="56">
        <v>0.18</v>
      </c>
      <c r="AL312" s="56">
        <v>0.18</v>
      </c>
      <c r="AM312" s="56">
        <v>0.18</v>
      </c>
      <c r="AN312" s="56">
        <v>0.18</v>
      </c>
      <c r="AO312" s="56">
        <v>0.18</v>
      </c>
    </row>
    <row r="313" spans="1:41" x14ac:dyDescent="0.2">
      <c r="A313" s="49" t="s">
        <v>67</v>
      </c>
      <c r="B313" s="50">
        <v>43286</v>
      </c>
      <c r="C313" s="51">
        <v>0.44583333333333303</v>
      </c>
      <c r="D313" s="49" t="s">
        <v>68</v>
      </c>
      <c r="E313" s="49">
        <v>3</v>
      </c>
      <c r="F313" s="52">
        <v>63</v>
      </c>
      <c r="G313" s="53">
        <v>1</v>
      </c>
      <c r="H313" s="54">
        <v>1.5873015873015872E-2</v>
      </c>
      <c r="I313" s="55">
        <v>6.83E-2</v>
      </c>
      <c r="J313" s="53">
        <v>314.15899999999999</v>
      </c>
      <c r="K313" s="53">
        <v>0.61470000000000002</v>
      </c>
      <c r="L313" s="53">
        <v>9</v>
      </c>
      <c r="M313" s="56">
        <v>511.07694810476653</v>
      </c>
      <c r="N313" s="53">
        <v>1423</v>
      </c>
      <c r="O313" s="57" t="s">
        <v>163</v>
      </c>
      <c r="P313" s="57" t="s">
        <v>82</v>
      </c>
      <c r="Q313" s="53" t="s">
        <v>95</v>
      </c>
      <c r="R313" s="53" t="s">
        <v>84</v>
      </c>
      <c r="S313" s="53"/>
      <c r="T313" s="59">
        <v>1</v>
      </c>
      <c r="U313" s="59">
        <v>8</v>
      </c>
      <c r="V313" s="53">
        <v>1.5</v>
      </c>
      <c r="W313" s="53"/>
      <c r="X313" s="53"/>
      <c r="Y313" s="9">
        <f t="shared" si="8"/>
        <v>511.07694810476653</v>
      </c>
      <c r="Z313" s="60" t="s">
        <v>97</v>
      </c>
      <c r="AA313" s="58" t="s">
        <v>305</v>
      </c>
      <c r="AB313" s="58" t="s">
        <v>75</v>
      </c>
      <c r="AC313" s="61" t="s">
        <v>286</v>
      </c>
      <c r="AD313" s="53" t="s">
        <v>85</v>
      </c>
      <c r="AE313" s="56">
        <f t="shared" si="9"/>
        <v>1.7671443749999998</v>
      </c>
      <c r="AF313" s="56">
        <v>1.7671443749999998</v>
      </c>
      <c r="AG313" s="62"/>
      <c r="AH313" s="63"/>
      <c r="AI313" s="61"/>
      <c r="AJ313" s="58"/>
      <c r="AK313" s="58"/>
      <c r="AL313" s="58"/>
      <c r="AM313" s="58"/>
      <c r="AN313" s="58"/>
      <c r="AO313" s="58"/>
    </row>
    <row r="314" spans="1:41" x14ac:dyDescent="0.2">
      <c r="A314" s="5" t="s">
        <v>67</v>
      </c>
      <c r="B314" s="25">
        <v>43286</v>
      </c>
      <c r="C314" s="26">
        <v>0.46875</v>
      </c>
      <c r="D314" s="5" t="s">
        <v>108</v>
      </c>
      <c r="E314" s="5">
        <v>3</v>
      </c>
      <c r="F314" s="32">
        <v>63</v>
      </c>
      <c r="G314" s="9">
        <v>1</v>
      </c>
      <c r="H314" s="6">
        <v>1.5873015873015872E-2</v>
      </c>
      <c r="I314" s="7">
        <v>6.83E-2</v>
      </c>
      <c r="J314" s="9">
        <v>314.15899999999999</v>
      </c>
      <c r="K314" s="9">
        <v>0.75129999999999997</v>
      </c>
      <c r="L314" s="9">
        <v>11</v>
      </c>
      <c r="M314" s="14">
        <v>418.15386663117266</v>
      </c>
      <c r="N314" s="9">
        <v>46</v>
      </c>
      <c r="O314" s="12" t="s">
        <v>109</v>
      </c>
      <c r="P314" s="8" t="s">
        <v>70</v>
      </c>
      <c r="Q314" s="9" t="s">
        <v>110</v>
      </c>
      <c r="R314" s="9" t="s">
        <v>84</v>
      </c>
      <c r="S314" s="9"/>
      <c r="T314" s="18">
        <v>1</v>
      </c>
      <c r="U314" s="18">
        <v>1</v>
      </c>
      <c r="V314" s="9">
        <v>12</v>
      </c>
      <c r="Y314" s="9">
        <f t="shared" si="8"/>
        <v>418.15386663117266</v>
      </c>
      <c r="Z314" s="19" t="s">
        <v>73</v>
      </c>
      <c r="AA314" s="8" t="s">
        <v>285</v>
      </c>
      <c r="AB314" s="8" t="s">
        <v>75</v>
      </c>
      <c r="AC314" s="11" t="s">
        <v>286</v>
      </c>
      <c r="AD314" s="9" t="s">
        <v>77</v>
      </c>
      <c r="AE314" s="56">
        <f t="shared" si="9"/>
        <v>97.640617199999994</v>
      </c>
      <c r="AF314" s="14">
        <v>97.640617199999994</v>
      </c>
      <c r="AG314" s="13"/>
    </row>
    <row r="315" spans="1:41" x14ac:dyDescent="0.2">
      <c r="A315" s="5" t="s">
        <v>67</v>
      </c>
      <c r="B315" s="25">
        <v>43286</v>
      </c>
      <c r="C315" s="26">
        <v>0.46875</v>
      </c>
      <c r="D315" s="5" t="s">
        <v>108</v>
      </c>
      <c r="E315" s="5">
        <v>3</v>
      </c>
      <c r="F315" s="32">
        <v>63</v>
      </c>
      <c r="G315" s="9">
        <v>1</v>
      </c>
      <c r="H315" s="6">
        <v>1.5873015873015872E-2</v>
      </c>
      <c r="I315" s="7">
        <v>6.83E-2</v>
      </c>
      <c r="J315" s="9">
        <v>314.15899999999999</v>
      </c>
      <c r="K315" s="9">
        <v>0.75129999999999997</v>
      </c>
      <c r="L315" s="9">
        <v>11</v>
      </c>
      <c r="M315" s="14">
        <v>418.15386663117266</v>
      </c>
      <c r="N315" s="9">
        <v>190</v>
      </c>
      <c r="O315" s="12" t="s">
        <v>102</v>
      </c>
      <c r="P315" s="8" t="s">
        <v>70</v>
      </c>
      <c r="Q315" s="9" t="s">
        <v>103</v>
      </c>
      <c r="R315" s="9" t="s">
        <v>84</v>
      </c>
      <c r="S315" s="9"/>
      <c r="T315" s="18">
        <v>1</v>
      </c>
      <c r="U315" s="18">
        <v>1</v>
      </c>
      <c r="V315" s="9">
        <v>5.6</v>
      </c>
      <c r="Y315" s="9">
        <f t="shared" si="8"/>
        <v>418.15386663117266</v>
      </c>
      <c r="Z315" s="19" t="s">
        <v>73</v>
      </c>
      <c r="AA315" s="8" t="s">
        <v>285</v>
      </c>
      <c r="AB315" s="8" t="s">
        <v>75</v>
      </c>
      <c r="AC315" s="11" t="s">
        <v>286</v>
      </c>
      <c r="AD315" s="9" t="s">
        <v>104</v>
      </c>
      <c r="AE315" s="56">
        <f t="shared" si="9"/>
        <v>91.131242719999989</v>
      </c>
      <c r="AF315" s="14">
        <v>91.131242719999989</v>
      </c>
      <c r="AG315" s="13"/>
    </row>
    <row r="316" spans="1:41" x14ac:dyDescent="0.2">
      <c r="A316" s="5" t="s">
        <v>67</v>
      </c>
      <c r="B316" s="25">
        <v>43286</v>
      </c>
      <c r="C316" s="26">
        <v>0.46875</v>
      </c>
      <c r="D316" s="5" t="s">
        <v>108</v>
      </c>
      <c r="E316" s="5">
        <v>3</v>
      </c>
      <c r="F316" s="32">
        <v>63</v>
      </c>
      <c r="G316" s="9">
        <v>1</v>
      </c>
      <c r="H316" s="6">
        <v>1.5873015873015872E-2</v>
      </c>
      <c r="I316" s="7">
        <v>6.83E-2</v>
      </c>
      <c r="J316" s="9">
        <v>314.15899999999999</v>
      </c>
      <c r="K316" s="9">
        <v>0.75129999999999997</v>
      </c>
      <c r="L316" s="9">
        <v>11</v>
      </c>
      <c r="M316" s="14">
        <v>418.15386663117266</v>
      </c>
      <c r="N316" s="9">
        <v>1037</v>
      </c>
      <c r="O316" s="12" t="s">
        <v>86</v>
      </c>
      <c r="P316" s="12" t="s">
        <v>82</v>
      </c>
      <c r="Q316" s="9" t="s">
        <v>87</v>
      </c>
      <c r="R316" s="9" t="s">
        <v>84</v>
      </c>
      <c r="S316" s="9"/>
      <c r="T316" s="18">
        <v>28</v>
      </c>
      <c r="U316" s="18">
        <v>28</v>
      </c>
      <c r="V316" s="9">
        <v>2.8</v>
      </c>
      <c r="Y316" s="9">
        <f t="shared" si="8"/>
        <v>11708.308265672833</v>
      </c>
      <c r="Z316" s="19" t="s">
        <v>73</v>
      </c>
      <c r="AA316" s="8" t="s">
        <v>285</v>
      </c>
      <c r="AB316" s="8" t="s">
        <v>75</v>
      </c>
      <c r="AC316" s="11" t="s">
        <v>286</v>
      </c>
      <c r="AD316" s="9" t="s">
        <v>85</v>
      </c>
      <c r="AE316" s="56">
        <f t="shared" si="9"/>
        <v>9.2027643066666673</v>
      </c>
      <c r="AF316" s="14">
        <v>9.2027643066666673</v>
      </c>
      <c r="AG316" s="13"/>
    </row>
    <row r="317" spans="1:41" x14ac:dyDescent="0.2">
      <c r="A317" s="5" t="s">
        <v>67</v>
      </c>
      <c r="B317" s="25">
        <v>43286</v>
      </c>
      <c r="C317" s="26">
        <v>0.46875</v>
      </c>
      <c r="D317" s="5" t="s">
        <v>108</v>
      </c>
      <c r="E317" s="5">
        <v>3</v>
      </c>
      <c r="F317" s="32">
        <v>63</v>
      </c>
      <c r="G317" s="9">
        <v>1</v>
      </c>
      <c r="H317" s="6">
        <v>1.5873015873015872E-2</v>
      </c>
      <c r="I317" s="7">
        <v>6.83E-2</v>
      </c>
      <c r="J317" s="9">
        <v>314.15899999999999</v>
      </c>
      <c r="K317" s="9">
        <v>0.75129999999999997</v>
      </c>
      <c r="L317" s="9">
        <v>11</v>
      </c>
      <c r="M317" s="14">
        <v>418.15386663117266</v>
      </c>
      <c r="N317" s="9">
        <v>1761</v>
      </c>
      <c r="O317" s="12" t="s">
        <v>287</v>
      </c>
      <c r="P317" s="12" t="s">
        <v>82</v>
      </c>
      <c r="Q317" s="9" t="s">
        <v>288</v>
      </c>
      <c r="R317" s="9" t="s">
        <v>289</v>
      </c>
      <c r="S317" s="9"/>
      <c r="T317" s="18">
        <v>1</v>
      </c>
      <c r="U317" s="18">
        <v>1</v>
      </c>
      <c r="V317" s="9">
        <v>5.6</v>
      </c>
      <c r="Y317" s="9">
        <f t="shared" si="8"/>
        <v>418.15386663117266</v>
      </c>
      <c r="Z317" s="19" t="s">
        <v>73</v>
      </c>
      <c r="AA317" s="8" t="s">
        <v>285</v>
      </c>
      <c r="AB317" s="8" t="s">
        <v>75</v>
      </c>
      <c r="AC317" s="11" t="s">
        <v>286</v>
      </c>
      <c r="AD317" s="9" t="s">
        <v>215</v>
      </c>
      <c r="AE317" s="56">
        <f t="shared" si="9"/>
        <v>3.8488404487499999</v>
      </c>
      <c r="AF317" s="14">
        <v>3.8488404487499999</v>
      </c>
      <c r="AG317" s="13"/>
    </row>
    <row r="318" spans="1:41" x14ac:dyDescent="0.2">
      <c r="A318" s="5" t="s">
        <v>67</v>
      </c>
      <c r="B318" s="25">
        <v>43286</v>
      </c>
      <c r="C318" s="26">
        <v>0.46875</v>
      </c>
      <c r="D318" s="5" t="s">
        <v>108</v>
      </c>
      <c r="E318" s="5">
        <v>3</v>
      </c>
      <c r="F318" s="32">
        <v>63</v>
      </c>
      <c r="G318" s="9">
        <v>1</v>
      </c>
      <c r="H318" s="6">
        <v>1.5873015873015872E-2</v>
      </c>
      <c r="I318" s="7">
        <v>6.83E-2</v>
      </c>
      <c r="J318" s="9">
        <v>314.15899999999999</v>
      </c>
      <c r="K318" s="9">
        <v>0.75129999999999997</v>
      </c>
      <c r="L318" s="9">
        <v>11</v>
      </c>
      <c r="M318" s="14">
        <v>418.15386663117266</v>
      </c>
      <c r="N318" s="9">
        <v>1135</v>
      </c>
      <c r="O318" s="8" t="s">
        <v>282</v>
      </c>
      <c r="P318" s="12" t="s">
        <v>82</v>
      </c>
      <c r="Q318" s="9" t="s">
        <v>127</v>
      </c>
      <c r="R318" s="9" t="s">
        <v>283</v>
      </c>
      <c r="S318" s="9"/>
      <c r="T318" s="18">
        <v>1</v>
      </c>
      <c r="U318" s="18">
        <v>1</v>
      </c>
      <c r="V318" s="9">
        <v>9.3000000000000007</v>
      </c>
      <c r="Y318" s="9">
        <f t="shared" si="8"/>
        <v>418.15386663117266</v>
      </c>
      <c r="Z318" s="19" t="s">
        <v>73</v>
      </c>
      <c r="AA318" s="8" t="s">
        <v>285</v>
      </c>
      <c r="AB318" s="8" t="s">
        <v>75</v>
      </c>
      <c r="AC318" s="11" t="s">
        <v>286</v>
      </c>
      <c r="AD318" s="9" t="s">
        <v>129</v>
      </c>
      <c r="AE318" s="56">
        <f t="shared" si="9"/>
        <v>17.578766844999997</v>
      </c>
      <c r="AF318" s="14">
        <v>17.578766844999997</v>
      </c>
      <c r="AG318" s="13"/>
    </row>
    <row r="319" spans="1:41" x14ac:dyDescent="0.2">
      <c r="A319" s="5" t="s">
        <v>67</v>
      </c>
      <c r="B319" s="25">
        <v>43286</v>
      </c>
      <c r="C319" s="26">
        <v>0.46875</v>
      </c>
      <c r="D319" s="5" t="s">
        <v>108</v>
      </c>
      <c r="E319" s="5">
        <v>3</v>
      </c>
      <c r="F319" s="32">
        <v>63</v>
      </c>
      <c r="G319" s="9">
        <v>1</v>
      </c>
      <c r="H319" s="6">
        <v>1.5873015873015872E-2</v>
      </c>
      <c r="I319" s="7">
        <v>6.83E-2</v>
      </c>
      <c r="J319" s="9">
        <v>314.15899999999999</v>
      </c>
      <c r="K319" s="9">
        <v>0.75129999999999997</v>
      </c>
      <c r="L319" s="9">
        <v>11</v>
      </c>
      <c r="M319" s="14">
        <v>418.15386663117266</v>
      </c>
      <c r="N319" s="9">
        <v>1235</v>
      </c>
      <c r="O319" s="12" t="s">
        <v>216</v>
      </c>
      <c r="P319" s="12" t="s">
        <v>82</v>
      </c>
      <c r="Q319" s="9" t="s">
        <v>217</v>
      </c>
      <c r="R319" s="9" t="s">
        <v>84</v>
      </c>
      <c r="S319" s="9"/>
      <c r="T319" s="18">
        <v>2</v>
      </c>
      <c r="U319" s="18">
        <v>4</v>
      </c>
      <c r="V319" s="9">
        <v>5.0999999999999996</v>
      </c>
      <c r="Y319" s="9">
        <f t="shared" si="8"/>
        <v>836.30773326234532</v>
      </c>
      <c r="Z319" s="19" t="s">
        <v>97</v>
      </c>
      <c r="AA319" s="8" t="s">
        <v>285</v>
      </c>
      <c r="AB319" s="8" t="s">
        <v>75</v>
      </c>
      <c r="AC319" s="11" t="s">
        <v>286</v>
      </c>
      <c r="AD319" s="9" t="s">
        <v>120</v>
      </c>
      <c r="AE319" s="56">
        <f t="shared" si="9"/>
        <v>9.6399689149999972</v>
      </c>
      <c r="AF319" s="14">
        <v>9.6399689149999972</v>
      </c>
      <c r="AG319" s="13"/>
    </row>
    <row r="320" spans="1:41" x14ac:dyDescent="0.2">
      <c r="A320" s="5" t="s">
        <v>67</v>
      </c>
      <c r="B320" s="25">
        <v>43286</v>
      </c>
      <c r="C320" s="26">
        <v>0.46875</v>
      </c>
      <c r="D320" s="5" t="s">
        <v>108</v>
      </c>
      <c r="E320" s="5">
        <v>3</v>
      </c>
      <c r="F320" s="32">
        <v>63</v>
      </c>
      <c r="G320" s="9">
        <v>1</v>
      </c>
      <c r="H320" s="6">
        <v>1.5873015873015872E-2</v>
      </c>
      <c r="I320" s="7">
        <v>6.83E-2</v>
      </c>
      <c r="J320" s="9">
        <v>314.15899999999999</v>
      </c>
      <c r="K320" s="9">
        <v>0.75129999999999997</v>
      </c>
      <c r="L320" s="9">
        <v>11</v>
      </c>
      <c r="M320" s="14">
        <v>418.15386663117266</v>
      </c>
      <c r="N320" s="9">
        <v>1364</v>
      </c>
      <c r="O320" s="12" t="s">
        <v>88</v>
      </c>
      <c r="P320" s="12" t="s">
        <v>82</v>
      </c>
      <c r="Q320" s="9" t="s">
        <v>89</v>
      </c>
      <c r="R320" s="9" t="s">
        <v>90</v>
      </c>
      <c r="S320" s="9"/>
      <c r="T320" s="18">
        <v>2</v>
      </c>
      <c r="U320" s="18">
        <v>2</v>
      </c>
      <c r="V320" s="9">
        <v>11.1</v>
      </c>
      <c r="Y320" s="9">
        <f t="shared" si="8"/>
        <v>836.30773326234532</v>
      </c>
      <c r="Z320" s="19" t="s">
        <v>73</v>
      </c>
      <c r="AA320" s="8" t="s">
        <v>285</v>
      </c>
      <c r="AB320" s="8" t="s">
        <v>75</v>
      </c>
      <c r="AC320" s="11" t="s">
        <v>286</v>
      </c>
      <c r="AD320" s="9" t="s">
        <v>91</v>
      </c>
      <c r="AE320" s="56">
        <f t="shared" si="9"/>
        <v>430.35384773999982</v>
      </c>
      <c r="AF320" s="14">
        <v>430.35384773999982</v>
      </c>
      <c r="AG320" s="13"/>
    </row>
    <row r="321" spans="1:41" x14ac:dyDescent="0.2">
      <c r="A321" s="5" t="s">
        <v>67</v>
      </c>
      <c r="B321" s="25">
        <v>43286</v>
      </c>
      <c r="C321" s="26">
        <v>0.46875</v>
      </c>
      <c r="D321" s="5" t="s">
        <v>108</v>
      </c>
      <c r="E321" s="5">
        <v>3</v>
      </c>
      <c r="F321" s="32">
        <v>63</v>
      </c>
      <c r="G321" s="9">
        <v>1</v>
      </c>
      <c r="H321" s="6">
        <v>1.5873015873015872E-2</v>
      </c>
      <c r="I321" s="7">
        <v>6.83E-2</v>
      </c>
      <c r="J321" s="9">
        <v>314.15899999999999</v>
      </c>
      <c r="K321" s="9">
        <v>0.75129999999999997</v>
      </c>
      <c r="L321" s="9">
        <v>11</v>
      </c>
      <c r="M321" s="14">
        <v>418.15386663117266</v>
      </c>
      <c r="N321" s="9">
        <v>1419</v>
      </c>
      <c r="O321" s="12" t="s">
        <v>94</v>
      </c>
      <c r="P321" s="12" t="s">
        <v>82</v>
      </c>
      <c r="Q321" s="9" t="s">
        <v>95</v>
      </c>
      <c r="R321" s="9" t="s">
        <v>96</v>
      </c>
      <c r="S321" s="9"/>
      <c r="T321" s="18">
        <v>371</v>
      </c>
      <c r="U321" s="18">
        <v>744</v>
      </c>
      <c r="V321" s="9">
        <v>0.8</v>
      </c>
      <c r="W321" s="9">
        <v>0.8</v>
      </c>
      <c r="X321" s="9">
        <v>0.8</v>
      </c>
      <c r="Y321" s="9">
        <f t="shared" si="8"/>
        <v>155135.08452016505</v>
      </c>
      <c r="Z321" s="19" t="s">
        <v>97</v>
      </c>
      <c r="AA321" s="8" t="s">
        <v>285</v>
      </c>
      <c r="AB321" s="8" t="s">
        <v>75</v>
      </c>
      <c r="AC321" s="11" t="s">
        <v>286</v>
      </c>
      <c r="AD321" s="9" t="s">
        <v>85</v>
      </c>
      <c r="AE321" s="56">
        <f t="shared" si="9"/>
        <v>0.17999999999999997</v>
      </c>
      <c r="AF321" s="14">
        <v>0.18</v>
      </c>
      <c r="AG321" s="14">
        <v>0.18</v>
      </c>
      <c r="AH321" s="14">
        <v>0.18</v>
      </c>
      <c r="AI321" s="14">
        <v>0.18</v>
      </c>
      <c r="AJ321" s="14">
        <v>0.18</v>
      </c>
      <c r="AK321" s="14">
        <v>0.18</v>
      </c>
      <c r="AL321" s="14">
        <v>0.18</v>
      </c>
      <c r="AM321" s="14">
        <v>0.18</v>
      </c>
      <c r="AN321" s="14">
        <v>0.18</v>
      </c>
      <c r="AO321" s="14">
        <v>0.18</v>
      </c>
    </row>
    <row r="322" spans="1:41" x14ac:dyDescent="0.2">
      <c r="A322" s="5" t="s">
        <v>67</v>
      </c>
      <c r="B322" s="25">
        <v>43286</v>
      </c>
      <c r="C322" s="26">
        <v>0.46875</v>
      </c>
      <c r="D322" s="5" t="s">
        <v>108</v>
      </c>
      <c r="E322" s="5">
        <v>3</v>
      </c>
      <c r="F322" s="32">
        <v>63</v>
      </c>
      <c r="G322" s="9">
        <v>1</v>
      </c>
      <c r="H322" s="6">
        <v>1.5873015873015872E-2</v>
      </c>
      <c r="I322" s="7">
        <v>6.83E-2</v>
      </c>
      <c r="J322" s="9">
        <v>314.15899999999999</v>
      </c>
      <c r="K322" s="9">
        <v>0.75129999999999997</v>
      </c>
      <c r="L322" s="9">
        <v>11</v>
      </c>
      <c r="M322" s="14">
        <v>418.15386663117266</v>
      </c>
      <c r="N322" s="9">
        <v>1421</v>
      </c>
      <c r="O322" s="12" t="s">
        <v>130</v>
      </c>
      <c r="P322" s="12" t="s">
        <v>82</v>
      </c>
      <c r="Q322" s="9" t="s">
        <v>95</v>
      </c>
      <c r="R322" s="9" t="s">
        <v>131</v>
      </c>
      <c r="S322" s="9"/>
      <c r="T322" s="18">
        <v>1</v>
      </c>
      <c r="U322" s="18">
        <v>2</v>
      </c>
      <c r="V322" s="9">
        <v>5.6</v>
      </c>
      <c r="Y322" s="9">
        <f t="shared" si="8"/>
        <v>418.15386663117266</v>
      </c>
      <c r="Z322" s="19" t="s">
        <v>97</v>
      </c>
      <c r="AA322" s="8" t="s">
        <v>285</v>
      </c>
      <c r="AB322" s="8" t="s">
        <v>75</v>
      </c>
      <c r="AC322" s="11" t="s">
        <v>286</v>
      </c>
      <c r="AD322" s="9" t="s">
        <v>85</v>
      </c>
      <c r="AE322" s="56">
        <f t="shared" si="9"/>
        <v>91.952244906666635</v>
      </c>
      <c r="AF322" s="14">
        <v>91.952244906666635</v>
      </c>
      <c r="AG322" s="13"/>
    </row>
    <row r="323" spans="1:41" x14ac:dyDescent="0.2">
      <c r="A323" s="5" t="s">
        <v>67</v>
      </c>
      <c r="B323" s="25">
        <v>43286</v>
      </c>
      <c r="C323" s="26">
        <v>0.46875</v>
      </c>
      <c r="D323" s="5" t="s">
        <v>108</v>
      </c>
      <c r="E323" s="5">
        <v>3</v>
      </c>
      <c r="F323" s="32">
        <v>63</v>
      </c>
      <c r="G323" s="9">
        <v>1</v>
      </c>
      <c r="H323" s="6">
        <v>1.5873015873015872E-2</v>
      </c>
      <c r="I323" s="7">
        <v>6.83E-2</v>
      </c>
      <c r="J323" s="9">
        <v>314.15899999999999</v>
      </c>
      <c r="K323" s="9">
        <v>0.75129999999999997</v>
      </c>
      <c r="L323" s="9">
        <v>11</v>
      </c>
      <c r="M323" s="14">
        <v>418.15386663117266</v>
      </c>
      <c r="N323" s="9">
        <v>1423</v>
      </c>
      <c r="O323" s="12" t="s">
        <v>163</v>
      </c>
      <c r="P323" s="12" t="s">
        <v>82</v>
      </c>
      <c r="Q323" s="9" t="s">
        <v>95</v>
      </c>
      <c r="R323" s="9" t="s">
        <v>84</v>
      </c>
      <c r="S323" s="9"/>
      <c r="T323" s="18">
        <v>2</v>
      </c>
      <c r="U323" s="18">
        <v>8</v>
      </c>
      <c r="V323" s="9">
        <v>3.7</v>
      </c>
      <c r="Y323" s="9">
        <f t="shared" ref="Y323:Y386" si="10">(T323*J323)/(G323*I323*L323)</f>
        <v>836.30773326234532</v>
      </c>
      <c r="Z323" s="19" t="s">
        <v>97</v>
      </c>
      <c r="AA323" s="8" t="s">
        <v>285</v>
      </c>
      <c r="AB323" s="8" t="s">
        <v>75</v>
      </c>
      <c r="AC323" s="11" t="s">
        <v>286</v>
      </c>
      <c r="AD323" s="9" t="s">
        <v>85</v>
      </c>
      <c r="AE323" s="56">
        <f t="shared" ref="AE323:AE386" si="11">AVERAGE(AF323:AO323)</f>
        <v>14.137154999999998</v>
      </c>
      <c r="AF323" s="14">
        <v>14.137154999999998</v>
      </c>
      <c r="AG323" s="13"/>
    </row>
    <row r="324" spans="1:41" x14ac:dyDescent="0.2">
      <c r="A324" s="5" t="s">
        <v>67</v>
      </c>
      <c r="B324" s="25">
        <v>43286</v>
      </c>
      <c r="C324" s="26">
        <v>0.484027777777778</v>
      </c>
      <c r="D324" s="5" t="s">
        <v>144</v>
      </c>
      <c r="E324" s="5"/>
      <c r="F324" s="32">
        <v>64</v>
      </c>
      <c r="G324" s="9">
        <v>1</v>
      </c>
      <c r="H324" s="6">
        <v>1.5625E-2</v>
      </c>
      <c r="I324" s="7">
        <v>6.83E-2</v>
      </c>
      <c r="J324" s="9">
        <v>314.15899999999999</v>
      </c>
      <c r="K324" s="9">
        <v>0.68300000000000005</v>
      </c>
      <c r="L324" s="9">
        <v>10</v>
      </c>
      <c r="M324" s="14">
        <v>459.96925329428984</v>
      </c>
      <c r="N324" s="9">
        <v>46</v>
      </c>
      <c r="O324" s="12" t="s">
        <v>109</v>
      </c>
      <c r="P324" s="8" t="s">
        <v>70</v>
      </c>
      <c r="Q324" s="9" t="s">
        <v>110</v>
      </c>
      <c r="R324" s="9" t="s">
        <v>84</v>
      </c>
      <c r="S324" s="9"/>
      <c r="T324" s="18">
        <v>1</v>
      </c>
      <c r="U324" s="18">
        <v>1</v>
      </c>
      <c r="V324" s="9">
        <v>9.3000000000000007</v>
      </c>
      <c r="Y324" s="9">
        <f t="shared" si="10"/>
        <v>459.96925329428984</v>
      </c>
      <c r="Z324" s="19" t="s">
        <v>73</v>
      </c>
      <c r="AA324" s="8" t="s">
        <v>277</v>
      </c>
      <c r="AB324" s="8" t="s">
        <v>75</v>
      </c>
      <c r="AC324" s="11" t="s">
        <v>76</v>
      </c>
      <c r="AD324" s="9" t="s">
        <v>77</v>
      </c>
      <c r="AE324" s="56">
        <f t="shared" si="11"/>
        <v>99.994453507500012</v>
      </c>
      <c r="AF324" s="14">
        <v>99.994453507500012</v>
      </c>
      <c r="AG324" s="13"/>
    </row>
    <row r="325" spans="1:41" x14ac:dyDescent="0.2">
      <c r="A325" s="5" t="s">
        <v>67</v>
      </c>
      <c r="B325" s="25">
        <v>43286</v>
      </c>
      <c r="C325" s="26">
        <v>0.484027777777778</v>
      </c>
      <c r="D325" s="5" t="s">
        <v>144</v>
      </c>
      <c r="E325" s="5"/>
      <c r="F325" s="32">
        <v>64</v>
      </c>
      <c r="G325" s="9">
        <v>1</v>
      </c>
      <c r="H325" s="6">
        <v>1.5625E-2</v>
      </c>
      <c r="I325" s="7">
        <v>6.83E-2</v>
      </c>
      <c r="J325" s="9">
        <v>314.15899999999999</v>
      </c>
      <c r="K325" s="9">
        <v>0.68300000000000005</v>
      </c>
      <c r="L325" s="9">
        <v>10</v>
      </c>
      <c r="M325" s="14">
        <v>459.96925329428984</v>
      </c>
      <c r="N325" s="9">
        <v>145</v>
      </c>
      <c r="O325" s="12" t="s">
        <v>69</v>
      </c>
      <c r="P325" s="8" t="s">
        <v>70</v>
      </c>
      <c r="Q325" s="9" t="s">
        <v>71</v>
      </c>
      <c r="R325" s="9" t="s">
        <v>72</v>
      </c>
      <c r="S325" s="9"/>
      <c r="T325" s="18">
        <v>1</v>
      </c>
      <c r="U325" s="18">
        <v>1</v>
      </c>
      <c r="V325" s="9">
        <v>14.8</v>
      </c>
      <c r="Y325" s="9">
        <f t="shared" si="10"/>
        <v>459.96925329428984</v>
      </c>
      <c r="Z325" s="19" t="s">
        <v>73</v>
      </c>
      <c r="AA325" s="8" t="s">
        <v>277</v>
      </c>
      <c r="AB325" s="8" t="s">
        <v>75</v>
      </c>
      <c r="AC325" s="11" t="s">
        <v>76</v>
      </c>
      <c r="AD325" s="9" t="s">
        <v>77</v>
      </c>
      <c r="AE325" s="56">
        <f t="shared" si="11"/>
        <v>302.68591332</v>
      </c>
      <c r="AF325" s="14">
        <v>302.68591332</v>
      </c>
      <c r="AG325" s="13"/>
    </row>
    <row r="326" spans="1:41" x14ac:dyDescent="0.2">
      <c r="A326" s="5" t="s">
        <v>67</v>
      </c>
      <c r="B326" s="25">
        <v>43286</v>
      </c>
      <c r="C326" s="26">
        <v>0.484027777777778</v>
      </c>
      <c r="D326" s="5" t="s">
        <v>144</v>
      </c>
      <c r="E326" s="5"/>
      <c r="F326" s="32">
        <v>64</v>
      </c>
      <c r="G326" s="9">
        <v>1</v>
      </c>
      <c r="H326" s="6">
        <v>1.5625E-2</v>
      </c>
      <c r="I326" s="7">
        <v>6.83E-2</v>
      </c>
      <c r="J326" s="9">
        <v>314.15899999999999</v>
      </c>
      <c r="K326" s="9">
        <v>0.68300000000000005</v>
      </c>
      <c r="L326" s="9">
        <v>10</v>
      </c>
      <c r="M326" s="14">
        <v>459.96925329428984</v>
      </c>
      <c r="N326" s="9">
        <v>1031</v>
      </c>
      <c r="O326" s="12" t="s">
        <v>81</v>
      </c>
      <c r="P326" s="12" t="s">
        <v>82</v>
      </c>
      <c r="Q326" s="9" t="s">
        <v>83</v>
      </c>
      <c r="R326" s="9" t="s">
        <v>84</v>
      </c>
      <c r="S326" s="9"/>
      <c r="T326" s="18">
        <v>2</v>
      </c>
      <c r="U326" s="18">
        <v>2</v>
      </c>
      <c r="V326" s="9">
        <v>4.5999999999999996</v>
      </c>
      <c r="Y326" s="9">
        <f t="shared" si="10"/>
        <v>919.93850658857968</v>
      </c>
      <c r="Z326" s="19" t="s">
        <v>73</v>
      </c>
      <c r="AA326" s="8" t="s">
        <v>277</v>
      </c>
      <c r="AB326" s="8" t="s">
        <v>75</v>
      </c>
      <c r="AC326" s="11" t="s">
        <v>76</v>
      </c>
      <c r="AD326" s="9" t="s">
        <v>85</v>
      </c>
      <c r="AE326" s="56">
        <f t="shared" si="11"/>
        <v>50.964967373333316</v>
      </c>
      <c r="AF326" s="14">
        <v>50.964967373333316</v>
      </c>
      <c r="AG326" s="13"/>
    </row>
    <row r="327" spans="1:41" x14ac:dyDescent="0.2">
      <c r="A327" s="5" t="s">
        <v>67</v>
      </c>
      <c r="B327" s="25">
        <v>43286</v>
      </c>
      <c r="C327" s="26">
        <v>0.484027777777778</v>
      </c>
      <c r="D327" s="5" t="s">
        <v>144</v>
      </c>
      <c r="E327" s="5"/>
      <c r="F327" s="32">
        <v>64</v>
      </c>
      <c r="G327" s="9">
        <v>1</v>
      </c>
      <c r="H327" s="6">
        <v>1.5625E-2</v>
      </c>
      <c r="I327" s="7">
        <v>6.83E-2</v>
      </c>
      <c r="J327" s="9">
        <v>314.15899999999999</v>
      </c>
      <c r="K327" s="9">
        <v>0.68300000000000005</v>
      </c>
      <c r="L327" s="9">
        <v>10</v>
      </c>
      <c r="M327" s="14">
        <v>459.96925329428984</v>
      </c>
      <c r="N327" s="9">
        <v>1037</v>
      </c>
      <c r="O327" s="12" t="s">
        <v>86</v>
      </c>
      <c r="P327" s="12" t="s">
        <v>82</v>
      </c>
      <c r="Q327" s="9" t="s">
        <v>87</v>
      </c>
      <c r="R327" s="9" t="s">
        <v>84</v>
      </c>
      <c r="S327" s="9"/>
      <c r="T327" s="18">
        <v>16</v>
      </c>
      <c r="U327" s="18">
        <v>16</v>
      </c>
      <c r="V327" s="9">
        <v>2.8</v>
      </c>
      <c r="Y327" s="9">
        <f t="shared" si="10"/>
        <v>7359.5080527086375</v>
      </c>
      <c r="Z327" s="19" t="s">
        <v>73</v>
      </c>
      <c r="AA327" s="8" t="s">
        <v>277</v>
      </c>
      <c r="AB327" s="8" t="s">
        <v>75</v>
      </c>
      <c r="AC327" s="11" t="s">
        <v>76</v>
      </c>
      <c r="AD327" s="9" t="s">
        <v>85</v>
      </c>
      <c r="AE327" s="56">
        <f t="shared" si="11"/>
        <v>7.2382233599999992</v>
      </c>
      <c r="AF327" s="14">
        <v>7.2382233599999992</v>
      </c>
      <c r="AG327" s="13"/>
    </row>
    <row r="328" spans="1:41" x14ac:dyDescent="0.2">
      <c r="A328" s="5" t="s">
        <v>67</v>
      </c>
      <c r="B328" s="25">
        <v>43286</v>
      </c>
      <c r="C328" s="26">
        <v>0.484027777777778</v>
      </c>
      <c r="D328" s="5" t="s">
        <v>144</v>
      </c>
      <c r="E328" s="5"/>
      <c r="F328" s="32">
        <v>64</v>
      </c>
      <c r="G328" s="9">
        <v>1</v>
      </c>
      <c r="H328" s="6">
        <v>1.5625E-2</v>
      </c>
      <c r="I328" s="7">
        <v>6.83E-2</v>
      </c>
      <c r="J328" s="9">
        <v>314.15899999999999</v>
      </c>
      <c r="K328" s="9">
        <v>0.68300000000000005</v>
      </c>
      <c r="L328" s="9">
        <v>10</v>
      </c>
      <c r="M328" s="14">
        <v>459.96925329428984</v>
      </c>
      <c r="N328" s="9">
        <v>1419</v>
      </c>
      <c r="O328" s="12" t="s">
        <v>94</v>
      </c>
      <c r="P328" s="12" t="s">
        <v>82</v>
      </c>
      <c r="Q328" s="9" t="s">
        <v>95</v>
      </c>
      <c r="R328" s="9" t="s">
        <v>96</v>
      </c>
      <c r="S328" s="9"/>
      <c r="T328" s="18">
        <v>401</v>
      </c>
      <c r="U328" s="18">
        <v>805</v>
      </c>
      <c r="V328" s="9">
        <v>0.8</v>
      </c>
      <c r="W328" s="9">
        <v>0.8</v>
      </c>
      <c r="X328" s="9">
        <v>0.8</v>
      </c>
      <c r="Y328" s="9">
        <f t="shared" si="10"/>
        <v>184447.67057101021</v>
      </c>
      <c r="Z328" s="19" t="s">
        <v>97</v>
      </c>
      <c r="AA328" s="8" t="s">
        <v>277</v>
      </c>
      <c r="AB328" s="8" t="s">
        <v>75</v>
      </c>
      <c r="AC328" s="11" t="s">
        <v>76</v>
      </c>
      <c r="AD328" s="9" t="s">
        <v>85</v>
      </c>
      <c r="AE328" s="56">
        <f t="shared" si="11"/>
        <v>0.17999999999999997</v>
      </c>
      <c r="AF328" s="14">
        <v>0.18</v>
      </c>
      <c r="AG328" s="14">
        <v>0.18</v>
      </c>
      <c r="AH328" s="14">
        <v>0.18</v>
      </c>
      <c r="AI328" s="14">
        <v>0.18</v>
      </c>
      <c r="AJ328" s="14">
        <v>0.18</v>
      </c>
      <c r="AK328" s="14">
        <v>0.18</v>
      </c>
      <c r="AL328" s="14">
        <v>0.18</v>
      </c>
      <c r="AM328" s="14">
        <v>0.18</v>
      </c>
      <c r="AN328" s="14">
        <v>0.18</v>
      </c>
      <c r="AO328" s="14">
        <v>0.18</v>
      </c>
    </row>
    <row r="329" spans="1:41" x14ac:dyDescent="0.2">
      <c r="A329" s="5" t="s">
        <v>67</v>
      </c>
      <c r="B329" s="25">
        <v>43286</v>
      </c>
      <c r="C329" s="26">
        <v>0.484027777777778</v>
      </c>
      <c r="D329" s="5" t="s">
        <v>144</v>
      </c>
      <c r="E329" s="5"/>
      <c r="F329" s="32">
        <v>64</v>
      </c>
      <c r="G329" s="9">
        <v>1</v>
      </c>
      <c r="H329" s="6">
        <v>1.5625E-2</v>
      </c>
      <c r="I329" s="7">
        <v>6.83E-2</v>
      </c>
      <c r="J329" s="9">
        <v>314.15899999999999</v>
      </c>
      <c r="K329" s="9">
        <v>0.68300000000000005</v>
      </c>
      <c r="L329" s="9">
        <v>10</v>
      </c>
      <c r="M329" s="14">
        <v>459.96925329428984</v>
      </c>
      <c r="N329" s="9">
        <v>1423</v>
      </c>
      <c r="O329" s="12" t="s">
        <v>163</v>
      </c>
      <c r="P329" s="12" t="s">
        <v>82</v>
      </c>
      <c r="Q329" s="9" t="s">
        <v>95</v>
      </c>
      <c r="R329" s="9" t="s">
        <v>84</v>
      </c>
      <c r="S329" s="9"/>
      <c r="T329" s="18">
        <v>1</v>
      </c>
      <c r="U329" s="18">
        <v>3</v>
      </c>
      <c r="V329" s="9">
        <v>2.8</v>
      </c>
      <c r="Y329" s="9">
        <f t="shared" si="10"/>
        <v>459.96925329428984</v>
      </c>
      <c r="Z329" s="19" t="s">
        <v>97</v>
      </c>
      <c r="AA329" s="8" t="s">
        <v>277</v>
      </c>
      <c r="AB329" s="8" t="s">
        <v>75</v>
      </c>
      <c r="AC329" s="11" t="s">
        <v>76</v>
      </c>
      <c r="AD329" s="9" t="s">
        <v>85</v>
      </c>
      <c r="AE329" s="56">
        <f t="shared" si="11"/>
        <v>11.494030613333329</v>
      </c>
      <c r="AF329" s="14">
        <v>11.494030613333329</v>
      </c>
      <c r="AG329" s="13"/>
    </row>
    <row r="330" spans="1:41" x14ac:dyDescent="0.2">
      <c r="A330" s="49" t="s">
        <v>67</v>
      </c>
      <c r="B330" s="50">
        <v>43286</v>
      </c>
      <c r="C330" s="51">
        <v>0.49791666666666701</v>
      </c>
      <c r="D330" s="49" t="s">
        <v>113</v>
      </c>
      <c r="E330" s="49"/>
      <c r="F330" s="52">
        <v>62.5</v>
      </c>
      <c r="G330" s="53">
        <v>1</v>
      </c>
      <c r="H330" s="54">
        <v>1.6E-2</v>
      </c>
      <c r="I330" s="55">
        <v>6.83E-2</v>
      </c>
      <c r="J330" s="53">
        <v>314.15899999999999</v>
      </c>
      <c r="K330" s="53">
        <v>0.61470000000000002</v>
      </c>
      <c r="L330" s="53">
        <v>9</v>
      </c>
      <c r="M330" s="56">
        <v>511.07694810476653</v>
      </c>
      <c r="N330" s="53">
        <v>46</v>
      </c>
      <c r="O330" s="57" t="s">
        <v>109</v>
      </c>
      <c r="P330" s="58" t="s">
        <v>70</v>
      </c>
      <c r="Q330" s="53" t="s">
        <v>110</v>
      </c>
      <c r="R330" s="53" t="s">
        <v>84</v>
      </c>
      <c r="S330" s="53"/>
      <c r="T330" s="59">
        <v>1</v>
      </c>
      <c r="U330" s="59">
        <v>1</v>
      </c>
      <c r="V330" s="53">
        <v>11.1</v>
      </c>
      <c r="W330" s="53"/>
      <c r="X330" s="53"/>
      <c r="Y330" s="9">
        <f t="shared" si="10"/>
        <v>511.07694810476653</v>
      </c>
      <c r="Z330" s="60" t="s">
        <v>73</v>
      </c>
      <c r="AA330" s="58" t="s">
        <v>298</v>
      </c>
      <c r="AB330" s="58" t="s">
        <v>75</v>
      </c>
      <c r="AC330" s="61" t="s">
        <v>286</v>
      </c>
      <c r="AD330" s="53" t="s">
        <v>77</v>
      </c>
      <c r="AE330" s="56">
        <f t="shared" si="11"/>
        <v>90.317570909999986</v>
      </c>
      <c r="AF330" s="56">
        <v>90.317570909999986</v>
      </c>
      <c r="AG330" s="62"/>
      <c r="AH330" s="63"/>
      <c r="AI330" s="61"/>
      <c r="AJ330" s="58"/>
      <c r="AK330" s="58"/>
      <c r="AL330" s="58"/>
      <c r="AM330" s="58"/>
      <c r="AN330" s="58"/>
      <c r="AO330" s="58"/>
    </row>
    <row r="331" spans="1:41" x14ac:dyDescent="0.2">
      <c r="A331" s="49" t="s">
        <v>67</v>
      </c>
      <c r="B331" s="50">
        <v>43286</v>
      </c>
      <c r="C331" s="51">
        <v>0.49791666666666701</v>
      </c>
      <c r="D331" s="49" t="s">
        <v>113</v>
      </c>
      <c r="E331" s="49"/>
      <c r="F331" s="52">
        <v>62.5</v>
      </c>
      <c r="G331" s="53">
        <v>1</v>
      </c>
      <c r="H331" s="54">
        <v>1.6E-2</v>
      </c>
      <c r="I331" s="55">
        <v>6.83E-2</v>
      </c>
      <c r="J331" s="53">
        <v>314.15899999999999</v>
      </c>
      <c r="K331" s="53">
        <v>0.61470000000000002</v>
      </c>
      <c r="L331" s="53">
        <v>9</v>
      </c>
      <c r="M331" s="56">
        <v>511.07694810476653</v>
      </c>
      <c r="N331" s="53">
        <v>145</v>
      </c>
      <c r="O331" s="57" t="s">
        <v>69</v>
      </c>
      <c r="P331" s="58" t="s">
        <v>70</v>
      </c>
      <c r="Q331" s="53" t="s">
        <v>71</v>
      </c>
      <c r="R331" s="53" t="s">
        <v>72</v>
      </c>
      <c r="S331" s="53"/>
      <c r="T331" s="59">
        <v>1</v>
      </c>
      <c r="U331" s="59">
        <v>1</v>
      </c>
      <c r="V331" s="53">
        <v>22.2</v>
      </c>
      <c r="W331" s="53"/>
      <c r="X331" s="53"/>
      <c r="Y331" s="9">
        <f t="shared" si="10"/>
        <v>511.07694810476653</v>
      </c>
      <c r="Z331" s="60" t="s">
        <v>73</v>
      </c>
      <c r="AA331" s="58" t="s">
        <v>298</v>
      </c>
      <c r="AB331" s="58" t="s">
        <v>75</v>
      </c>
      <c r="AC331" s="61" t="s">
        <v>286</v>
      </c>
      <c r="AD331" s="53" t="s">
        <v>77</v>
      </c>
      <c r="AE331" s="56">
        <f t="shared" si="11"/>
        <v>954.78574961999993</v>
      </c>
      <c r="AF331" s="56">
        <v>954.78574961999993</v>
      </c>
      <c r="AG331" s="62"/>
      <c r="AH331" s="63"/>
      <c r="AI331" s="61"/>
      <c r="AJ331" s="58"/>
      <c r="AK331" s="58"/>
      <c r="AL331" s="58"/>
      <c r="AM331" s="58"/>
      <c r="AN331" s="58"/>
      <c r="AO331" s="58"/>
    </row>
    <row r="332" spans="1:41" x14ac:dyDescent="0.2">
      <c r="A332" s="49" t="s">
        <v>67</v>
      </c>
      <c r="B332" s="50">
        <v>43286</v>
      </c>
      <c r="C332" s="51">
        <v>0.49791666666666701</v>
      </c>
      <c r="D332" s="49" t="s">
        <v>113</v>
      </c>
      <c r="E332" s="49"/>
      <c r="F332" s="52">
        <v>62.5</v>
      </c>
      <c r="G332" s="53">
        <v>1</v>
      </c>
      <c r="H332" s="54">
        <v>1.6E-2</v>
      </c>
      <c r="I332" s="55">
        <v>6.83E-2</v>
      </c>
      <c r="J332" s="53">
        <v>314.15899999999999</v>
      </c>
      <c r="K332" s="53">
        <v>0.61470000000000002</v>
      </c>
      <c r="L332" s="53">
        <v>9</v>
      </c>
      <c r="M332" s="56">
        <v>511.07694810476653</v>
      </c>
      <c r="N332" s="53">
        <v>1037</v>
      </c>
      <c r="O332" s="57" t="s">
        <v>86</v>
      </c>
      <c r="P332" s="57" t="s">
        <v>82</v>
      </c>
      <c r="Q332" s="53" t="s">
        <v>87</v>
      </c>
      <c r="R332" s="53" t="s">
        <v>84</v>
      </c>
      <c r="S332" s="53"/>
      <c r="T332" s="59">
        <v>13</v>
      </c>
      <c r="U332" s="59">
        <v>13</v>
      </c>
      <c r="V332" s="53">
        <v>2.8</v>
      </c>
      <c r="W332" s="53"/>
      <c r="X332" s="53"/>
      <c r="Y332" s="9">
        <f t="shared" si="10"/>
        <v>6644.0003253619652</v>
      </c>
      <c r="Z332" s="60" t="s">
        <v>73</v>
      </c>
      <c r="AA332" s="58" t="s">
        <v>298</v>
      </c>
      <c r="AB332" s="58" t="s">
        <v>75</v>
      </c>
      <c r="AC332" s="61" t="s">
        <v>286</v>
      </c>
      <c r="AD332" s="53" t="s">
        <v>85</v>
      </c>
      <c r="AE332" s="56">
        <f t="shared" si="11"/>
        <v>7.2382233599999992</v>
      </c>
      <c r="AF332" s="56">
        <v>7.2382233599999992</v>
      </c>
      <c r="AG332" s="62"/>
      <c r="AH332" s="63"/>
      <c r="AI332" s="61"/>
      <c r="AJ332" s="58"/>
      <c r="AK332" s="58"/>
      <c r="AL332" s="58"/>
      <c r="AM332" s="58"/>
      <c r="AN332" s="58"/>
      <c r="AO332" s="58"/>
    </row>
    <row r="333" spans="1:41" x14ac:dyDescent="0.2">
      <c r="A333" s="49" t="s">
        <v>67</v>
      </c>
      <c r="B333" s="50">
        <v>43286</v>
      </c>
      <c r="C333" s="51">
        <v>0.49791666666666701</v>
      </c>
      <c r="D333" s="49" t="s">
        <v>113</v>
      </c>
      <c r="E333" s="49"/>
      <c r="F333" s="52">
        <v>62.5</v>
      </c>
      <c r="G333" s="53">
        <v>1</v>
      </c>
      <c r="H333" s="54">
        <v>1.6E-2</v>
      </c>
      <c r="I333" s="55">
        <v>6.83E-2</v>
      </c>
      <c r="J333" s="53">
        <v>314.15899999999999</v>
      </c>
      <c r="K333" s="53">
        <v>0.61470000000000002</v>
      </c>
      <c r="L333" s="53">
        <v>9</v>
      </c>
      <c r="M333" s="56">
        <v>511.07694810476653</v>
      </c>
      <c r="N333" s="53">
        <v>1692</v>
      </c>
      <c r="O333" s="58" t="s">
        <v>179</v>
      </c>
      <c r="P333" s="57" t="s">
        <v>82</v>
      </c>
      <c r="Q333" s="53" t="s">
        <v>180</v>
      </c>
      <c r="R333" s="53" t="s">
        <v>84</v>
      </c>
      <c r="S333" s="53"/>
      <c r="T333" s="59">
        <v>1</v>
      </c>
      <c r="U333" s="59">
        <v>1</v>
      </c>
      <c r="V333" s="53">
        <v>7.4</v>
      </c>
      <c r="W333" s="53"/>
      <c r="X333" s="53"/>
      <c r="Y333" s="9">
        <f t="shared" si="10"/>
        <v>511.07694810476653</v>
      </c>
      <c r="Z333" s="60" t="s">
        <v>73</v>
      </c>
      <c r="AA333" s="58" t="s">
        <v>298</v>
      </c>
      <c r="AB333" s="58" t="s">
        <v>75</v>
      </c>
      <c r="AC333" s="61" t="s">
        <v>286</v>
      </c>
      <c r="AD333" s="53" t="s">
        <v>120</v>
      </c>
      <c r="AE333" s="56">
        <f t="shared" si="11"/>
        <v>121.50832362666665</v>
      </c>
      <c r="AF333" s="56">
        <v>121.50832362666665</v>
      </c>
      <c r="AG333" s="62"/>
      <c r="AH333" s="63"/>
      <c r="AI333" s="61"/>
      <c r="AJ333" s="58"/>
      <c r="AK333" s="58"/>
      <c r="AL333" s="58"/>
      <c r="AM333" s="58"/>
      <c r="AN333" s="58"/>
      <c r="AO333" s="58"/>
    </row>
    <row r="334" spans="1:41" x14ac:dyDescent="0.2">
      <c r="A334" s="49" t="s">
        <v>67</v>
      </c>
      <c r="B334" s="50">
        <v>43286</v>
      </c>
      <c r="C334" s="51">
        <v>0.49791666666666701</v>
      </c>
      <c r="D334" s="49" t="s">
        <v>113</v>
      </c>
      <c r="E334" s="49"/>
      <c r="F334" s="52">
        <v>62.5</v>
      </c>
      <c r="G334" s="53">
        <v>1</v>
      </c>
      <c r="H334" s="54">
        <v>1.6E-2</v>
      </c>
      <c r="I334" s="55">
        <v>6.83E-2</v>
      </c>
      <c r="J334" s="53">
        <v>314.15899999999999</v>
      </c>
      <c r="K334" s="53">
        <v>0.61470000000000002</v>
      </c>
      <c r="L334" s="53">
        <v>9</v>
      </c>
      <c r="M334" s="56">
        <v>511.07694810476653</v>
      </c>
      <c r="N334" s="53">
        <v>1364</v>
      </c>
      <c r="O334" s="57" t="s">
        <v>88</v>
      </c>
      <c r="P334" s="57" t="s">
        <v>82</v>
      </c>
      <c r="Q334" s="53" t="s">
        <v>89</v>
      </c>
      <c r="R334" s="53" t="s">
        <v>90</v>
      </c>
      <c r="S334" s="53"/>
      <c r="T334" s="59">
        <v>1</v>
      </c>
      <c r="U334" s="59">
        <v>1</v>
      </c>
      <c r="V334" s="53">
        <v>9.3000000000000007</v>
      </c>
      <c r="W334" s="53"/>
      <c r="X334" s="53"/>
      <c r="Y334" s="9">
        <f t="shared" si="10"/>
        <v>511.07694810476653</v>
      </c>
      <c r="Z334" s="60" t="s">
        <v>73</v>
      </c>
      <c r="AA334" s="58" t="s">
        <v>298</v>
      </c>
      <c r="AB334" s="58" t="s">
        <v>75</v>
      </c>
      <c r="AC334" s="61" t="s">
        <v>286</v>
      </c>
      <c r="AD334" s="53" t="s">
        <v>91</v>
      </c>
      <c r="AE334" s="56">
        <f t="shared" si="11"/>
        <v>314.73783795749995</v>
      </c>
      <c r="AF334" s="56">
        <v>314.73783795749995</v>
      </c>
      <c r="AG334" s="62"/>
      <c r="AH334" s="63"/>
      <c r="AI334" s="61"/>
      <c r="AJ334" s="58"/>
      <c r="AK334" s="58"/>
      <c r="AL334" s="58"/>
      <c r="AM334" s="58"/>
      <c r="AN334" s="58"/>
      <c r="AO334" s="58"/>
    </row>
    <row r="335" spans="1:41" x14ac:dyDescent="0.2">
      <c r="A335" s="49" t="s">
        <v>67</v>
      </c>
      <c r="B335" s="50">
        <v>43286</v>
      </c>
      <c r="C335" s="51">
        <v>0.49791666666666701</v>
      </c>
      <c r="D335" s="49" t="s">
        <v>113</v>
      </c>
      <c r="E335" s="49"/>
      <c r="F335" s="52">
        <v>62.5</v>
      </c>
      <c r="G335" s="53">
        <v>1</v>
      </c>
      <c r="H335" s="54">
        <v>1.6E-2</v>
      </c>
      <c r="I335" s="55">
        <v>6.83E-2</v>
      </c>
      <c r="J335" s="53">
        <v>314.15899999999999</v>
      </c>
      <c r="K335" s="53">
        <v>0.61470000000000002</v>
      </c>
      <c r="L335" s="53">
        <v>9</v>
      </c>
      <c r="M335" s="56">
        <v>511.07694810476653</v>
      </c>
      <c r="N335" s="53">
        <v>1419</v>
      </c>
      <c r="O335" s="57" t="s">
        <v>94</v>
      </c>
      <c r="P335" s="57" t="s">
        <v>82</v>
      </c>
      <c r="Q335" s="53" t="s">
        <v>95</v>
      </c>
      <c r="R335" s="53" t="s">
        <v>96</v>
      </c>
      <c r="S335" s="53"/>
      <c r="T335" s="59">
        <v>399</v>
      </c>
      <c r="U335" s="59">
        <v>801</v>
      </c>
      <c r="V335" s="53">
        <v>0.8</v>
      </c>
      <c r="W335" s="53">
        <v>0.8</v>
      </c>
      <c r="X335" s="53">
        <v>0.8</v>
      </c>
      <c r="Y335" s="9">
        <f t="shared" si="10"/>
        <v>203919.70229380182</v>
      </c>
      <c r="Z335" s="60" t="s">
        <v>97</v>
      </c>
      <c r="AA335" s="58" t="s">
        <v>298</v>
      </c>
      <c r="AB335" s="58" t="s">
        <v>75</v>
      </c>
      <c r="AC335" s="61" t="s">
        <v>286</v>
      </c>
      <c r="AD335" s="53" t="s">
        <v>85</v>
      </c>
      <c r="AE335" s="56">
        <f t="shared" si="11"/>
        <v>0.17999999999999997</v>
      </c>
      <c r="AF335" s="56">
        <v>0.18</v>
      </c>
      <c r="AG335" s="56">
        <v>0.18</v>
      </c>
      <c r="AH335" s="56">
        <v>0.18</v>
      </c>
      <c r="AI335" s="56">
        <v>0.18</v>
      </c>
      <c r="AJ335" s="56">
        <v>0.18</v>
      </c>
      <c r="AK335" s="56">
        <v>0.18</v>
      </c>
      <c r="AL335" s="56">
        <v>0.18</v>
      </c>
      <c r="AM335" s="56">
        <v>0.18</v>
      </c>
      <c r="AN335" s="56">
        <v>0.18</v>
      </c>
      <c r="AO335" s="56">
        <v>0.18</v>
      </c>
    </row>
    <row r="336" spans="1:41" x14ac:dyDescent="0.2">
      <c r="A336" s="5" t="s">
        <v>67</v>
      </c>
      <c r="B336" s="25">
        <v>43286</v>
      </c>
      <c r="C336" s="26">
        <v>0.51041666666666696</v>
      </c>
      <c r="D336" s="5" t="s">
        <v>209</v>
      </c>
      <c r="E336" s="5">
        <v>3</v>
      </c>
      <c r="F336" s="32">
        <v>61</v>
      </c>
      <c r="G336" s="9">
        <v>2</v>
      </c>
      <c r="H336" s="6">
        <v>3.2786885245901641E-2</v>
      </c>
      <c r="I336" s="7">
        <v>6.83E-2</v>
      </c>
      <c r="J336" s="9">
        <v>314.15899999999999</v>
      </c>
      <c r="K336" s="9">
        <v>0.68300000000000005</v>
      </c>
      <c r="L336" s="9">
        <v>10</v>
      </c>
      <c r="M336" s="14">
        <v>229.98462664714492</v>
      </c>
      <c r="N336" s="9">
        <v>749</v>
      </c>
      <c r="O336" s="12" t="s">
        <v>190</v>
      </c>
      <c r="P336" s="8" t="s">
        <v>70</v>
      </c>
      <c r="Q336" s="9" t="s">
        <v>191</v>
      </c>
      <c r="R336" s="9" t="s">
        <v>84</v>
      </c>
      <c r="S336" s="9"/>
      <c r="T336" s="18">
        <v>1</v>
      </c>
      <c r="U336" s="18">
        <v>1</v>
      </c>
      <c r="V336" s="9">
        <v>13</v>
      </c>
      <c r="Y336" s="9">
        <f t="shared" si="10"/>
        <v>229.98462664714492</v>
      </c>
      <c r="Z336" s="19" t="s">
        <v>73</v>
      </c>
      <c r="AA336" s="8" t="s">
        <v>284</v>
      </c>
      <c r="AB336" s="8" t="s">
        <v>75</v>
      </c>
      <c r="AC336" s="11" t="s">
        <v>76</v>
      </c>
      <c r="AD336" s="9" t="s">
        <v>193</v>
      </c>
      <c r="AE336" s="56">
        <f t="shared" si="11"/>
        <v>67.34</v>
      </c>
      <c r="AF336" s="14">
        <v>67.34</v>
      </c>
      <c r="AG336" s="13"/>
    </row>
    <row r="337" spans="1:41" x14ac:dyDescent="0.2">
      <c r="A337" s="5" t="s">
        <v>67</v>
      </c>
      <c r="B337" s="25">
        <v>43286</v>
      </c>
      <c r="C337" s="26">
        <v>0.51041666666666696</v>
      </c>
      <c r="D337" s="5" t="s">
        <v>209</v>
      </c>
      <c r="E337" s="5">
        <v>3</v>
      </c>
      <c r="F337" s="32">
        <v>61</v>
      </c>
      <c r="G337" s="9">
        <v>2</v>
      </c>
      <c r="H337" s="6">
        <v>3.2786885245901641E-2</v>
      </c>
      <c r="I337" s="7">
        <v>6.83E-2</v>
      </c>
      <c r="J337" s="9">
        <v>314.15899999999999</v>
      </c>
      <c r="K337" s="9">
        <v>0.68300000000000005</v>
      </c>
      <c r="L337" s="9">
        <v>10</v>
      </c>
      <c r="M337" s="14">
        <v>229.98462664714492</v>
      </c>
      <c r="N337" s="9">
        <v>1031</v>
      </c>
      <c r="O337" s="12" t="s">
        <v>81</v>
      </c>
      <c r="P337" s="12" t="s">
        <v>82</v>
      </c>
      <c r="Q337" s="9" t="s">
        <v>83</v>
      </c>
      <c r="R337" s="9" t="s">
        <v>84</v>
      </c>
      <c r="S337" s="9"/>
      <c r="T337" s="18">
        <v>1</v>
      </c>
      <c r="U337" s="18">
        <v>1</v>
      </c>
      <c r="V337" s="9">
        <v>5.6</v>
      </c>
      <c r="Y337" s="9">
        <f t="shared" si="10"/>
        <v>229.98462664714492</v>
      </c>
      <c r="Z337" s="19" t="s">
        <v>73</v>
      </c>
      <c r="AA337" s="8" t="s">
        <v>284</v>
      </c>
      <c r="AB337" s="8" t="s">
        <v>75</v>
      </c>
      <c r="AC337" s="11" t="s">
        <v>76</v>
      </c>
      <c r="AD337" s="9" t="s">
        <v>85</v>
      </c>
      <c r="AE337" s="56">
        <f t="shared" si="11"/>
        <v>62.044308106666655</v>
      </c>
      <c r="AF337" s="14">
        <v>62.044308106666655</v>
      </c>
      <c r="AG337" s="13"/>
    </row>
    <row r="338" spans="1:41" x14ac:dyDescent="0.2">
      <c r="A338" s="5" t="s">
        <v>67</v>
      </c>
      <c r="B338" s="25">
        <v>43286</v>
      </c>
      <c r="C338" s="26">
        <v>0.51041666666666696</v>
      </c>
      <c r="D338" s="5" t="s">
        <v>209</v>
      </c>
      <c r="E338" s="5">
        <v>3</v>
      </c>
      <c r="F338" s="32">
        <v>61</v>
      </c>
      <c r="G338" s="9">
        <v>2</v>
      </c>
      <c r="H338" s="6">
        <v>3.2786885245901641E-2</v>
      </c>
      <c r="I338" s="7">
        <v>6.83E-2</v>
      </c>
      <c r="J338" s="9">
        <v>314.15899999999999</v>
      </c>
      <c r="K338" s="9">
        <v>0.68300000000000005</v>
      </c>
      <c r="L338" s="9">
        <v>10</v>
      </c>
      <c r="M338" s="14">
        <v>229.98462664714492</v>
      </c>
      <c r="N338" s="9">
        <v>1037</v>
      </c>
      <c r="O338" s="12" t="s">
        <v>86</v>
      </c>
      <c r="P338" s="12" t="s">
        <v>82</v>
      </c>
      <c r="Q338" s="9" t="s">
        <v>87</v>
      </c>
      <c r="R338" s="9" t="s">
        <v>84</v>
      </c>
      <c r="S338" s="9"/>
      <c r="T338" s="18">
        <v>23</v>
      </c>
      <c r="U338" s="18">
        <v>23</v>
      </c>
      <c r="V338" s="9">
        <v>2.8</v>
      </c>
      <c r="Y338" s="9">
        <f t="shared" si="10"/>
        <v>5289.6464128843336</v>
      </c>
      <c r="Z338" s="19" t="s">
        <v>73</v>
      </c>
      <c r="AA338" s="8" t="s">
        <v>284</v>
      </c>
      <c r="AB338" s="8" t="s">
        <v>75</v>
      </c>
      <c r="AC338" s="11" t="s">
        <v>76</v>
      </c>
      <c r="AD338" s="9" t="s">
        <v>85</v>
      </c>
      <c r="AE338" s="56">
        <f t="shared" si="11"/>
        <v>9.2027643066666673</v>
      </c>
      <c r="AF338" s="14">
        <v>9.2027643066666673</v>
      </c>
      <c r="AG338" s="13"/>
    </row>
    <row r="339" spans="1:41" x14ac:dyDescent="0.2">
      <c r="A339" s="5" t="s">
        <v>67</v>
      </c>
      <c r="B339" s="25">
        <v>43286</v>
      </c>
      <c r="C339" s="26">
        <v>0.51041666666666696</v>
      </c>
      <c r="D339" s="5" t="s">
        <v>209</v>
      </c>
      <c r="E339" s="5">
        <v>3</v>
      </c>
      <c r="F339" s="32">
        <v>61</v>
      </c>
      <c r="G339" s="9">
        <v>2</v>
      </c>
      <c r="H339" s="6">
        <v>3.2786885245901641E-2</v>
      </c>
      <c r="I339" s="7">
        <v>6.83E-2</v>
      </c>
      <c r="J339" s="9">
        <v>314.15899999999999</v>
      </c>
      <c r="K339" s="9">
        <v>0.68300000000000005</v>
      </c>
      <c r="L339" s="9">
        <v>10</v>
      </c>
      <c r="M339" s="14">
        <v>229.98462664714492</v>
      </c>
      <c r="N339" s="9">
        <v>1364</v>
      </c>
      <c r="O339" s="12" t="s">
        <v>88</v>
      </c>
      <c r="P339" s="12" t="s">
        <v>82</v>
      </c>
      <c r="Q339" s="9" t="s">
        <v>89</v>
      </c>
      <c r="R339" s="9" t="s">
        <v>90</v>
      </c>
      <c r="S339" s="9"/>
      <c r="T339" s="18">
        <v>2</v>
      </c>
      <c r="U339" s="18">
        <v>2</v>
      </c>
      <c r="V339" s="9">
        <v>9.3000000000000007</v>
      </c>
      <c r="Y339" s="9">
        <f t="shared" si="10"/>
        <v>459.96925329428984</v>
      </c>
      <c r="Z339" s="19" t="s">
        <v>73</v>
      </c>
      <c r="AA339" s="8" t="s">
        <v>284</v>
      </c>
      <c r="AB339" s="8" t="s">
        <v>75</v>
      </c>
      <c r="AC339" s="11" t="s">
        <v>76</v>
      </c>
      <c r="AD339" s="9" t="s">
        <v>91</v>
      </c>
      <c r="AE339" s="56">
        <f t="shared" si="11"/>
        <v>326.05934291999995</v>
      </c>
      <c r="AF339" s="14">
        <v>326.05934291999995</v>
      </c>
      <c r="AG339" s="13"/>
    </row>
    <row r="340" spans="1:41" x14ac:dyDescent="0.2">
      <c r="A340" s="5" t="s">
        <v>67</v>
      </c>
      <c r="B340" s="25">
        <v>43286</v>
      </c>
      <c r="C340" s="26">
        <v>0.51041666666666696</v>
      </c>
      <c r="D340" s="5" t="s">
        <v>209</v>
      </c>
      <c r="E340" s="5">
        <v>3</v>
      </c>
      <c r="F340" s="32">
        <v>61</v>
      </c>
      <c r="G340" s="9">
        <v>2</v>
      </c>
      <c r="H340" s="6">
        <v>3.2786885245901641E-2</v>
      </c>
      <c r="I340" s="7">
        <v>6.83E-2</v>
      </c>
      <c r="J340" s="9">
        <v>314.15899999999999</v>
      </c>
      <c r="K340" s="9">
        <v>0.68300000000000005</v>
      </c>
      <c r="L340" s="9">
        <v>10</v>
      </c>
      <c r="M340" s="14">
        <v>229.98462664714492</v>
      </c>
      <c r="N340" s="9">
        <v>1733</v>
      </c>
      <c r="O340" s="12" t="s">
        <v>92</v>
      </c>
      <c r="P340" s="12" t="s">
        <v>82</v>
      </c>
      <c r="Q340" s="9" t="s">
        <v>89</v>
      </c>
      <c r="R340" s="9" t="s">
        <v>93</v>
      </c>
      <c r="S340" s="9"/>
      <c r="T340" s="18">
        <v>1</v>
      </c>
      <c r="U340" s="18">
        <v>1</v>
      </c>
      <c r="V340" s="9">
        <v>5.6</v>
      </c>
      <c r="Y340" s="9">
        <f t="shared" si="10"/>
        <v>229.98462664714492</v>
      </c>
      <c r="Z340" s="19" t="s">
        <v>73</v>
      </c>
      <c r="AA340" s="8" t="s">
        <v>284</v>
      </c>
      <c r="AB340" s="8" t="s">
        <v>75</v>
      </c>
      <c r="AC340" s="11" t="s">
        <v>76</v>
      </c>
      <c r="AD340" s="9" t="s">
        <v>91</v>
      </c>
      <c r="AE340" s="56">
        <f t="shared" si="11"/>
        <v>76.353203359999995</v>
      </c>
      <c r="AF340" s="14">
        <v>76.353203359999995</v>
      </c>
      <c r="AG340" s="13"/>
    </row>
    <row r="341" spans="1:41" x14ac:dyDescent="0.2">
      <c r="A341" s="5" t="s">
        <v>67</v>
      </c>
      <c r="B341" s="25">
        <v>43286</v>
      </c>
      <c r="C341" s="26">
        <v>0.51041666666666696</v>
      </c>
      <c r="D341" s="5" t="s">
        <v>209</v>
      </c>
      <c r="E341" s="5">
        <v>3</v>
      </c>
      <c r="F341" s="32">
        <v>61</v>
      </c>
      <c r="G341" s="9">
        <v>2</v>
      </c>
      <c r="H341" s="6">
        <v>3.2786885245901641E-2</v>
      </c>
      <c r="I341" s="7">
        <v>6.83E-2</v>
      </c>
      <c r="J341" s="9">
        <v>314.15899999999999</v>
      </c>
      <c r="K341" s="9">
        <v>0.68300000000000005</v>
      </c>
      <c r="L341" s="9">
        <v>10</v>
      </c>
      <c r="M341" s="14">
        <v>229.98462664714492</v>
      </c>
      <c r="N341" s="9">
        <v>1419</v>
      </c>
      <c r="O341" s="12" t="s">
        <v>94</v>
      </c>
      <c r="P341" s="12" t="s">
        <v>82</v>
      </c>
      <c r="Q341" s="9" t="s">
        <v>95</v>
      </c>
      <c r="R341" s="9" t="s">
        <v>96</v>
      </c>
      <c r="S341" s="9"/>
      <c r="T341" s="18">
        <v>415</v>
      </c>
      <c r="U341" s="18">
        <v>833</v>
      </c>
      <c r="V341" s="9">
        <v>0.8</v>
      </c>
      <c r="W341" s="9">
        <v>0.8</v>
      </c>
      <c r="X341" s="9">
        <v>0.8</v>
      </c>
      <c r="Y341" s="9">
        <f t="shared" si="10"/>
        <v>95443.620058565153</v>
      </c>
      <c r="Z341" s="19" t="s">
        <v>97</v>
      </c>
      <c r="AA341" s="8" t="s">
        <v>284</v>
      </c>
      <c r="AB341" s="8" t="s">
        <v>75</v>
      </c>
      <c r="AC341" s="11" t="s">
        <v>76</v>
      </c>
      <c r="AD341" s="9" t="s">
        <v>85</v>
      </c>
      <c r="AE341" s="56">
        <f t="shared" si="11"/>
        <v>0.17999999999999997</v>
      </c>
      <c r="AF341" s="14">
        <v>0.18</v>
      </c>
      <c r="AG341" s="14">
        <v>0.18</v>
      </c>
      <c r="AH341" s="14">
        <v>0.18</v>
      </c>
      <c r="AI341" s="14">
        <v>0.18</v>
      </c>
      <c r="AJ341" s="14">
        <v>0.18</v>
      </c>
      <c r="AK341" s="14">
        <v>0.18</v>
      </c>
      <c r="AL341" s="14">
        <v>0.18</v>
      </c>
      <c r="AM341" s="14">
        <v>0.18</v>
      </c>
      <c r="AN341" s="14">
        <v>0.18</v>
      </c>
      <c r="AO341" s="14">
        <v>0.18</v>
      </c>
    </row>
    <row r="342" spans="1:41" x14ac:dyDescent="0.2">
      <c r="A342" s="49" t="s">
        <v>67</v>
      </c>
      <c r="B342" s="50">
        <v>43286</v>
      </c>
      <c r="C342" s="51">
        <v>0.53888888888888897</v>
      </c>
      <c r="D342" s="49" t="s">
        <v>170</v>
      </c>
      <c r="E342" s="49">
        <v>3</v>
      </c>
      <c r="F342" s="52">
        <v>61</v>
      </c>
      <c r="G342" s="53">
        <v>2</v>
      </c>
      <c r="H342" s="54">
        <v>3.2786885245901641E-2</v>
      </c>
      <c r="I342" s="55">
        <v>6.83E-2</v>
      </c>
      <c r="J342" s="53">
        <v>314.15899999999999</v>
      </c>
      <c r="K342" s="53">
        <v>0.75129999999999997</v>
      </c>
      <c r="L342" s="53">
        <v>11</v>
      </c>
      <c r="M342" s="56">
        <v>209.07693331558633</v>
      </c>
      <c r="N342" s="53">
        <v>1037</v>
      </c>
      <c r="O342" s="57" t="s">
        <v>86</v>
      </c>
      <c r="P342" s="57" t="s">
        <v>82</v>
      </c>
      <c r="Q342" s="53" t="s">
        <v>87</v>
      </c>
      <c r="R342" s="53" t="s">
        <v>84</v>
      </c>
      <c r="S342" s="53"/>
      <c r="T342" s="59">
        <v>23</v>
      </c>
      <c r="U342" s="59">
        <v>23</v>
      </c>
      <c r="V342" s="53">
        <v>3.7</v>
      </c>
      <c r="W342" s="53"/>
      <c r="X342" s="53"/>
      <c r="Y342" s="9">
        <f t="shared" si="10"/>
        <v>4808.7694662584854</v>
      </c>
      <c r="Z342" s="60" t="s">
        <v>73</v>
      </c>
      <c r="AA342" s="58" t="s">
        <v>322</v>
      </c>
      <c r="AB342" s="58" t="s">
        <v>75</v>
      </c>
      <c r="AC342" s="61" t="s">
        <v>76</v>
      </c>
      <c r="AD342" s="53" t="s">
        <v>85</v>
      </c>
      <c r="AE342" s="56">
        <f t="shared" si="11"/>
        <v>11.494030613333329</v>
      </c>
      <c r="AF342" s="56">
        <v>11.494030613333329</v>
      </c>
      <c r="AG342" s="62"/>
      <c r="AH342" s="63"/>
      <c r="AI342" s="61"/>
      <c r="AJ342" s="58"/>
      <c r="AK342" s="58"/>
      <c r="AL342" s="58"/>
      <c r="AM342" s="58"/>
      <c r="AN342" s="58"/>
      <c r="AO342" s="58"/>
    </row>
    <row r="343" spans="1:41" x14ac:dyDescent="0.2">
      <c r="A343" s="49" t="s">
        <v>67</v>
      </c>
      <c r="B343" s="50">
        <v>43286</v>
      </c>
      <c r="C343" s="51">
        <v>0.53888888888888897</v>
      </c>
      <c r="D343" s="49" t="s">
        <v>170</v>
      </c>
      <c r="E343" s="49">
        <v>3</v>
      </c>
      <c r="F343" s="52">
        <v>61</v>
      </c>
      <c r="G343" s="53">
        <v>2</v>
      </c>
      <c r="H343" s="54">
        <v>3.2786885245901641E-2</v>
      </c>
      <c r="I343" s="55">
        <v>6.83E-2</v>
      </c>
      <c r="J343" s="53">
        <v>314.15899999999999</v>
      </c>
      <c r="K343" s="53">
        <v>0.75129999999999997</v>
      </c>
      <c r="L343" s="53">
        <v>11</v>
      </c>
      <c r="M343" s="56">
        <v>209.07693331558633</v>
      </c>
      <c r="N343" s="53">
        <v>1364</v>
      </c>
      <c r="O343" s="57" t="s">
        <v>88</v>
      </c>
      <c r="P343" s="57" t="s">
        <v>82</v>
      </c>
      <c r="Q343" s="53" t="s">
        <v>89</v>
      </c>
      <c r="R343" s="53" t="s">
        <v>90</v>
      </c>
      <c r="S343" s="53"/>
      <c r="T343" s="59">
        <v>1</v>
      </c>
      <c r="U343" s="59">
        <v>1</v>
      </c>
      <c r="V343" s="53">
        <v>9.3000000000000007</v>
      </c>
      <c r="W343" s="53"/>
      <c r="X343" s="53"/>
      <c r="Y343" s="9">
        <f t="shared" si="10"/>
        <v>209.07693331558633</v>
      </c>
      <c r="Z343" s="60" t="s">
        <v>73</v>
      </c>
      <c r="AA343" s="58" t="s">
        <v>322</v>
      </c>
      <c r="AB343" s="58" t="s">
        <v>75</v>
      </c>
      <c r="AC343" s="61" t="s">
        <v>76</v>
      </c>
      <c r="AD343" s="53" t="s">
        <v>91</v>
      </c>
      <c r="AE343" s="56">
        <f t="shared" si="11"/>
        <v>337.38084788249995</v>
      </c>
      <c r="AF343" s="56">
        <v>337.38084788249995</v>
      </c>
      <c r="AG343" s="62"/>
      <c r="AH343" s="63"/>
      <c r="AI343" s="61"/>
      <c r="AJ343" s="58"/>
      <c r="AK343" s="58"/>
      <c r="AL343" s="58"/>
      <c r="AM343" s="58"/>
      <c r="AN343" s="58"/>
      <c r="AO343" s="58"/>
    </row>
    <row r="344" spans="1:41" x14ac:dyDescent="0.2">
      <c r="A344" s="49" t="s">
        <v>67</v>
      </c>
      <c r="B344" s="50">
        <v>43286</v>
      </c>
      <c r="C344" s="51">
        <v>0.53888888888888897</v>
      </c>
      <c r="D344" s="49" t="s">
        <v>170</v>
      </c>
      <c r="E344" s="49">
        <v>3</v>
      </c>
      <c r="F344" s="52">
        <v>61</v>
      </c>
      <c r="G344" s="53">
        <v>2</v>
      </c>
      <c r="H344" s="54">
        <v>3.2786885245901641E-2</v>
      </c>
      <c r="I344" s="55">
        <v>6.83E-2</v>
      </c>
      <c r="J344" s="53">
        <v>314.15899999999999</v>
      </c>
      <c r="K344" s="53">
        <v>0.75129999999999997</v>
      </c>
      <c r="L344" s="53">
        <v>11</v>
      </c>
      <c r="M344" s="56">
        <v>209.07693331558633</v>
      </c>
      <c r="N344" s="53">
        <v>1419</v>
      </c>
      <c r="O344" s="57" t="s">
        <v>94</v>
      </c>
      <c r="P344" s="57" t="s">
        <v>82</v>
      </c>
      <c r="Q344" s="53" t="s">
        <v>95</v>
      </c>
      <c r="R344" s="53" t="s">
        <v>96</v>
      </c>
      <c r="S344" s="53"/>
      <c r="T344" s="59">
        <v>390</v>
      </c>
      <c r="U344" s="59">
        <v>788</v>
      </c>
      <c r="V344" s="53">
        <v>0.8</v>
      </c>
      <c r="W344" s="53">
        <v>0.8</v>
      </c>
      <c r="X344" s="53">
        <v>0.8</v>
      </c>
      <c r="Y344" s="9">
        <f t="shared" si="10"/>
        <v>81540.003993078659</v>
      </c>
      <c r="Z344" s="60" t="s">
        <v>97</v>
      </c>
      <c r="AA344" s="58" t="s">
        <v>322</v>
      </c>
      <c r="AB344" s="58" t="s">
        <v>75</v>
      </c>
      <c r="AC344" s="61" t="s">
        <v>76</v>
      </c>
      <c r="AD344" s="53" t="s">
        <v>85</v>
      </c>
      <c r="AE344" s="56">
        <f t="shared" si="11"/>
        <v>0.17999999999999997</v>
      </c>
      <c r="AF344" s="56">
        <v>0.18</v>
      </c>
      <c r="AG344" s="56">
        <v>0.18</v>
      </c>
      <c r="AH344" s="56">
        <v>0.18</v>
      </c>
      <c r="AI344" s="56">
        <v>0.18</v>
      </c>
      <c r="AJ344" s="56">
        <v>0.18</v>
      </c>
      <c r="AK344" s="56">
        <v>0.18</v>
      </c>
      <c r="AL344" s="56">
        <v>0.18</v>
      </c>
      <c r="AM344" s="56">
        <v>0.18</v>
      </c>
      <c r="AN344" s="56">
        <v>0.18</v>
      </c>
      <c r="AO344" s="56">
        <v>0.18</v>
      </c>
    </row>
    <row r="345" spans="1:41" x14ac:dyDescent="0.2">
      <c r="A345" s="49" t="s">
        <v>67</v>
      </c>
      <c r="B345" s="50">
        <v>43286</v>
      </c>
      <c r="C345" s="51">
        <v>0.53888888888888897</v>
      </c>
      <c r="D345" s="49" t="s">
        <v>170</v>
      </c>
      <c r="E345" s="49">
        <v>3</v>
      </c>
      <c r="F345" s="52">
        <v>61</v>
      </c>
      <c r="G345" s="53">
        <v>2</v>
      </c>
      <c r="H345" s="54">
        <v>3.2786885245901641E-2</v>
      </c>
      <c r="I345" s="55">
        <v>6.83E-2</v>
      </c>
      <c r="J345" s="53">
        <v>314.15899999999999</v>
      </c>
      <c r="K345" s="53">
        <v>0.75129999999999997</v>
      </c>
      <c r="L345" s="53">
        <v>11</v>
      </c>
      <c r="M345" s="56">
        <v>209.07693331558633</v>
      </c>
      <c r="N345" s="53">
        <v>1526</v>
      </c>
      <c r="O345" s="58" t="s">
        <v>156</v>
      </c>
      <c r="P345" s="57" t="s">
        <v>82</v>
      </c>
      <c r="Q345" s="53" t="s">
        <v>157</v>
      </c>
      <c r="R345" s="53" t="s">
        <v>84</v>
      </c>
      <c r="S345" s="53"/>
      <c r="T345" s="59">
        <v>1</v>
      </c>
      <c r="U345" s="59">
        <v>1</v>
      </c>
      <c r="V345" s="53">
        <v>3.7</v>
      </c>
      <c r="W345" s="53"/>
      <c r="X345" s="53"/>
      <c r="Y345" s="9">
        <f t="shared" si="10"/>
        <v>209.07693331558633</v>
      </c>
      <c r="Z345" s="60" t="s">
        <v>73</v>
      </c>
      <c r="AA345" s="58" t="s">
        <v>322</v>
      </c>
      <c r="AB345" s="58" t="s">
        <v>75</v>
      </c>
      <c r="AC345" s="61" t="s">
        <v>76</v>
      </c>
      <c r="AD345" s="53" t="s">
        <v>85</v>
      </c>
      <c r="AE345" s="56">
        <f t="shared" si="11"/>
        <v>26.521826378333333</v>
      </c>
      <c r="AF345" s="56">
        <v>26.521826378333333</v>
      </c>
      <c r="AG345" s="62"/>
      <c r="AH345" s="63"/>
      <c r="AI345" s="61"/>
      <c r="AJ345" s="58"/>
      <c r="AK345" s="58"/>
      <c r="AL345" s="58"/>
      <c r="AM345" s="58"/>
      <c r="AN345" s="58"/>
      <c r="AO345" s="58"/>
    </row>
    <row r="346" spans="1:41" x14ac:dyDescent="0.2">
      <c r="A346" s="49" t="s">
        <v>67</v>
      </c>
      <c r="B346" s="50">
        <v>43286</v>
      </c>
      <c r="C346" s="51">
        <v>0.55763888888888902</v>
      </c>
      <c r="D346" s="49" t="s">
        <v>173</v>
      </c>
      <c r="E346" s="49"/>
      <c r="F346" s="52">
        <v>62</v>
      </c>
      <c r="G346" s="53">
        <v>2</v>
      </c>
      <c r="H346" s="54">
        <v>3.2258064516129031E-2</v>
      </c>
      <c r="I346" s="55">
        <v>6.83E-2</v>
      </c>
      <c r="J346" s="53">
        <v>314.15899999999999</v>
      </c>
      <c r="K346" s="53">
        <v>0.68300000000000005</v>
      </c>
      <c r="L346" s="53">
        <v>10</v>
      </c>
      <c r="M346" s="56">
        <v>229.98462664714492</v>
      </c>
      <c r="N346" s="53">
        <v>749</v>
      </c>
      <c r="O346" s="57" t="s">
        <v>190</v>
      </c>
      <c r="P346" s="58" t="s">
        <v>70</v>
      </c>
      <c r="Q346" s="53" t="s">
        <v>191</v>
      </c>
      <c r="R346" s="53" t="s">
        <v>84</v>
      </c>
      <c r="S346" s="53"/>
      <c r="T346" s="59">
        <v>1</v>
      </c>
      <c r="U346" s="59">
        <v>1</v>
      </c>
      <c r="V346" s="53">
        <v>20.399999999999999</v>
      </c>
      <c r="W346" s="53"/>
      <c r="X346" s="53"/>
      <c r="Y346" s="9">
        <f t="shared" si="10"/>
        <v>229.98462664714492</v>
      </c>
      <c r="Z346" s="60" t="s">
        <v>73</v>
      </c>
      <c r="AA346" s="58" t="s">
        <v>325</v>
      </c>
      <c r="AB346" s="58" t="s">
        <v>75</v>
      </c>
      <c r="AC346" s="61" t="s">
        <v>221</v>
      </c>
      <c r="AD346" s="53" t="s">
        <v>193</v>
      </c>
      <c r="AE346" s="56">
        <f t="shared" si="11"/>
        <v>79.967999999999975</v>
      </c>
      <c r="AF346" s="56">
        <v>79.967999999999975</v>
      </c>
      <c r="AG346" s="62"/>
      <c r="AH346" s="63"/>
      <c r="AI346" s="61"/>
      <c r="AJ346" s="58"/>
      <c r="AK346" s="58"/>
      <c r="AL346" s="58"/>
      <c r="AM346" s="58"/>
      <c r="AN346" s="58"/>
      <c r="AO346" s="58"/>
    </row>
    <row r="347" spans="1:41" x14ac:dyDescent="0.2">
      <c r="A347" s="49" t="s">
        <v>67</v>
      </c>
      <c r="B347" s="50">
        <v>43286</v>
      </c>
      <c r="C347" s="51">
        <v>0.55763888888888902</v>
      </c>
      <c r="D347" s="49" t="s">
        <v>173</v>
      </c>
      <c r="E347" s="49"/>
      <c r="F347" s="52">
        <v>62</v>
      </c>
      <c r="G347" s="53">
        <v>2</v>
      </c>
      <c r="H347" s="54">
        <v>3.2258064516129031E-2</v>
      </c>
      <c r="I347" s="55">
        <v>6.83E-2</v>
      </c>
      <c r="J347" s="53">
        <v>314.15899999999999</v>
      </c>
      <c r="K347" s="53">
        <v>0.68300000000000005</v>
      </c>
      <c r="L347" s="53">
        <v>10</v>
      </c>
      <c r="M347" s="56">
        <v>229.98462664714492</v>
      </c>
      <c r="N347" s="53">
        <v>1031</v>
      </c>
      <c r="O347" s="57" t="s">
        <v>81</v>
      </c>
      <c r="P347" s="57" t="s">
        <v>82</v>
      </c>
      <c r="Q347" s="53" t="s">
        <v>83</v>
      </c>
      <c r="R347" s="53" t="s">
        <v>84</v>
      </c>
      <c r="S347" s="53"/>
      <c r="T347" s="59">
        <v>1</v>
      </c>
      <c r="U347" s="59">
        <v>1</v>
      </c>
      <c r="V347" s="53">
        <v>5.6</v>
      </c>
      <c r="W347" s="53"/>
      <c r="X347" s="53"/>
      <c r="Y347" s="9">
        <f t="shared" si="10"/>
        <v>229.98462664714492</v>
      </c>
      <c r="Z347" s="60" t="s">
        <v>73</v>
      </c>
      <c r="AA347" s="58" t="s">
        <v>325</v>
      </c>
      <c r="AB347" s="58" t="s">
        <v>75</v>
      </c>
      <c r="AC347" s="61" t="s">
        <v>221</v>
      </c>
      <c r="AD347" s="53" t="s">
        <v>85</v>
      </c>
      <c r="AE347" s="56">
        <f t="shared" si="11"/>
        <v>62.044308106666655</v>
      </c>
      <c r="AF347" s="56">
        <v>62.044308106666655</v>
      </c>
      <c r="AG347" s="62"/>
      <c r="AH347" s="63"/>
      <c r="AI347" s="61"/>
      <c r="AJ347" s="58"/>
      <c r="AK347" s="58"/>
      <c r="AL347" s="58"/>
      <c r="AM347" s="58"/>
      <c r="AN347" s="58"/>
      <c r="AO347" s="58"/>
    </row>
    <row r="348" spans="1:41" x14ac:dyDescent="0.2">
      <c r="A348" s="49" t="s">
        <v>67</v>
      </c>
      <c r="B348" s="50">
        <v>43286</v>
      </c>
      <c r="C348" s="51">
        <v>0.55763888888888902</v>
      </c>
      <c r="D348" s="49" t="s">
        <v>173</v>
      </c>
      <c r="E348" s="49"/>
      <c r="F348" s="52">
        <v>62</v>
      </c>
      <c r="G348" s="53">
        <v>2</v>
      </c>
      <c r="H348" s="54">
        <v>3.2258064516129031E-2</v>
      </c>
      <c r="I348" s="55">
        <v>6.83E-2</v>
      </c>
      <c r="J348" s="53">
        <v>314.15899999999999</v>
      </c>
      <c r="K348" s="53">
        <v>0.68300000000000005</v>
      </c>
      <c r="L348" s="53">
        <v>10</v>
      </c>
      <c r="M348" s="56">
        <v>229.98462664714492</v>
      </c>
      <c r="N348" s="53">
        <v>1037</v>
      </c>
      <c r="O348" s="57" t="s">
        <v>86</v>
      </c>
      <c r="P348" s="57" t="s">
        <v>82</v>
      </c>
      <c r="Q348" s="53" t="s">
        <v>87</v>
      </c>
      <c r="R348" s="53" t="s">
        <v>84</v>
      </c>
      <c r="S348" s="53"/>
      <c r="T348" s="59">
        <v>40</v>
      </c>
      <c r="U348" s="59">
        <v>40</v>
      </c>
      <c r="V348" s="53">
        <v>2.8</v>
      </c>
      <c r="W348" s="53"/>
      <c r="X348" s="53"/>
      <c r="Y348" s="9">
        <f t="shared" si="10"/>
        <v>9199.3850658857973</v>
      </c>
      <c r="Z348" s="60" t="s">
        <v>73</v>
      </c>
      <c r="AA348" s="58" t="s">
        <v>325</v>
      </c>
      <c r="AB348" s="58" t="s">
        <v>75</v>
      </c>
      <c r="AC348" s="61" t="s">
        <v>221</v>
      </c>
      <c r="AD348" s="53" t="s">
        <v>85</v>
      </c>
      <c r="AE348" s="56">
        <f t="shared" si="11"/>
        <v>7.2382233599999992</v>
      </c>
      <c r="AF348" s="56">
        <v>7.2382233599999992</v>
      </c>
      <c r="AG348" s="62"/>
      <c r="AH348" s="63"/>
      <c r="AI348" s="61"/>
      <c r="AJ348" s="58"/>
      <c r="AK348" s="58"/>
      <c r="AL348" s="58"/>
      <c r="AM348" s="58"/>
      <c r="AN348" s="58"/>
      <c r="AO348" s="58"/>
    </row>
    <row r="349" spans="1:41" x14ac:dyDescent="0.2">
      <c r="A349" s="49" t="s">
        <v>67</v>
      </c>
      <c r="B349" s="50">
        <v>43286</v>
      </c>
      <c r="C349" s="51">
        <v>0.55763888888888902</v>
      </c>
      <c r="D349" s="49" t="s">
        <v>173</v>
      </c>
      <c r="E349" s="49"/>
      <c r="F349" s="52">
        <v>62</v>
      </c>
      <c r="G349" s="53">
        <v>2</v>
      </c>
      <c r="H349" s="54">
        <v>3.2258064516129031E-2</v>
      </c>
      <c r="I349" s="55">
        <v>6.83E-2</v>
      </c>
      <c r="J349" s="53">
        <v>314.15899999999999</v>
      </c>
      <c r="K349" s="53">
        <v>0.68300000000000005</v>
      </c>
      <c r="L349" s="53">
        <v>10</v>
      </c>
      <c r="M349" s="56">
        <v>229.98462664714492</v>
      </c>
      <c r="N349" s="53">
        <v>1419</v>
      </c>
      <c r="O349" s="57" t="s">
        <v>94</v>
      </c>
      <c r="P349" s="57" t="s">
        <v>82</v>
      </c>
      <c r="Q349" s="53" t="s">
        <v>95</v>
      </c>
      <c r="R349" s="53" t="s">
        <v>96</v>
      </c>
      <c r="S349" s="53"/>
      <c r="T349" s="59">
        <v>369</v>
      </c>
      <c r="U349" s="59">
        <v>739</v>
      </c>
      <c r="V349" s="53">
        <v>0.8</v>
      </c>
      <c r="W349" s="53">
        <v>0.8</v>
      </c>
      <c r="X349" s="53">
        <v>0.8</v>
      </c>
      <c r="Y349" s="9">
        <f t="shared" si="10"/>
        <v>84864.327232796481</v>
      </c>
      <c r="Z349" s="60" t="s">
        <v>97</v>
      </c>
      <c r="AA349" s="58" t="s">
        <v>325</v>
      </c>
      <c r="AB349" s="58" t="s">
        <v>75</v>
      </c>
      <c r="AC349" s="61" t="s">
        <v>221</v>
      </c>
      <c r="AD349" s="53" t="s">
        <v>85</v>
      </c>
      <c r="AE349" s="56">
        <f t="shared" si="11"/>
        <v>0.17999999999999997</v>
      </c>
      <c r="AF349" s="56">
        <v>0.18</v>
      </c>
      <c r="AG349" s="56">
        <v>0.18</v>
      </c>
      <c r="AH349" s="56">
        <v>0.18</v>
      </c>
      <c r="AI349" s="56">
        <v>0.18</v>
      </c>
      <c r="AJ349" s="56">
        <v>0.18</v>
      </c>
      <c r="AK349" s="56">
        <v>0.18</v>
      </c>
      <c r="AL349" s="56">
        <v>0.18</v>
      </c>
      <c r="AM349" s="56">
        <v>0.18</v>
      </c>
      <c r="AN349" s="56">
        <v>0.18</v>
      </c>
      <c r="AO349" s="56">
        <v>0.18</v>
      </c>
    </row>
    <row r="350" spans="1:41" x14ac:dyDescent="0.2">
      <c r="A350" s="49" t="s">
        <v>67</v>
      </c>
      <c r="B350" s="50">
        <v>43286</v>
      </c>
      <c r="C350" s="51">
        <v>0.55763888888888902</v>
      </c>
      <c r="D350" s="49" t="s">
        <v>173</v>
      </c>
      <c r="E350" s="49"/>
      <c r="F350" s="52">
        <v>62</v>
      </c>
      <c r="G350" s="53">
        <v>2</v>
      </c>
      <c r="H350" s="54">
        <v>3.2258064516129031E-2</v>
      </c>
      <c r="I350" s="55">
        <v>6.83E-2</v>
      </c>
      <c r="J350" s="53">
        <v>314.15899999999999</v>
      </c>
      <c r="K350" s="53">
        <v>0.68300000000000005</v>
      </c>
      <c r="L350" s="53">
        <v>10</v>
      </c>
      <c r="M350" s="56">
        <v>229.98462664714492</v>
      </c>
      <c r="N350" s="53">
        <v>1503</v>
      </c>
      <c r="O350" s="57" t="s">
        <v>312</v>
      </c>
      <c r="P350" s="57" t="s">
        <v>82</v>
      </c>
      <c r="Q350" s="53" t="s">
        <v>313</v>
      </c>
      <c r="R350" s="53" t="s">
        <v>84</v>
      </c>
      <c r="S350" s="53"/>
      <c r="T350" s="59">
        <v>1</v>
      </c>
      <c r="U350" s="59">
        <v>74</v>
      </c>
      <c r="V350" s="53">
        <v>2.8</v>
      </c>
      <c r="W350" s="53"/>
      <c r="X350" s="53"/>
      <c r="Y350" s="9">
        <f t="shared" si="10"/>
        <v>229.98462664714492</v>
      </c>
      <c r="Z350" s="60" t="s">
        <v>134</v>
      </c>
      <c r="AA350" s="58" t="s">
        <v>325</v>
      </c>
      <c r="AB350" s="58" t="s">
        <v>75</v>
      </c>
      <c r="AC350" s="61" t="s">
        <v>221</v>
      </c>
      <c r="AD350" s="53" t="s">
        <v>104</v>
      </c>
      <c r="AE350" s="56">
        <f t="shared" si="11"/>
        <v>1.7812815299999998</v>
      </c>
      <c r="AF350" s="56">
        <v>1.7812815299999998</v>
      </c>
      <c r="AG350" s="62"/>
      <c r="AH350" s="63"/>
      <c r="AI350" s="61"/>
      <c r="AJ350" s="58"/>
      <c r="AK350" s="58"/>
      <c r="AL350" s="58"/>
      <c r="AM350" s="58"/>
      <c r="AN350" s="58"/>
      <c r="AO350" s="58"/>
    </row>
    <row r="351" spans="1:41" x14ac:dyDescent="0.2">
      <c r="A351" s="49" t="s">
        <v>67</v>
      </c>
      <c r="B351" s="50">
        <v>43286</v>
      </c>
      <c r="C351" s="51">
        <v>0.56666666666666698</v>
      </c>
      <c r="D351" s="49" t="s">
        <v>158</v>
      </c>
      <c r="E351" s="49"/>
      <c r="F351" s="52">
        <v>63</v>
      </c>
      <c r="G351" s="53">
        <v>2</v>
      </c>
      <c r="H351" s="54">
        <v>3.1746031746031744E-2</v>
      </c>
      <c r="I351" s="55">
        <v>6.83E-2</v>
      </c>
      <c r="J351" s="53">
        <v>314.15899999999999</v>
      </c>
      <c r="K351" s="53">
        <v>0.75129999999999997</v>
      </c>
      <c r="L351" s="53">
        <v>11</v>
      </c>
      <c r="M351" s="56">
        <v>209.07693331558633</v>
      </c>
      <c r="N351" s="53">
        <v>145</v>
      </c>
      <c r="O351" s="57" t="s">
        <v>69</v>
      </c>
      <c r="P351" s="58" t="s">
        <v>70</v>
      </c>
      <c r="Q351" s="53" t="s">
        <v>71</v>
      </c>
      <c r="R351" s="53" t="s">
        <v>72</v>
      </c>
      <c r="S351" s="53"/>
      <c r="T351" s="59">
        <v>1</v>
      </c>
      <c r="U351" s="59">
        <v>1</v>
      </c>
      <c r="V351" s="53">
        <v>14.8</v>
      </c>
      <c r="W351" s="53"/>
      <c r="X351" s="53"/>
      <c r="Y351" s="9">
        <f t="shared" si="10"/>
        <v>209.07693331558633</v>
      </c>
      <c r="Z351" s="60" t="s">
        <v>73</v>
      </c>
      <c r="AA351" s="58" t="s">
        <v>308</v>
      </c>
      <c r="AB351" s="58" t="s">
        <v>75</v>
      </c>
      <c r="AC351" s="61" t="s">
        <v>76</v>
      </c>
      <c r="AD351" s="53" t="s">
        <v>77</v>
      </c>
      <c r="AE351" s="56">
        <f t="shared" si="11"/>
        <v>302.68591332</v>
      </c>
      <c r="AF351" s="56">
        <v>302.68591332</v>
      </c>
      <c r="AG351" s="62"/>
      <c r="AH351" s="63"/>
      <c r="AI351" s="61"/>
      <c r="AJ351" s="58"/>
      <c r="AK351" s="58"/>
      <c r="AL351" s="58"/>
      <c r="AM351" s="58"/>
      <c r="AN351" s="58"/>
      <c r="AO351" s="58"/>
    </row>
    <row r="352" spans="1:41" x14ac:dyDescent="0.2">
      <c r="A352" s="49" t="s">
        <v>67</v>
      </c>
      <c r="B352" s="50">
        <v>43286</v>
      </c>
      <c r="C352" s="51">
        <v>0.56666666666666698</v>
      </c>
      <c r="D352" s="49" t="s">
        <v>158</v>
      </c>
      <c r="E352" s="49"/>
      <c r="F352" s="52">
        <v>63</v>
      </c>
      <c r="G352" s="53">
        <v>2</v>
      </c>
      <c r="H352" s="54">
        <v>3.1746031746031744E-2</v>
      </c>
      <c r="I352" s="55">
        <v>6.83E-2</v>
      </c>
      <c r="J352" s="53">
        <v>314.15899999999999</v>
      </c>
      <c r="K352" s="53">
        <v>0.75129999999999997</v>
      </c>
      <c r="L352" s="53">
        <v>11</v>
      </c>
      <c r="M352" s="56">
        <v>209.07693331558633</v>
      </c>
      <c r="N352" s="53">
        <v>730</v>
      </c>
      <c r="O352" s="57" t="s">
        <v>270</v>
      </c>
      <c r="P352" s="58" t="s">
        <v>70</v>
      </c>
      <c r="Q352" s="53" t="s">
        <v>191</v>
      </c>
      <c r="R352" s="53" t="s">
        <v>271</v>
      </c>
      <c r="S352" s="53"/>
      <c r="T352" s="59">
        <v>2</v>
      </c>
      <c r="U352" s="59">
        <v>2</v>
      </c>
      <c r="V352" s="53">
        <v>25</v>
      </c>
      <c r="W352" s="53"/>
      <c r="X352" s="53"/>
      <c r="Y352" s="9">
        <f t="shared" si="10"/>
        <v>418.15386663117266</v>
      </c>
      <c r="Z352" s="60" t="s">
        <v>73</v>
      </c>
      <c r="AA352" s="58" t="s">
        <v>308</v>
      </c>
      <c r="AB352" s="58" t="s">
        <v>75</v>
      </c>
      <c r="AC352" s="61" t="s">
        <v>76</v>
      </c>
      <c r="AD352" s="53" t="s">
        <v>193</v>
      </c>
      <c r="AE352" s="56">
        <f t="shared" si="11"/>
        <v>171.125</v>
      </c>
      <c r="AF352" s="56">
        <v>171.125</v>
      </c>
      <c r="AG352" s="62"/>
      <c r="AH352" s="63"/>
      <c r="AI352" s="61"/>
      <c r="AJ352" s="58"/>
      <c r="AK352" s="58"/>
      <c r="AL352" s="58"/>
      <c r="AM352" s="58"/>
      <c r="AN352" s="58"/>
      <c r="AO352" s="58"/>
    </row>
    <row r="353" spans="1:41" x14ac:dyDescent="0.2">
      <c r="A353" s="49" t="s">
        <v>67</v>
      </c>
      <c r="B353" s="50">
        <v>43286</v>
      </c>
      <c r="C353" s="51">
        <v>0.56666666666666698</v>
      </c>
      <c r="D353" s="49" t="s">
        <v>158</v>
      </c>
      <c r="E353" s="49"/>
      <c r="F353" s="52">
        <v>63</v>
      </c>
      <c r="G353" s="53">
        <v>2</v>
      </c>
      <c r="H353" s="54">
        <v>3.1746031746031744E-2</v>
      </c>
      <c r="I353" s="55">
        <v>6.83E-2</v>
      </c>
      <c r="J353" s="53">
        <v>314.15899999999999</v>
      </c>
      <c r="K353" s="53">
        <v>0.75129999999999997</v>
      </c>
      <c r="L353" s="53">
        <v>11</v>
      </c>
      <c r="M353" s="56">
        <v>209.07693331558633</v>
      </c>
      <c r="N353" s="53">
        <v>749</v>
      </c>
      <c r="O353" s="57" t="s">
        <v>190</v>
      </c>
      <c r="P353" s="58" t="s">
        <v>70</v>
      </c>
      <c r="Q353" s="53" t="s">
        <v>191</v>
      </c>
      <c r="R353" s="53" t="s">
        <v>84</v>
      </c>
      <c r="S353" s="53"/>
      <c r="T353" s="59">
        <v>3</v>
      </c>
      <c r="U353" s="59">
        <v>3</v>
      </c>
      <c r="V353" s="53">
        <v>18.5</v>
      </c>
      <c r="W353" s="53"/>
      <c r="X353" s="53"/>
      <c r="Y353" s="9">
        <f t="shared" si="10"/>
        <v>627.23079994675891</v>
      </c>
      <c r="Z353" s="60" t="s">
        <v>73</v>
      </c>
      <c r="AA353" s="58" t="s">
        <v>308</v>
      </c>
      <c r="AB353" s="58" t="s">
        <v>75</v>
      </c>
      <c r="AC353" s="61" t="s">
        <v>76</v>
      </c>
      <c r="AD353" s="53" t="s">
        <v>193</v>
      </c>
      <c r="AE353" s="56">
        <f t="shared" si="11"/>
        <v>135.23499999999999</v>
      </c>
      <c r="AF353" s="56">
        <v>135.23499999999999</v>
      </c>
      <c r="AG353" s="62"/>
      <c r="AH353" s="63"/>
      <c r="AI353" s="61"/>
      <c r="AJ353" s="58"/>
      <c r="AK353" s="58"/>
      <c r="AL353" s="58"/>
      <c r="AM353" s="58"/>
      <c r="AN353" s="58"/>
      <c r="AO353" s="58"/>
    </row>
    <row r="354" spans="1:41" x14ac:dyDescent="0.2">
      <c r="A354" s="49" t="s">
        <v>67</v>
      </c>
      <c r="B354" s="50">
        <v>43286</v>
      </c>
      <c r="C354" s="51">
        <v>0.56666666666666698</v>
      </c>
      <c r="D354" s="49" t="s">
        <v>158</v>
      </c>
      <c r="E354" s="49"/>
      <c r="F354" s="52">
        <v>63</v>
      </c>
      <c r="G354" s="53">
        <v>2</v>
      </c>
      <c r="H354" s="54">
        <v>3.1746031746031744E-2</v>
      </c>
      <c r="I354" s="55">
        <v>6.83E-2</v>
      </c>
      <c r="J354" s="53">
        <v>314.15899999999999</v>
      </c>
      <c r="K354" s="53">
        <v>0.75129999999999997</v>
      </c>
      <c r="L354" s="53">
        <v>11</v>
      </c>
      <c r="M354" s="56">
        <v>209.07693331558633</v>
      </c>
      <c r="N354" s="53">
        <v>1037</v>
      </c>
      <c r="O354" s="57" t="s">
        <v>86</v>
      </c>
      <c r="P354" s="57" t="s">
        <v>82</v>
      </c>
      <c r="Q354" s="53" t="s">
        <v>87</v>
      </c>
      <c r="R354" s="53" t="s">
        <v>84</v>
      </c>
      <c r="S354" s="53"/>
      <c r="T354" s="59">
        <v>37</v>
      </c>
      <c r="U354" s="59">
        <v>37</v>
      </c>
      <c r="V354" s="53">
        <v>2.8</v>
      </c>
      <c r="W354" s="53"/>
      <c r="X354" s="53"/>
      <c r="Y354" s="9">
        <f t="shared" si="10"/>
        <v>7735.8465326766936</v>
      </c>
      <c r="Z354" s="60" t="s">
        <v>73</v>
      </c>
      <c r="AA354" s="58" t="s">
        <v>308</v>
      </c>
      <c r="AB354" s="58" t="s">
        <v>75</v>
      </c>
      <c r="AC354" s="61" t="s">
        <v>76</v>
      </c>
      <c r="AD354" s="53" t="s">
        <v>85</v>
      </c>
      <c r="AE354" s="56">
        <f t="shared" si="11"/>
        <v>9.2027643066666673</v>
      </c>
      <c r="AF354" s="56">
        <v>9.2027643066666673</v>
      </c>
      <c r="AG354" s="62"/>
      <c r="AH354" s="63"/>
      <c r="AI354" s="61"/>
      <c r="AJ354" s="58"/>
      <c r="AK354" s="58"/>
      <c r="AL354" s="58"/>
      <c r="AM354" s="58"/>
      <c r="AN354" s="58"/>
      <c r="AO354" s="58"/>
    </row>
    <row r="355" spans="1:41" x14ac:dyDescent="0.2">
      <c r="A355" s="49" t="s">
        <v>67</v>
      </c>
      <c r="B355" s="50">
        <v>43286</v>
      </c>
      <c r="C355" s="51">
        <v>0.56666666666666698</v>
      </c>
      <c r="D355" s="49" t="s">
        <v>158</v>
      </c>
      <c r="E355" s="49"/>
      <c r="F355" s="52">
        <v>63</v>
      </c>
      <c r="G355" s="53">
        <v>2</v>
      </c>
      <c r="H355" s="54">
        <v>3.1746031746031744E-2</v>
      </c>
      <c r="I355" s="55">
        <v>6.83E-2</v>
      </c>
      <c r="J355" s="53">
        <v>314.15899999999999</v>
      </c>
      <c r="K355" s="53">
        <v>0.75129999999999997</v>
      </c>
      <c r="L355" s="53">
        <v>11</v>
      </c>
      <c r="M355" s="56">
        <v>209.07693331558633</v>
      </c>
      <c r="N355" s="53">
        <v>1059</v>
      </c>
      <c r="O355" s="57" t="s">
        <v>309</v>
      </c>
      <c r="P355" s="57" t="s">
        <v>82</v>
      </c>
      <c r="Q355" s="53" t="s">
        <v>310</v>
      </c>
      <c r="R355" s="53" t="s">
        <v>311</v>
      </c>
      <c r="S355" s="53"/>
      <c r="T355" s="59">
        <v>1</v>
      </c>
      <c r="U355" s="59">
        <v>5</v>
      </c>
      <c r="V355" s="53">
        <v>2.8</v>
      </c>
      <c r="W355" s="53"/>
      <c r="X355" s="53"/>
      <c r="Y355" s="9">
        <f t="shared" si="10"/>
        <v>209.07693331558633</v>
      </c>
      <c r="Z355" s="60" t="s">
        <v>97</v>
      </c>
      <c r="AA355" s="58" t="s">
        <v>308</v>
      </c>
      <c r="AB355" s="58" t="s">
        <v>75</v>
      </c>
      <c r="AC355" s="61" t="s">
        <v>76</v>
      </c>
      <c r="AD355" s="53" t="s">
        <v>85</v>
      </c>
      <c r="AE355" s="56">
        <f t="shared" si="11"/>
        <v>11.494030613333329</v>
      </c>
      <c r="AF355" s="56">
        <v>11.494030613333329</v>
      </c>
      <c r="AG355" s="62"/>
      <c r="AH355" s="63"/>
      <c r="AI355" s="61"/>
      <c r="AJ355" s="58"/>
      <c r="AK355" s="58"/>
      <c r="AL355" s="58"/>
      <c r="AM355" s="58"/>
      <c r="AN355" s="58"/>
      <c r="AO355" s="58"/>
    </row>
    <row r="356" spans="1:41" x14ac:dyDescent="0.2">
      <c r="A356" s="49" t="s">
        <v>67</v>
      </c>
      <c r="B356" s="50">
        <v>43286</v>
      </c>
      <c r="C356" s="51">
        <v>0.56666666666666698</v>
      </c>
      <c r="D356" s="49" t="s">
        <v>158</v>
      </c>
      <c r="E356" s="49"/>
      <c r="F356" s="52">
        <v>63</v>
      </c>
      <c r="G356" s="53">
        <v>2</v>
      </c>
      <c r="H356" s="54">
        <v>3.1746031746031744E-2</v>
      </c>
      <c r="I356" s="55">
        <v>6.83E-2</v>
      </c>
      <c r="J356" s="53">
        <v>314.15899999999999</v>
      </c>
      <c r="K356" s="53">
        <v>0.75129999999999997</v>
      </c>
      <c r="L356" s="53">
        <v>11</v>
      </c>
      <c r="M356" s="56">
        <v>209.07693331558633</v>
      </c>
      <c r="N356" s="53">
        <v>1733</v>
      </c>
      <c r="O356" s="57" t="s">
        <v>92</v>
      </c>
      <c r="P356" s="57" t="s">
        <v>82</v>
      </c>
      <c r="Q356" s="53" t="s">
        <v>89</v>
      </c>
      <c r="R356" s="53" t="s">
        <v>93</v>
      </c>
      <c r="S356" s="53"/>
      <c r="T356" s="59">
        <v>2</v>
      </c>
      <c r="U356" s="59">
        <v>2</v>
      </c>
      <c r="V356" s="53">
        <v>7.4</v>
      </c>
      <c r="W356" s="53"/>
      <c r="X356" s="53"/>
      <c r="Y356" s="9">
        <f t="shared" si="10"/>
        <v>418.15386663117266</v>
      </c>
      <c r="Z356" s="60" t="s">
        <v>73</v>
      </c>
      <c r="AA356" s="58" t="s">
        <v>308</v>
      </c>
      <c r="AB356" s="58" t="s">
        <v>75</v>
      </c>
      <c r="AC356" s="61" t="s">
        <v>76</v>
      </c>
      <c r="AD356" s="53" t="s">
        <v>91</v>
      </c>
      <c r="AE356" s="56">
        <f t="shared" si="11"/>
        <v>112.822350875</v>
      </c>
      <c r="AF356" s="56">
        <v>112.822350875</v>
      </c>
      <c r="AG356" s="62"/>
      <c r="AH356" s="63"/>
      <c r="AI356" s="61"/>
      <c r="AJ356" s="58"/>
      <c r="AK356" s="58"/>
      <c r="AL356" s="58"/>
      <c r="AM356" s="58"/>
      <c r="AN356" s="58"/>
      <c r="AO356" s="58"/>
    </row>
    <row r="357" spans="1:41" x14ac:dyDescent="0.2">
      <c r="A357" s="49" t="s">
        <v>67</v>
      </c>
      <c r="B357" s="50">
        <v>43286</v>
      </c>
      <c r="C357" s="51">
        <v>0.56666666666666698</v>
      </c>
      <c r="D357" s="49" t="s">
        <v>158</v>
      </c>
      <c r="E357" s="49"/>
      <c r="F357" s="52">
        <v>63</v>
      </c>
      <c r="G357" s="53">
        <v>2</v>
      </c>
      <c r="H357" s="54">
        <v>3.1746031746031744E-2</v>
      </c>
      <c r="I357" s="55">
        <v>6.83E-2</v>
      </c>
      <c r="J357" s="53">
        <v>314.15899999999999</v>
      </c>
      <c r="K357" s="53">
        <v>0.75129999999999997</v>
      </c>
      <c r="L357" s="53">
        <v>11</v>
      </c>
      <c r="M357" s="56">
        <v>209.07693331558633</v>
      </c>
      <c r="N357" s="53">
        <v>1419</v>
      </c>
      <c r="O357" s="57" t="s">
        <v>94</v>
      </c>
      <c r="P357" s="57" t="s">
        <v>82</v>
      </c>
      <c r="Q357" s="53" t="s">
        <v>95</v>
      </c>
      <c r="R357" s="53" t="s">
        <v>96</v>
      </c>
      <c r="S357" s="53"/>
      <c r="T357" s="59">
        <v>378</v>
      </c>
      <c r="U357" s="59">
        <v>758</v>
      </c>
      <c r="V357" s="53">
        <v>0.8</v>
      </c>
      <c r="W357" s="53">
        <v>0.8</v>
      </c>
      <c r="X357" s="53">
        <v>0.8</v>
      </c>
      <c r="Y357" s="9">
        <f t="shared" si="10"/>
        <v>79031.080793291636</v>
      </c>
      <c r="Z357" s="60" t="s">
        <v>97</v>
      </c>
      <c r="AA357" s="58" t="s">
        <v>308</v>
      </c>
      <c r="AB357" s="58" t="s">
        <v>75</v>
      </c>
      <c r="AC357" s="61" t="s">
        <v>76</v>
      </c>
      <c r="AD357" s="53" t="s">
        <v>85</v>
      </c>
      <c r="AE357" s="56">
        <f t="shared" si="11"/>
        <v>0.17999999999999997</v>
      </c>
      <c r="AF357" s="56">
        <v>0.18</v>
      </c>
      <c r="AG357" s="56">
        <v>0.18</v>
      </c>
      <c r="AH357" s="56">
        <v>0.18</v>
      </c>
      <c r="AI357" s="56">
        <v>0.18</v>
      </c>
      <c r="AJ357" s="56">
        <v>0.18</v>
      </c>
      <c r="AK357" s="56">
        <v>0.18</v>
      </c>
      <c r="AL357" s="56">
        <v>0.18</v>
      </c>
      <c r="AM357" s="56">
        <v>0.18</v>
      </c>
      <c r="AN357" s="56">
        <v>0.18</v>
      </c>
      <c r="AO357" s="56">
        <v>0.18</v>
      </c>
    </row>
    <row r="358" spans="1:41" x14ac:dyDescent="0.2">
      <c r="A358" s="49" t="s">
        <v>67</v>
      </c>
      <c r="B358" s="50">
        <v>43286</v>
      </c>
      <c r="C358" s="51">
        <v>0.56666666666666698</v>
      </c>
      <c r="D358" s="49" t="s">
        <v>158</v>
      </c>
      <c r="E358" s="49"/>
      <c r="F358" s="52">
        <v>63</v>
      </c>
      <c r="G358" s="53">
        <v>2</v>
      </c>
      <c r="H358" s="54">
        <v>3.1746031746031744E-2</v>
      </c>
      <c r="I358" s="55">
        <v>6.83E-2</v>
      </c>
      <c r="J358" s="53">
        <v>314.15899999999999</v>
      </c>
      <c r="K358" s="53">
        <v>0.75129999999999997</v>
      </c>
      <c r="L358" s="53">
        <v>11</v>
      </c>
      <c r="M358" s="56">
        <v>209.07693331558633</v>
      </c>
      <c r="N358" s="53">
        <v>1503</v>
      </c>
      <c r="O358" s="57" t="s">
        <v>312</v>
      </c>
      <c r="P358" s="57" t="s">
        <v>82</v>
      </c>
      <c r="Q358" s="53" t="s">
        <v>313</v>
      </c>
      <c r="R358" s="53" t="s">
        <v>84</v>
      </c>
      <c r="S358" s="53"/>
      <c r="T358" s="59">
        <v>1</v>
      </c>
      <c r="U358" s="59">
        <v>10</v>
      </c>
      <c r="V358" s="53">
        <v>2.8</v>
      </c>
      <c r="W358" s="53"/>
      <c r="X358" s="53"/>
      <c r="Y358" s="9">
        <f t="shared" si="10"/>
        <v>209.07693331558633</v>
      </c>
      <c r="Z358" s="60" t="s">
        <v>134</v>
      </c>
      <c r="AA358" s="58" t="s">
        <v>308</v>
      </c>
      <c r="AB358" s="58" t="s">
        <v>75</v>
      </c>
      <c r="AC358" s="61" t="s">
        <v>76</v>
      </c>
      <c r="AD358" s="53" t="s">
        <v>104</v>
      </c>
      <c r="AE358" s="56">
        <f t="shared" si="11"/>
        <v>7.938797929999998</v>
      </c>
      <c r="AF358" s="56">
        <v>7.938797929999998</v>
      </c>
      <c r="AG358" s="62"/>
      <c r="AH358" s="63"/>
      <c r="AI358" s="61"/>
      <c r="AJ358" s="58"/>
      <c r="AK358" s="58"/>
      <c r="AL358" s="58"/>
      <c r="AM358" s="58"/>
      <c r="AN358" s="58"/>
      <c r="AO358" s="58"/>
    </row>
    <row r="359" spans="1:41" x14ac:dyDescent="0.2">
      <c r="A359" s="5" t="s">
        <v>67</v>
      </c>
      <c r="B359" s="25">
        <v>43290</v>
      </c>
      <c r="C359" s="26">
        <v>0.61805555555555602</v>
      </c>
      <c r="D359" s="5" t="s">
        <v>226</v>
      </c>
      <c r="E359" s="5">
        <v>3</v>
      </c>
      <c r="F359" s="32">
        <v>56</v>
      </c>
      <c r="G359" s="9">
        <v>1</v>
      </c>
      <c r="H359" s="6">
        <v>1.7857142857142856E-2</v>
      </c>
      <c r="I359" s="7">
        <v>6.83E-2</v>
      </c>
      <c r="J359" s="9">
        <v>314.15899999999999</v>
      </c>
      <c r="K359" s="9">
        <v>0.75129999999999997</v>
      </c>
      <c r="L359" s="9">
        <v>11</v>
      </c>
      <c r="M359" s="14">
        <v>418.15386663117266</v>
      </c>
      <c r="N359" s="9">
        <v>190</v>
      </c>
      <c r="O359" s="12" t="s">
        <v>102</v>
      </c>
      <c r="P359" s="8" t="s">
        <v>70</v>
      </c>
      <c r="Q359" s="9" t="s">
        <v>103</v>
      </c>
      <c r="R359" s="9" t="s">
        <v>84</v>
      </c>
      <c r="S359" s="9"/>
      <c r="T359" s="18">
        <v>1</v>
      </c>
      <c r="U359" s="18">
        <v>1</v>
      </c>
      <c r="V359" s="9">
        <v>7.4</v>
      </c>
      <c r="Y359" s="9">
        <f t="shared" si="10"/>
        <v>418.15386663117266</v>
      </c>
      <c r="Z359" s="19" t="s">
        <v>73</v>
      </c>
      <c r="AA359" s="8" t="s">
        <v>274</v>
      </c>
      <c r="AB359" s="8" t="s">
        <v>75</v>
      </c>
      <c r="AC359" s="11" t="s">
        <v>76</v>
      </c>
      <c r="AD359" s="9" t="s">
        <v>104</v>
      </c>
      <c r="AE359" s="56">
        <f t="shared" si="11"/>
        <v>240.84685575999998</v>
      </c>
      <c r="AF359" s="14">
        <v>240.84685575999998</v>
      </c>
      <c r="AG359" s="13"/>
    </row>
    <row r="360" spans="1:41" x14ac:dyDescent="0.2">
      <c r="A360" s="5" t="s">
        <v>67</v>
      </c>
      <c r="B360" s="25">
        <v>43290</v>
      </c>
      <c r="C360" s="26">
        <v>0.61805555555555602</v>
      </c>
      <c r="D360" s="5" t="s">
        <v>226</v>
      </c>
      <c r="E360" s="5">
        <v>3</v>
      </c>
      <c r="F360" s="32">
        <v>56</v>
      </c>
      <c r="G360" s="9">
        <v>1</v>
      </c>
      <c r="H360" s="6">
        <v>1.7857142857142856E-2</v>
      </c>
      <c r="I360" s="7">
        <v>6.83E-2</v>
      </c>
      <c r="J360" s="9">
        <v>314.15899999999999</v>
      </c>
      <c r="K360" s="9">
        <v>0.75129999999999997</v>
      </c>
      <c r="L360" s="9">
        <v>11</v>
      </c>
      <c r="M360" s="14">
        <v>418.15386663117266</v>
      </c>
      <c r="N360" s="9">
        <v>749</v>
      </c>
      <c r="O360" s="12" t="s">
        <v>190</v>
      </c>
      <c r="P360" s="8" t="s">
        <v>70</v>
      </c>
      <c r="Q360" s="9" t="s">
        <v>191</v>
      </c>
      <c r="R360" s="9" t="s">
        <v>84</v>
      </c>
      <c r="S360" s="9"/>
      <c r="T360" s="18">
        <v>1</v>
      </c>
      <c r="U360" s="18">
        <v>1</v>
      </c>
      <c r="V360" s="9">
        <v>13</v>
      </c>
      <c r="Y360" s="9">
        <f t="shared" si="10"/>
        <v>418.15386663117266</v>
      </c>
      <c r="Z360" s="19" t="s">
        <v>73</v>
      </c>
      <c r="AA360" s="8" t="s">
        <v>274</v>
      </c>
      <c r="AB360" s="8" t="s">
        <v>75</v>
      </c>
      <c r="AC360" s="11" t="s">
        <v>76</v>
      </c>
      <c r="AD360" s="9" t="s">
        <v>193</v>
      </c>
      <c r="AE360" s="56">
        <f t="shared" si="11"/>
        <v>50.959999999999994</v>
      </c>
      <c r="AF360" s="14">
        <v>50.959999999999994</v>
      </c>
      <c r="AG360" s="13"/>
    </row>
    <row r="361" spans="1:41" x14ac:dyDescent="0.2">
      <c r="A361" s="5" t="s">
        <v>67</v>
      </c>
      <c r="B361" s="25">
        <v>43290</v>
      </c>
      <c r="C361" s="26">
        <v>0.61805555555555602</v>
      </c>
      <c r="D361" s="5" t="s">
        <v>226</v>
      </c>
      <c r="E361" s="5">
        <v>3</v>
      </c>
      <c r="F361" s="32">
        <v>56</v>
      </c>
      <c r="G361" s="9">
        <v>1</v>
      </c>
      <c r="H361" s="6">
        <v>1.7857142857142856E-2</v>
      </c>
      <c r="I361" s="7">
        <v>6.83E-2</v>
      </c>
      <c r="J361" s="9">
        <v>314.15899999999999</v>
      </c>
      <c r="K361" s="9">
        <v>0.75129999999999997</v>
      </c>
      <c r="L361" s="9">
        <v>11</v>
      </c>
      <c r="M361" s="14">
        <v>418.15386663117266</v>
      </c>
      <c r="N361" s="9">
        <v>858</v>
      </c>
      <c r="O361" s="37" t="s">
        <v>275</v>
      </c>
      <c r="P361" s="8" t="s">
        <v>70</v>
      </c>
      <c r="Q361" s="9" t="s">
        <v>276</v>
      </c>
      <c r="R361" s="9" t="s">
        <v>84</v>
      </c>
      <c r="S361" s="9"/>
      <c r="T361" s="18">
        <v>1</v>
      </c>
      <c r="U361" s="18">
        <v>1</v>
      </c>
      <c r="V361" s="9">
        <v>5.6</v>
      </c>
      <c r="Y361" s="9">
        <f t="shared" si="10"/>
        <v>418.15386663117266</v>
      </c>
      <c r="Z361" s="19" t="s">
        <v>73</v>
      </c>
      <c r="AA361" s="8" t="s">
        <v>274</v>
      </c>
      <c r="AB361" s="8" t="s">
        <v>75</v>
      </c>
      <c r="AC361" s="11" t="s">
        <v>76</v>
      </c>
      <c r="AD361" s="9" t="s">
        <v>77</v>
      </c>
      <c r="AE361" s="56">
        <f t="shared" si="11"/>
        <v>34.482091839999988</v>
      </c>
      <c r="AF361" s="14">
        <v>34.482091839999988</v>
      </c>
      <c r="AG361" s="13"/>
    </row>
    <row r="362" spans="1:41" x14ac:dyDescent="0.2">
      <c r="A362" s="5" t="s">
        <v>67</v>
      </c>
      <c r="B362" s="25">
        <v>43290</v>
      </c>
      <c r="C362" s="26">
        <v>0.61805555555555602</v>
      </c>
      <c r="D362" s="5" t="s">
        <v>226</v>
      </c>
      <c r="E362" s="5">
        <v>3</v>
      </c>
      <c r="F362" s="32">
        <v>56</v>
      </c>
      <c r="G362" s="9">
        <v>1</v>
      </c>
      <c r="H362" s="6">
        <v>1.7857142857142856E-2</v>
      </c>
      <c r="I362" s="7">
        <v>6.83E-2</v>
      </c>
      <c r="J362" s="9">
        <v>314.15899999999999</v>
      </c>
      <c r="K362" s="9">
        <v>0.75129999999999997</v>
      </c>
      <c r="L362" s="9">
        <v>11</v>
      </c>
      <c r="M362" s="14">
        <v>418.15386663117266</v>
      </c>
      <c r="N362" s="9">
        <v>1037</v>
      </c>
      <c r="O362" s="12" t="s">
        <v>86</v>
      </c>
      <c r="P362" s="12" t="s">
        <v>82</v>
      </c>
      <c r="Q362" s="9" t="s">
        <v>87</v>
      </c>
      <c r="R362" s="9" t="s">
        <v>84</v>
      </c>
      <c r="S362" s="9"/>
      <c r="T362" s="18">
        <v>7</v>
      </c>
      <c r="U362" s="18">
        <v>7</v>
      </c>
      <c r="V362" s="9">
        <v>2.8</v>
      </c>
      <c r="Y362" s="9">
        <f t="shared" si="10"/>
        <v>2927.0770664182082</v>
      </c>
      <c r="Z362" s="19" t="s">
        <v>73</v>
      </c>
      <c r="AA362" s="8" t="s">
        <v>274</v>
      </c>
      <c r="AB362" s="8" t="s">
        <v>75</v>
      </c>
      <c r="AC362" s="11" t="s">
        <v>76</v>
      </c>
      <c r="AD362" s="9" t="s">
        <v>85</v>
      </c>
      <c r="AE362" s="56">
        <f t="shared" si="11"/>
        <v>9.2027643066666673</v>
      </c>
      <c r="AF362" s="14">
        <v>9.2027643066666673</v>
      </c>
      <c r="AG362" s="13"/>
    </row>
    <row r="363" spans="1:41" x14ac:dyDescent="0.2">
      <c r="A363" s="5" t="s">
        <v>67</v>
      </c>
      <c r="B363" s="25">
        <v>43290</v>
      </c>
      <c r="C363" s="26">
        <v>0.61805555555555602</v>
      </c>
      <c r="D363" s="5" t="s">
        <v>226</v>
      </c>
      <c r="E363" s="5">
        <v>3</v>
      </c>
      <c r="F363" s="32">
        <v>56</v>
      </c>
      <c r="G363" s="9">
        <v>1</v>
      </c>
      <c r="H363" s="6">
        <v>1.7857142857142856E-2</v>
      </c>
      <c r="I363" s="7">
        <v>6.83E-2</v>
      </c>
      <c r="J363" s="9">
        <v>314.15899999999999</v>
      </c>
      <c r="K363" s="9">
        <v>0.75129999999999997</v>
      </c>
      <c r="L363" s="9">
        <v>11</v>
      </c>
      <c r="M363" s="14">
        <v>418.15386663117266</v>
      </c>
      <c r="N363" s="9">
        <v>1364</v>
      </c>
      <c r="O363" s="12" t="s">
        <v>88</v>
      </c>
      <c r="P363" s="12" t="s">
        <v>82</v>
      </c>
      <c r="Q363" s="9" t="s">
        <v>89</v>
      </c>
      <c r="R363" s="9" t="s">
        <v>90</v>
      </c>
      <c r="S363" s="9"/>
      <c r="T363" s="18">
        <v>1</v>
      </c>
      <c r="U363" s="18">
        <v>1</v>
      </c>
      <c r="V363" s="9">
        <v>11.1</v>
      </c>
      <c r="Y363" s="9">
        <f t="shared" si="10"/>
        <v>418.15386663117266</v>
      </c>
      <c r="Z363" s="19" t="s">
        <v>73</v>
      </c>
      <c r="AA363" s="8" t="s">
        <v>274</v>
      </c>
      <c r="AB363" s="8" t="s">
        <v>75</v>
      </c>
      <c r="AC363" s="11" t="s">
        <v>76</v>
      </c>
      <c r="AD363" s="9" t="s">
        <v>91</v>
      </c>
      <c r="AE363" s="56">
        <f t="shared" si="11"/>
        <v>538.67979792749986</v>
      </c>
      <c r="AF363" s="14">
        <v>538.67979792749986</v>
      </c>
      <c r="AG363" s="13"/>
    </row>
    <row r="364" spans="1:41" x14ac:dyDescent="0.2">
      <c r="A364" s="5" t="s">
        <v>67</v>
      </c>
      <c r="B364" s="25">
        <v>43290</v>
      </c>
      <c r="C364" s="26">
        <v>0.61805555555555602</v>
      </c>
      <c r="D364" s="5" t="s">
        <v>226</v>
      </c>
      <c r="E364" s="5">
        <v>3</v>
      </c>
      <c r="F364" s="32">
        <v>56</v>
      </c>
      <c r="G364" s="9">
        <v>1</v>
      </c>
      <c r="H364" s="6">
        <v>1.7857142857142856E-2</v>
      </c>
      <c r="I364" s="7">
        <v>6.83E-2</v>
      </c>
      <c r="J364" s="9">
        <v>314.15899999999999</v>
      </c>
      <c r="K364" s="9">
        <v>0.75129999999999997</v>
      </c>
      <c r="L364" s="9">
        <v>11</v>
      </c>
      <c r="M364" s="14">
        <v>418.15386663117266</v>
      </c>
      <c r="N364" s="9">
        <v>1419</v>
      </c>
      <c r="O364" s="12" t="s">
        <v>94</v>
      </c>
      <c r="P364" s="12" t="s">
        <v>82</v>
      </c>
      <c r="Q364" s="9" t="s">
        <v>95</v>
      </c>
      <c r="R364" s="9" t="s">
        <v>96</v>
      </c>
      <c r="S364" s="9"/>
      <c r="T364" s="18">
        <v>413</v>
      </c>
      <c r="U364" s="18">
        <v>827</v>
      </c>
      <c r="V364" s="9">
        <v>0.8</v>
      </c>
      <c r="W364" s="9">
        <v>0.8</v>
      </c>
      <c r="X364" s="9">
        <v>0.8</v>
      </c>
      <c r="Y364" s="9">
        <f t="shared" si="10"/>
        <v>172697.54691867431</v>
      </c>
      <c r="Z364" s="19" t="s">
        <v>97</v>
      </c>
      <c r="AA364" s="8" t="s">
        <v>274</v>
      </c>
      <c r="AB364" s="8" t="s">
        <v>75</v>
      </c>
      <c r="AC364" s="11" t="s">
        <v>76</v>
      </c>
      <c r="AD364" s="9" t="s">
        <v>85</v>
      </c>
      <c r="AE364" s="56">
        <f t="shared" si="11"/>
        <v>0.17999999999999997</v>
      </c>
      <c r="AF364" s="14">
        <v>0.18</v>
      </c>
      <c r="AG364" s="14">
        <v>0.18</v>
      </c>
      <c r="AH364" s="14">
        <v>0.18</v>
      </c>
      <c r="AI364" s="14">
        <v>0.18</v>
      </c>
      <c r="AJ364" s="14">
        <v>0.18</v>
      </c>
      <c r="AK364" s="14">
        <v>0.18</v>
      </c>
      <c r="AL364" s="14">
        <v>0.18</v>
      </c>
      <c r="AM364" s="14">
        <v>0.18</v>
      </c>
      <c r="AN364" s="14">
        <v>0.18</v>
      </c>
      <c r="AO364" s="14">
        <v>0.18</v>
      </c>
    </row>
    <row r="365" spans="1:41" x14ac:dyDescent="0.2">
      <c r="A365" s="5" t="s">
        <v>67</v>
      </c>
      <c r="B365" s="25">
        <v>43290</v>
      </c>
      <c r="C365" s="26">
        <v>0.61805555555555602</v>
      </c>
      <c r="D365" s="5" t="s">
        <v>226</v>
      </c>
      <c r="E365" s="5">
        <v>3</v>
      </c>
      <c r="F365" s="32">
        <v>56</v>
      </c>
      <c r="G365" s="9">
        <v>1</v>
      </c>
      <c r="H365" s="6">
        <v>1.7857142857142856E-2</v>
      </c>
      <c r="I365" s="7">
        <v>6.83E-2</v>
      </c>
      <c r="J365" s="9">
        <v>314.15899999999999</v>
      </c>
      <c r="K365" s="9">
        <v>0.75129999999999997</v>
      </c>
      <c r="L365" s="9">
        <v>11</v>
      </c>
      <c r="M365" s="14">
        <v>418.15386663117266</v>
      </c>
      <c r="N365" s="9">
        <v>1421</v>
      </c>
      <c r="O365" s="12" t="s">
        <v>130</v>
      </c>
      <c r="P365" s="12" t="s">
        <v>82</v>
      </c>
      <c r="Q365" s="9" t="s">
        <v>95</v>
      </c>
      <c r="R365" s="9" t="s">
        <v>131</v>
      </c>
      <c r="S365" s="9"/>
      <c r="T365" s="18">
        <v>1</v>
      </c>
      <c r="U365" s="18">
        <v>1</v>
      </c>
      <c r="V365" s="9">
        <v>5.6</v>
      </c>
      <c r="Y365" s="9">
        <f t="shared" si="10"/>
        <v>418.15386663117266</v>
      </c>
      <c r="Z365" s="19" t="s">
        <v>73</v>
      </c>
      <c r="AA365" s="8" t="s">
        <v>274</v>
      </c>
      <c r="AB365" s="8" t="s">
        <v>75</v>
      </c>
      <c r="AC365" s="11" t="s">
        <v>76</v>
      </c>
      <c r="AD365" s="9" t="s">
        <v>85</v>
      </c>
      <c r="AE365" s="56">
        <f t="shared" si="11"/>
        <v>91.952244906666635</v>
      </c>
      <c r="AF365" s="14">
        <v>91.952244906666635</v>
      </c>
      <c r="AG365" s="13"/>
    </row>
    <row r="366" spans="1:41" x14ac:dyDescent="0.2">
      <c r="A366" s="5" t="s">
        <v>67</v>
      </c>
      <c r="B366" s="25">
        <v>43290</v>
      </c>
      <c r="C366" s="26">
        <v>0.61805555555555602</v>
      </c>
      <c r="D366" s="5" t="s">
        <v>226</v>
      </c>
      <c r="E366" s="5">
        <v>3</v>
      </c>
      <c r="F366" s="32">
        <v>56</v>
      </c>
      <c r="G366" s="9">
        <v>1</v>
      </c>
      <c r="H366" s="6">
        <v>1.7857142857142856E-2</v>
      </c>
      <c r="I366" s="7">
        <v>6.83E-2</v>
      </c>
      <c r="J366" s="9">
        <v>314.15899999999999</v>
      </c>
      <c r="K366" s="9">
        <v>0.75129999999999997</v>
      </c>
      <c r="L366" s="9">
        <v>11</v>
      </c>
      <c r="M366" s="14">
        <v>418.15386663117266</v>
      </c>
      <c r="N366" s="9">
        <v>1902</v>
      </c>
      <c r="O366" s="12" t="s">
        <v>272</v>
      </c>
      <c r="P366" s="12" t="s">
        <v>82</v>
      </c>
      <c r="Q366" s="9" t="s">
        <v>133</v>
      </c>
      <c r="R366" s="9" t="s">
        <v>273</v>
      </c>
      <c r="S366" s="9"/>
      <c r="T366" s="18">
        <v>1</v>
      </c>
      <c r="U366" s="18">
        <v>8</v>
      </c>
      <c r="V366" s="9">
        <v>5.6</v>
      </c>
      <c r="Y366" s="9">
        <f t="shared" si="10"/>
        <v>418.15386663117266</v>
      </c>
      <c r="Z366" s="19" t="s">
        <v>134</v>
      </c>
      <c r="AA366" s="8" t="s">
        <v>274</v>
      </c>
      <c r="AB366" s="8" t="s">
        <v>75</v>
      </c>
      <c r="AC366" s="11" t="s">
        <v>76</v>
      </c>
      <c r="AD366" s="9" t="s">
        <v>104</v>
      </c>
      <c r="AE366" s="56">
        <f t="shared" si="11"/>
        <v>60.211713939999996</v>
      </c>
      <c r="AF366" s="14">
        <v>60.211713939999996</v>
      </c>
      <c r="AG366" s="13"/>
    </row>
    <row r="367" spans="1:41" x14ac:dyDescent="0.2">
      <c r="A367" s="5" t="s">
        <v>67</v>
      </c>
      <c r="B367" s="25">
        <v>43290</v>
      </c>
      <c r="C367" s="26">
        <v>0.64583333333333304</v>
      </c>
      <c r="D367" s="5" t="s">
        <v>222</v>
      </c>
      <c r="E367" s="5">
        <v>3</v>
      </c>
      <c r="F367" s="32">
        <v>55.5</v>
      </c>
      <c r="G367" s="9">
        <v>1</v>
      </c>
      <c r="H367" s="6">
        <v>1.8018018018018018E-2</v>
      </c>
      <c r="I367" s="7">
        <v>6.83E-2</v>
      </c>
      <c r="J367" s="9">
        <v>314.15899999999999</v>
      </c>
      <c r="K367" s="9">
        <v>0.8196</v>
      </c>
      <c r="L367" s="9">
        <v>12</v>
      </c>
      <c r="M367" s="14">
        <v>383.30771107857493</v>
      </c>
      <c r="N367" s="9">
        <v>145</v>
      </c>
      <c r="O367" s="12" t="s">
        <v>69</v>
      </c>
      <c r="P367" s="8" t="s">
        <v>70</v>
      </c>
      <c r="Q367" s="9" t="s">
        <v>71</v>
      </c>
      <c r="R367" s="9" t="s">
        <v>72</v>
      </c>
      <c r="S367" s="9"/>
      <c r="T367" s="18">
        <v>1</v>
      </c>
      <c r="U367" s="18">
        <v>1</v>
      </c>
      <c r="V367" s="9">
        <v>14.8</v>
      </c>
      <c r="Y367" s="9">
        <f t="shared" si="10"/>
        <v>383.30771107857493</v>
      </c>
      <c r="Z367" s="19" t="s">
        <v>73</v>
      </c>
      <c r="AA367" s="8" t="s">
        <v>260</v>
      </c>
      <c r="AB367" s="8" t="s">
        <v>75</v>
      </c>
      <c r="AC367" s="11" t="s">
        <v>221</v>
      </c>
      <c r="AD367" s="9" t="s">
        <v>77</v>
      </c>
      <c r="AE367" s="56">
        <f t="shared" si="11"/>
        <v>302.68591332</v>
      </c>
      <c r="AF367" s="14">
        <v>302.68591332</v>
      </c>
      <c r="AG367" s="13"/>
    </row>
    <row r="368" spans="1:41" x14ac:dyDescent="0.2">
      <c r="A368" s="5" t="s">
        <v>67</v>
      </c>
      <c r="B368" s="25">
        <v>43290</v>
      </c>
      <c r="C368" s="26">
        <v>0.64583333333333304</v>
      </c>
      <c r="D368" s="5" t="s">
        <v>222</v>
      </c>
      <c r="E368" s="5">
        <v>3</v>
      </c>
      <c r="F368" s="32">
        <v>55.5</v>
      </c>
      <c r="G368" s="9">
        <v>1</v>
      </c>
      <c r="H368" s="6">
        <v>1.8018018018018018E-2</v>
      </c>
      <c r="I368" s="7">
        <v>6.83E-2</v>
      </c>
      <c r="J368" s="9">
        <v>314.15899999999999</v>
      </c>
      <c r="K368" s="9">
        <v>0.8196</v>
      </c>
      <c r="L368" s="9">
        <v>12</v>
      </c>
      <c r="M368" s="14">
        <v>383.30771107857493</v>
      </c>
      <c r="N368" s="9">
        <v>190</v>
      </c>
      <c r="O368" s="12" t="s">
        <v>102</v>
      </c>
      <c r="P368" s="8" t="s">
        <v>70</v>
      </c>
      <c r="Q368" s="9" t="s">
        <v>103</v>
      </c>
      <c r="R368" s="9" t="s">
        <v>84</v>
      </c>
      <c r="S368" s="9"/>
      <c r="T368" s="18">
        <v>2</v>
      </c>
      <c r="U368" s="18">
        <v>2</v>
      </c>
      <c r="V368" s="9">
        <v>7.4</v>
      </c>
      <c r="Y368" s="9">
        <f t="shared" si="10"/>
        <v>766.61542215714985</v>
      </c>
      <c r="Z368" s="19" t="s">
        <v>73</v>
      </c>
      <c r="AA368" s="8" t="s">
        <v>260</v>
      </c>
      <c r="AB368" s="8" t="s">
        <v>75</v>
      </c>
      <c r="AC368" s="11" t="s">
        <v>221</v>
      </c>
      <c r="AD368" s="9" t="s">
        <v>104</v>
      </c>
      <c r="AE368" s="56">
        <f t="shared" si="11"/>
        <v>152.64200412499997</v>
      </c>
      <c r="AF368" s="14">
        <v>152.64200412499997</v>
      </c>
      <c r="AG368" s="13"/>
    </row>
    <row r="369" spans="1:41" x14ac:dyDescent="0.2">
      <c r="A369" s="5" t="s">
        <v>67</v>
      </c>
      <c r="B369" s="25">
        <v>43290</v>
      </c>
      <c r="C369" s="26">
        <v>0.64583333333333304</v>
      </c>
      <c r="D369" s="5" t="s">
        <v>222</v>
      </c>
      <c r="E369" s="5">
        <v>3</v>
      </c>
      <c r="F369" s="32">
        <v>55.5</v>
      </c>
      <c r="G369" s="9">
        <v>1</v>
      </c>
      <c r="H369" s="6">
        <v>1.8018018018018018E-2</v>
      </c>
      <c r="I369" s="7">
        <v>6.83E-2</v>
      </c>
      <c r="J369" s="9">
        <v>314.15899999999999</v>
      </c>
      <c r="K369" s="9">
        <v>0.8196</v>
      </c>
      <c r="L369" s="9">
        <v>12</v>
      </c>
      <c r="M369" s="14">
        <v>383.30771107857493</v>
      </c>
      <c r="N369" s="9">
        <v>1037</v>
      </c>
      <c r="O369" s="12" t="s">
        <v>86</v>
      </c>
      <c r="P369" s="12" t="s">
        <v>82</v>
      </c>
      <c r="Q369" s="9" t="s">
        <v>87</v>
      </c>
      <c r="R369" s="9" t="s">
        <v>84</v>
      </c>
      <c r="S369" s="9"/>
      <c r="T369" s="18">
        <v>12</v>
      </c>
      <c r="U369" s="18">
        <v>12</v>
      </c>
      <c r="V369" s="9">
        <v>2.8</v>
      </c>
      <c r="Y369" s="9">
        <f t="shared" si="10"/>
        <v>4599.6925329428987</v>
      </c>
      <c r="Z369" s="19" t="s">
        <v>73</v>
      </c>
      <c r="AA369" s="8" t="s">
        <v>260</v>
      </c>
      <c r="AB369" s="8" t="s">
        <v>75</v>
      </c>
      <c r="AC369" s="11" t="s">
        <v>221</v>
      </c>
      <c r="AD369" s="9" t="s">
        <v>85</v>
      </c>
      <c r="AE369" s="56">
        <f t="shared" si="11"/>
        <v>9.2027643066666673</v>
      </c>
      <c r="AF369" s="14">
        <v>9.2027643066666673</v>
      </c>
      <c r="AG369" s="13"/>
    </row>
    <row r="370" spans="1:41" x14ac:dyDescent="0.2">
      <c r="A370" s="5" t="s">
        <v>67</v>
      </c>
      <c r="B370" s="25">
        <v>43290</v>
      </c>
      <c r="C370" s="26">
        <v>0.64583333333333304</v>
      </c>
      <c r="D370" s="5" t="s">
        <v>222</v>
      </c>
      <c r="E370" s="5">
        <v>3</v>
      </c>
      <c r="F370" s="32">
        <v>55.5</v>
      </c>
      <c r="G370" s="9">
        <v>1</v>
      </c>
      <c r="H370" s="6">
        <v>1.8018018018018018E-2</v>
      </c>
      <c r="I370" s="7">
        <v>6.83E-2</v>
      </c>
      <c r="J370" s="9">
        <v>314.15899999999999</v>
      </c>
      <c r="K370" s="9">
        <v>0.8196</v>
      </c>
      <c r="L370" s="9">
        <v>12</v>
      </c>
      <c r="M370" s="14">
        <v>383.30771107857493</v>
      </c>
      <c r="N370" s="9">
        <v>1352</v>
      </c>
      <c r="O370" s="12" t="s">
        <v>118</v>
      </c>
      <c r="P370" s="12" t="s">
        <v>82</v>
      </c>
      <c r="Q370" s="9" t="s">
        <v>119</v>
      </c>
      <c r="R370" s="9" t="s">
        <v>84</v>
      </c>
      <c r="S370" s="9"/>
      <c r="T370" s="18">
        <v>1</v>
      </c>
      <c r="U370" s="18">
        <v>1</v>
      </c>
      <c r="V370" s="9">
        <v>14.8</v>
      </c>
      <c r="Y370" s="9">
        <f t="shared" si="10"/>
        <v>383.30771107857493</v>
      </c>
      <c r="Z370" s="19" t="s">
        <v>73</v>
      </c>
      <c r="AA370" s="8" t="s">
        <v>260</v>
      </c>
      <c r="AB370" s="8" t="s">
        <v>75</v>
      </c>
      <c r="AC370" s="11" t="s">
        <v>221</v>
      </c>
      <c r="AD370" s="9" t="s">
        <v>120</v>
      </c>
      <c r="AE370" s="56">
        <f t="shared" si="11"/>
        <v>670.23309377999999</v>
      </c>
      <c r="AF370" s="14">
        <v>670.23309377999999</v>
      </c>
      <c r="AG370" s="13"/>
    </row>
    <row r="371" spans="1:41" x14ac:dyDescent="0.2">
      <c r="A371" s="5" t="s">
        <v>67</v>
      </c>
      <c r="B371" s="25">
        <v>43290</v>
      </c>
      <c r="C371" s="26">
        <v>0.64583333333333304</v>
      </c>
      <c r="D371" s="5" t="s">
        <v>222</v>
      </c>
      <c r="E371" s="5">
        <v>3</v>
      </c>
      <c r="F371" s="32">
        <v>55.5</v>
      </c>
      <c r="G371" s="9">
        <v>1</v>
      </c>
      <c r="H371" s="6">
        <v>1.8018018018018018E-2</v>
      </c>
      <c r="I371" s="7">
        <v>6.83E-2</v>
      </c>
      <c r="J371" s="9">
        <v>314.15899999999999</v>
      </c>
      <c r="K371" s="9">
        <v>0.8196</v>
      </c>
      <c r="L371" s="9">
        <v>12</v>
      </c>
      <c r="M371" s="14">
        <v>383.30771107857493</v>
      </c>
      <c r="N371" s="9">
        <v>1364</v>
      </c>
      <c r="O371" s="12" t="s">
        <v>88</v>
      </c>
      <c r="P371" s="12" t="s">
        <v>82</v>
      </c>
      <c r="Q371" s="9" t="s">
        <v>89</v>
      </c>
      <c r="R371" s="9" t="s">
        <v>90</v>
      </c>
      <c r="S371" s="9"/>
      <c r="T371" s="18">
        <v>2</v>
      </c>
      <c r="U371" s="18">
        <v>2</v>
      </c>
      <c r="V371" s="9">
        <v>10.199999999999999</v>
      </c>
      <c r="Y371" s="9">
        <f t="shared" si="10"/>
        <v>766.61542215714985</v>
      </c>
      <c r="Z371" s="19" t="s">
        <v>73</v>
      </c>
      <c r="AA371" s="8" t="s">
        <v>260</v>
      </c>
      <c r="AB371" s="8" t="s">
        <v>75</v>
      </c>
      <c r="AC371" s="11" t="s">
        <v>221</v>
      </c>
      <c r="AD371" s="9" t="s">
        <v>91</v>
      </c>
      <c r="AE371" s="56">
        <f t="shared" si="11"/>
        <v>387.20515628666669</v>
      </c>
      <c r="AF371" s="14">
        <v>387.20515628666669</v>
      </c>
      <c r="AG371" s="13"/>
    </row>
    <row r="372" spans="1:41" x14ac:dyDescent="0.2">
      <c r="A372" s="5" t="s">
        <v>67</v>
      </c>
      <c r="B372" s="25">
        <v>43290</v>
      </c>
      <c r="C372" s="26">
        <v>0.64583333333333304</v>
      </c>
      <c r="D372" s="5" t="s">
        <v>222</v>
      </c>
      <c r="E372" s="5">
        <v>3</v>
      </c>
      <c r="F372" s="32">
        <v>55.5</v>
      </c>
      <c r="G372" s="9">
        <v>1</v>
      </c>
      <c r="H372" s="6">
        <v>1.8018018018018018E-2</v>
      </c>
      <c r="I372" s="7">
        <v>6.83E-2</v>
      </c>
      <c r="J372" s="9">
        <v>314.15899999999999</v>
      </c>
      <c r="K372" s="9">
        <v>0.8196</v>
      </c>
      <c r="L372" s="9">
        <v>12</v>
      </c>
      <c r="M372" s="14">
        <v>383.30771107857493</v>
      </c>
      <c r="N372" s="9">
        <v>1419</v>
      </c>
      <c r="O372" s="12" t="s">
        <v>94</v>
      </c>
      <c r="P372" s="12" t="s">
        <v>82</v>
      </c>
      <c r="Q372" s="9" t="s">
        <v>95</v>
      </c>
      <c r="R372" s="9" t="s">
        <v>96</v>
      </c>
      <c r="S372" s="9"/>
      <c r="T372" s="18">
        <v>401</v>
      </c>
      <c r="U372" s="18">
        <v>807</v>
      </c>
      <c r="V372" s="9">
        <v>0.8</v>
      </c>
      <c r="W372" s="9">
        <v>0.8</v>
      </c>
      <c r="X372" s="9">
        <v>0.8</v>
      </c>
      <c r="Y372" s="9">
        <f t="shared" si="10"/>
        <v>153706.39214250853</v>
      </c>
      <c r="Z372" s="19" t="s">
        <v>97</v>
      </c>
      <c r="AA372" s="8" t="s">
        <v>260</v>
      </c>
      <c r="AB372" s="8" t="s">
        <v>75</v>
      </c>
      <c r="AC372" s="11" t="s">
        <v>221</v>
      </c>
      <c r="AD372" s="9" t="s">
        <v>85</v>
      </c>
      <c r="AE372" s="56">
        <f t="shared" si="11"/>
        <v>0.17999999999999997</v>
      </c>
      <c r="AF372" s="14">
        <v>0.18</v>
      </c>
      <c r="AG372" s="14">
        <v>0.18</v>
      </c>
      <c r="AH372" s="14">
        <v>0.18</v>
      </c>
      <c r="AI372" s="14">
        <v>0.18</v>
      </c>
      <c r="AJ372" s="14">
        <v>0.18</v>
      </c>
      <c r="AK372" s="14">
        <v>0.18</v>
      </c>
      <c r="AL372" s="14">
        <v>0.18</v>
      </c>
      <c r="AM372" s="14">
        <v>0.18</v>
      </c>
      <c r="AN372" s="14">
        <v>0.18</v>
      </c>
      <c r="AO372" s="14">
        <v>0.18</v>
      </c>
    </row>
    <row r="373" spans="1:41" x14ac:dyDescent="0.2">
      <c r="A373" s="5" t="s">
        <v>67</v>
      </c>
      <c r="B373" s="25">
        <v>43290</v>
      </c>
      <c r="C373" s="26">
        <v>0.64583333333333304</v>
      </c>
      <c r="D373" s="5" t="s">
        <v>222</v>
      </c>
      <c r="E373" s="5">
        <v>3</v>
      </c>
      <c r="F373" s="32">
        <v>55.5</v>
      </c>
      <c r="G373" s="9">
        <v>1</v>
      </c>
      <c r="H373" s="6">
        <v>1.8018018018018018E-2</v>
      </c>
      <c r="I373" s="7">
        <v>6.83E-2</v>
      </c>
      <c r="J373" s="9">
        <v>314.15899999999999</v>
      </c>
      <c r="K373" s="9">
        <v>0.8196</v>
      </c>
      <c r="L373" s="9">
        <v>12</v>
      </c>
      <c r="M373" s="14">
        <v>383.30771107857493</v>
      </c>
      <c r="N373" s="9">
        <v>1421</v>
      </c>
      <c r="O373" s="12" t="s">
        <v>130</v>
      </c>
      <c r="P373" s="12" t="s">
        <v>82</v>
      </c>
      <c r="Q373" s="9" t="s">
        <v>95</v>
      </c>
      <c r="R373" s="9" t="s">
        <v>131</v>
      </c>
      <c r="S373" s="9"/>
      <c r="T373" s="18">
        <v>1</v>
      </c>
      <c r="U373" s="18">
        <v>1</v>
      </c>
      <c r="V373" s="9">
        <v>5.6</v>
      </c>
      <c r="Y373" s="9">
        <f t="shared" si="10"/>
        <v>383.30771107857493</v>
      </c>
      <c r="Z373" s="19" t="s">
        <v>73</v>
      </c>
      <c r="AA373" s="8" t="s">
        <v>260</v>
      </c>
      <c r="AB373" s="8" t="s">
        <v>75</v>
      </c>
      <c r="AC373" s="11" t="s">
        <v>221</v>
      </c>
      <c r="AD373" s="9" t="s">
        <v>85</v>
      </c>
      <c r="AE373" s="56">
        <f t="shared" si="11"/>
        <v>91.952244906666635</v>
      </c>
      <c r="AF373" s="14">
        <v>91.952244906666635</v>
      </c>
      <c r="AG373" s="13"/>
    </row>
    <row r="374" spans="1:41" x14ac:dyDescent="0.2">
      <c r="A374" s="5" t="s">
        <v>67</v>
      </c>
      <c r="B374" s="25">
        <v>43290</v>
      </c>
      <c r="C374" s="26">
        <v>0.64583333333333304</v>
      </c>
      <c r="D374" s="5" t="s">
        <v>222</v>
      </c>
      <c r="E374" s="5">
        <v>3</v>
      </c>
      <c r="F374" s="32">
        <v>55.5</v>
      </c>
      <c r="G374" s="9">
        <v>1</v>
      </c>
      <c r="H374" s="6">
        <v>1.8018018018018018E-2</v>
      </c>
      <c r="I374" s="7">
        <v>6.83E-2</v>
      </c>
      <c r="J374" s="9">
        <v>314.15899999999999</v>
      </c>
      <c r="K374" s="9">
        <v>0.8196</v>
      </c>
      <c r="L374" s="9">
        <v>12</v>
      </c>
      <c r="M374" s="14">
        <v>383.30771107857493</v>
      </c>
      <c r="N374" s="9">
        <v>1423</v>
      </c>
      <c r="O374" s="12" t="s">
        <v>163</v>
      </c>
      <c r="P374" s="12" t="s">
        <v>82</v>
      </c>
      <c r="Q374" s="9" t="s">
        <v>95</v>
      </c>
      <c r="R374" s="9" t="s">
        <v>84</v>
      </c>
      <c r="S374" s="9"/>
      <c r="T374" s="18">
        <v>1</v>
      </c>
      <c r="U374" s="18">
        <v>3</v>
      </c>
      <c r="V374" s="9">
        <v>2.8</v>
      </c>
      <c r="Y374" s="9">
        <f t="shared" si="10"/>
        <v>383.30771107857493</v>
      </c>
      <c r="Z374" s="19" t="s">
        <v>97</v>
      </c>
      <c r="AA374" s="8" t="s">
        <v>260</v>
      </c>
      <c r="AB374" s="8" t="s">
        <v>75</v>
      </c>
      <c r="AC374" s="11" t="s">
        <v>221</v>
      </c>
      <c r="AD374" s="9" t="s">
        <v>85</v>
      </c>
      <c r="AE374" s="56">
        <f t="shared" si="11"/>
        <v>11.494030613333329</v>
      </c>
      <c r="AF374" s="14">
        <v>11.494030613333329</v>
      </c>
      <c r="AG374" s="13"/>
    </row>
    <row r="375" spans="1:41" x14ac:dyDescent="0.2">
      <c r="A375" s="5" t="s">
        <v>67</v>
      </c>
      <c r="B375" s="25">
        <v>43290</v>
      </c>
      <c r="C375" s="26">
        <v>0.65625</v>
      </c>
      <c r="D375" s="5" t="s">
        <v>224</v>
      </c>
      <c r="E375" s="5"/>
      <c r="F375" s="32">
        <v>63</v>
      </c>
      <c r="G375" s="9">
        <v>1</v>
      </c>
      <c r="H375" s="6">
        <v>1.5873015873015872E-2</v>
      </c>
      <c r="I375" s="7">
        <v>6.83E-2</v>
      </c>
      <c r="J375" s="9">
        <v>314.15899999999999</v>
      </c>
      <c r="K375" s="9">
        <v>0.68300000000000005</v>
      </c>
      <c r="L375" s="9">
        <v>10</v>
      </c>
      <c r="M375" s="14">
        <v>459.96925329428984</v>
      </c>
      <c r="N375" s="9">
        <v>145</v>
      </c>
      <c r="O375" s="12" t="s">
        <v>69</v>
      </c>
      <c r="P375" s="8" t="s">
        <v>70</v>
      </c>
      <c r="Q375" s="9" t="s">
        <v>71</v>
      </c>
      <c r="R375" s="9" t="s">
        <v>72</v>
      </c>
      <c r="S375" s="9"/>
      <c r="T375" s="18">
        <v>2</v>
      </c>
      <c r="U375" s="18">
        <v>2</v>
      </c>
      <c r="V375" s="9">
        <v>16.7</v>
      </c>
      <c r="Y375" s="9">
        <f t="shared" si="10"/>
        <v>919.93850658857968</v>
      </c>
      <c r="Z375" s="19" t="s">
        <v>73</v>
      </c>
      <c r="AA375" s="8" t="s">
        <v>265</v>
      </c>
      <c r="AB375" s="8" t="s">
        <v>75</v>
      </c>
      <c r="AC375" s="11" t="s">
        <v>221</v>
      </c>
      <c r="AD375" s="9" t="s">
        <v>77</v>
      </c>
      <c r="AE375" s="56">
        <f t="shared" si="11"/>
        <v>291.86627735999997</v>
      </c>
      <c r="AF375" s="14">
        <v>291.86627735999997</v>
      </c>
      <c r="AG375" s="13"/>
    </row>
    <row r="376" spans="1:41" x14ac:dyDescent="0.2">
      <c r="A376" s="5" t="s">
        <v>67</v>
      </c>
      <c r="B376" s="25">
        <v>43290</v>
      </c>
      <c r="C376" s="26">
        <v>0.65625</v>
      </c>
      <c r="D376" s="5" t="s">
        <v>224</v>
      </c>
      <c r="E376" s="5"/>
      <c r="F376" s="32">
        <v>63</v>
      </c>
      <c r="G376" s="9">
        <v>1</v>
      </c>
      <c r="H376" s="6">
        <v>1.5873015873015872E-2</v>
      </c>
      <c r="I376" s="7">
        <v>6.83E-2</v>
      </c>
      <c r="J376" s="9">
        <v>314.15899999999999</v>
      </c>
      <c r="K376" s="9">
        <v>0.68300000000000005</v>
      </c>
      <c r="L376" s="9">
        <v>10</v>
      </c>
      <c r="M376" s="14">
        <v>459.96925329428984</v>
      </c>
      <c r="N376" s="9">
        <v>145</v>
      </c>
      <c r="O376" s="12" t="s">
        <v>69</v>
      </c>
      <c r="P376" s="8" t="s">
        <v>70</v>
      </c>
      <c r="Q376" s="9" t="s">
        <v>71</v>
      </c>
      <c r="R376" s="9" t="s">
        <v>72</v>
      </c>
      <c r="S376" s="9"/>
      <c r="T376" s="18">
        <v>1</v>
      </c>
      <c r="U376" s="18">
        <v>1</v>
      </c>
      <c r="V376" s="9">
        <v>14.8</v>
      </c>
      <c r="Y376" s="9">
        <f t="shared" si="10"/>
        <v>459.96925329428984</v>
      </c>
      <c r="Z376" s="19" t="s">
        <v>73</v>
      </c>
      <c r="AA376" s="8" t="s">
        <v>265</v>
      </c>
      <c r="AB376" s="8" t="s">
        <v>75</v>
      </c>
      <c r="AC376" s="11" t="s">
        <v>264</v>
      </c>
      <c r="AD376" s="9" t="s">
        <v>77</v>
      </c>
      <c r="AE376" s="56">
        <f t="shared" si="11"/>
        <v>182.26248543999998</v>
      </c>
      <c r="AF376" s="14">
        <v>182.26248543999998</v>
      </c>
      <c r="AG376" s="13"/>
    </row>
    <row r="377" spans="1:41" x14ac:dyDescent="0.2">
      <c r="A377" s="5" t="s">
        <v>67</v>
      </c>
      <c r="B377" s="25">
        <v>43290</v>
      </c>
      <c r="C377" s="26">
        <v>0.65625</v>
      </c>
      <c r="D377" s="5" t="s">
        <v>224</v>
      </c>
      <c r="E377" s="5"/>
      <c r="F377" s="32">
        <v>63</v>
      </c>
      <c r="G377" s="9">
        <v>1</v>
      </c>
      <c r="H377" s="6">
        <v>1.5873015873015872E-2</v>
      </c>
      <c r="I377" s="7">
        <v>6.83E-2</v>
      </c>
      <c r="J377" s="9">
        <v>314.15899999999999</v>
      </c>
      <c r="K377" s="9">
        <v>0.68300000000000005</v>
      </c>
      <c r="L377" s="9">
        <v>10</v>
      </c>
      <c r="M377" s="14">
        <v>459.96925329428984</v>
      </c>
      <c r="N377" s="9">
        <v>190</v>
      </c>
      <c r="O377" s="12" t="s">
        <v>102</v>
      </c>
      <c r="P377" s="8" t="s">
        <v>70</v>
      </c>
      <c r="Q377" s="9" t="s">
        <v>103</v>
      </c>
      <c r="R377" s="9" t="s">
        <v>84</v>
      </c>
      <c r="S377" s="9"/>
      <c r="T377" s="18">
        <v>2</v>
      </c>
      <c r="U377" s="18">
        <v>2</v>
      </c>
      <c r="V377" s="9">
        <v>9.3000000000000007</v>
      </c>
      <c r="Y377" s="9">
        <f t="shared" si="10"/>
        <v>919.93850658857968</v>
      </c>
      <c r="Z377" s="19" t="s">
        <v>73</v>
      </c>
      <c r="AA377" s="8" t="s">
        <v>265</v>
      </c>
      <c r="AB377" s="8" t="s">
        <v>75</v>
      </c>
      <c r="AC377" s="11" t="s">
        <v>221</v>
      </c>
      <c r="AD377" s="9" t="s">
        <v>104</v>
      </c>
      <c r="AE377" s="56">
        <f t="shared" si="11"/>
        <v>180.87704424999998</v>
      </c>
      <c r="AF377" s="14">
        <v>180.87704424999998</v>
      </c>
      <c r="AG377" s="13"/>
    </row>
    <row r="378" spans="1:41" x14ac:dyDescent="0.2">
      <c r="A378" s="5" t="s">
        <v>67</v>
      </c>
      <c r="B378" s="25">
        <v>43290</v>
      </c>
      <c r="C378" s="26">
        <v>0.65625</v>
      </c>
      <c r="D378" s="5" t="s">
        <v>224</v>
      </c>
      <c r="E378" s="5"/>
      <c r="F378" s="32">
        <v>63</v>
      </c>
      <c r="G378" s="9">
        <v>1</v>
      </c>
      <c r="H378" s="6">
        <v>1.5873015873015872E-2</v>
      </c>
      <c r="I378" s="7">
        <v>6.83E-2</v>
      </c>
      <c r="J378" s="9">
        <v>314.15899999999999</v>
      </c>
      <c r="K378" s="9">
        <v>0.68300000000000005</v>
      </c>
      <c r="L378" s="9">
        <v>10</v>
      </c>
      <c r="M378" s="14">
        <v>459.96925329428984</v>
      </c>
      <c r="N378" s="9">
        <v>1037</v>
      </c>
      <c r="O378" s="12" t="s">
        <v>86</v>
      </c>
      <c r="P378" s="12" t="s">
        <v>82</v>
      </c>
      <c r="Q378" s="9" t="s">
        <v>87</v>
      </c>
      <c r="R378" s="9" t="s">
        <v>84</v>
      </c>
      <c r="S378" s="9"/>
      <c r="T378" s="18">
        <v>11</v>
      </c>
      <c r="U378" s="18">
        <v>11</v>
      </c>
      <c r="V378" s="9">
        <v>2.8</v>
      </c>
      <c r="Y378" s="9">
        <f t="shared" si="10"/>
        <v>5059.6617862371886</v>
      </c>
      <c r="Z378" s="19" t="s">
        <v>73</v>
      </c>
      <c r="AA378" s="8" t="s">
        <v>265</v>
      </c>
      <c r="AB378" s="8" t="s">
        <v>75</v>
      </c>
      <c r="AC378" s="11" t="s">
        <v>221</v>
      </c>
      <c r="AD378" s="9" t="s">
        <v>85</v>
      </c>
      <c r="AE378" s="56">
        <f t="shared" si="11"/>
        <v>7.2382233599999992</v>
      </c>
      <c r="AF378" s="14">
        <v>7.2382233599999992</v>
      </c>
      <c r="AG378" s="13"/>
    </row>
    <row r="379" spans="1:41" x14ac:dyDescent="0.2">
      <c r="A379" s="5" t="s">
        <v>67</v>
      </c>
      <c r="B379" s="25">
        <v>43290</v>
      </c>
      <c r="C379" s="26">
        <v>0.65625</v>
      </c>
      <c r="D379" s="5" t="s">
        <v>224</v>
      </c>
      <c r="E379" s="5"/>
      <c r="F379" s="32">
        <v>63</v>
      </c>
      <c r="G379" s="9">
        <v>1</v>
      </c>
      <c r="H379" s="6">
        <v>1.5873015873015872E-2</v>
      </c>
      <c r="I379" s="7">
        <v>6.83E-2</v>
      </c>
      <c r="J379" s="9">
        <v>314.15899999999999</v>
      </c>
      <c r="K379" s="9">
        <v>0.68300000000000005</v>
      </c>
      <c r="L379" s="9">
        <v>10</v>
      </c>
      <c r="M379" s="14">
        <v>459.96925329428984</v>
      </c>
      <c r="N379" s="9">
        <v>1140</v>
      </c>
      <c r="O379" s="12" t="s">
        <v>126</v>
      </c>
      <c r="P379" s="12" t="s">
        <v>82</v>
      </c>
      <c r="Q379" s="9" t="s">
        <v>127</v>
      </c>
      <c r="R379" s="9" t="s">
        <v>128</v>
      </c>
      <c r="S379" s="9"/>
      <c r="T379" s="18">
        <v>2</v>
      </c>
      <c r="U379" s="18">
        <v>2</v>
      </c>
      <c r="V379" s="9">
        <v>13</v>
      </c>
      <c r="Y379" s="9">
        <f t="shared" si="10"/>
        <v>919.93850658857968</v>
      </c>
      <c r="Z379" s="19" t="s">
        <v>73</v>
      </c>
      <c r="AA379" s="8" t="s">
        <v>265</v>
      </c>
      <c r="AB379" s="8" t="s">
        <v>75</v>
      </c>
      <c r="AC379" s="11" t="s">
        <v>221</v>
      </c>
      <c r="AD379" s="9" t="s">
        <v>129</v>
      </c>
      <c r="AE379" s="56">
        <f t="shared" si="11"/>
        <v>22.871298798333328</v>
      </c>
      <c r="AF379" s="14">
        <v>22.871298798333328</v>
      </c>
      <c r="AG379" s="13"/>
    </row>
    <row r="380" spans="1:41" x14ac:dyDescent="0.2">
      <c r="A380" s="5" t="s">
        <v>67</v>
      </c>
      <c r="B380" s="25">
        <v>43290</v>
      </c>
      <c r="C380" s="26">
        <v>0.65625</v>
      </c>
      <c r="D380" s="5" t="s">
        <v>224</v>
      </c>
      <c r="E380" s="5"/>
      <c r="F380" s="32">
        <v>63</v>
      </c>
      <c r="G380" s="9">
        <v>1</v>
      </c>
      <c r="H380" s="6">
        <v>1.5873015873015872E-2</v>
      </c>
      <c r="I380" s="7">
        <v>6.83E-2</v>
      </c>
      <c r="J380" s="9">
        <v>314.15899999999999</v>
      </c>
      <c r="K380" s="9">
        <v>0.68300000000000005</v>
      </c>
      <c r="L380" s="9">
        <v>10</v>
      </c>
      <c r="M380" s="14">
        <v>459.96925329428984</v>
      </c>
      <c r="N380" s="9">
        <v>1419</v>
      </c>
      <c r="O380" s="12" t="s">
        <v>94</v>
      </c>
      <c r="P380" s="12" t="s">
        <v>82</v>
      </c>
      <c r="Q380" s="9" t="s">
        <v>95</v>
      </c>
      <c r="R380" s="9" t="s">
        <v>96</v>
      </c>
      <c r="S380" s="9"/>
      <c r="T380" s="18">
        <v>429</v>
      </c>
      <c r="U380" s="18">
        <v>858</v>
      </c>
      <c r="V380" s="9">
        <v>0.8</v>
      </c>
      <c r="W380" s="9">
        <v>0.8</v>
      </c>
      <c r="X380" s="9">
        <v>0.8</v>
      </c>
      <c r="Y380" s="9">
        <f t="shared" si="10"/>
        <v>197326.80966325037</v>
      </c>
      <c r="Z380" s="19" t="s">
        <v>97</v>
      </c>
      <c r="AA380" s="8" t="s">
        <v>265</v>
      </c>
      <c r="AB380" s="8" t="s">
        <v>75</v>
      </c>
      <c r="AC380" s="11" t="s">
        <v>221</v>
      </c>
      <c r="AD380" s="9" t="s">
        <v>85</v>
      </c>
      <c r="AE380" s="56">
        <f t="shared" si="11"/>
        <v>0.17999999999999997</v>
      </c>
      <c r="AF380" s="14">
        <v>0.18</v>
      </c>
      <c r="AG380" s="14">
        <v>0.18</v>
      </c>
      <c r="AH380" s="14">
        <v>0.18</v>
      </c>
      <c r="AI380" s="14">
        <v>0.18</v>
      </c>
      <c r="AJ380" s="14">
        <v>0.18</v>
      </c>
      <c r="AK380" s="14">
        <v>0.18</v>
      </c>
      <c r="AL380" s="14">
        <v>0.18</v>
      </c>
      <c r="AM380" s="14">
        <v>0.18</v>
      </c>
      <c r="AN380" s="14">
        <v>0.18</v>
      </c>
      <c r="AO380" s="14">
        <v>0.18</v>
      </c>
    </row>
    <row r="381" spans="1:41" x14ac:dyDescent="0.2">
      <c r="A381" s="5" t="s">
        <v>67</v>
      </c>
      <c r="B381" s="25">
        <v>43290</v>
      </c>
      <c r="C381" s="26">
        <v>0.66666666666666696</v>
      </c>
      <c r="D381" s="5" t="s">
        <v>278</v>
      </c>
      <c r="E381" s="5"/>
      <c r="F381" s="32">
        <v>64</v>
      </c>
      <c r="G381" s="9">
        <v>2</v>
      </c>
      <c r="H381" s="6">
        <v>3.125E-2</v>
      </c>
      <c r="I381" s="7">
        <v>6.83E-2</v>
      </c>
      <c r="J381" s="9">
        <v>314.15899999999999</v>
      </c>
      <c r="K381" s="9">
        <v>0.47809999999999997</v>
      </c>
      <c r="L381" s="9">
        <v>7</v>
      </c>
      <c r="M381" s="14">
        <v>328.54946663877848</v>
      </c>
      <c r="N381" s="9">
        <v>190</v>
      </c>
      <c r="O381" s="12" t="s">
        <v>102</v>
      </c>
      <c r="P381" s="8" t="s">
        <v>70</v>
      </c>
      <c r="Q381" s="9" t="s">
        <v>103</v>
      </c>
      <c r="R381" s="9" t="s">
        <v>84</v>
      </c>
      <c r="S381" s="9"/>
      <c r="T381" s="18">
        <v>3</v>
      </c>
      <c r="U381" s="18">
        <v>3</v>
      </c>
      <c r="V381" s="9">
        <v>7.4</v>
      </c>
      <c r="Y381" s="9">
        <f t="shared" si="10"/>
        <v>985.64839991633551</v>
      </c>
      <c r="Z381" s="19" t="s">
        <v>73</v>
      </c>
      <c r="AA381" s="8" t="s">
        <v>279</v>
      </c>
      <c r="AB381" s="8" t="s">
        <v>75</v>
      </c>
      <c r="AC381" s="11" t="s">
        <v>76</v>
      </c>
      <c r="AD381" s="9" t="s">
        <v>104</v>
      </c>
      <c r="AE381" s="56">
        <f t="shared" si="11"/>
        <v>156.16215571999999</v>
      </c>
      <c r="AF381" s="14">
        <v>156.16215571999999</v>
      </c>
      <c r="AG381" s="13"/>
    </row>
    <row r="382" spans="1:41" x14ac:dyDescent="0.2">
      <c r="A382" s="5" t="s">
        <v>67</v>
      </c>
      <c r="B382" s="25">
        <v>43290</v>
      </c>
      <c r="C382" s="26">
        <v>0.66666666666666696</v>
      </c>
      <c r="D382" s="5" t="s">
        <v>278</v>
      </c>
      <c r="E382" s="5"/>
      <c r="F382" s="32">
        <v>64</v>
      </c>
      <c r="G382" s="9">
        <v>2</v>
      </c>
      <c r="H382" s="6">
        <v>3.125E-2</v>
      </c>
      <c r="I382" s="7">
        <v>6.83E-2</v>
      </c>
      <c r="J382" s="9">
        <v>314.15899999999999</v>
      </c>
      <c r="K382" s="9">
        <v>0.47809999999999997</v>
      </c>
      <c r="L382" s="9">
        <v>7</v>
      </c>
      <c r="M382" s="14">
        <v>328.54946663877848</v>
      </c>
      <c r="N382" s="9">
        <v>1037</v>
      </c>
      <c r="O382" s="12" t="s">
        <v>86</v>
      </c>
      <c r="P382" s="12" t="s">
        <v>82</v>
      </c>
      <c r="Q382" s="9" t="s">
        <v>87</v>
      </c>
      <c r="R382" s="9" t="s">
        <v>84</v>
      </c>
      <c r="S382" s="9"/>
      <c r="T382" s="18">
        <v>11</v>
      </c>
      <c r="U382" s="18">
        <v>11</v>
      </c>
      <c r="V382" s="9">
        <v>2.8</v>
      </c>
      <c r="Y382" s="9">
        <f t="shared" si="10"/>
        <v>3614.0441330265635</v>
      </c>
      <c r="Z382" s="19" t="s">
        <v>73</v>
      </c>
      <c r="AA382" s="8" t="s">
        <v>279</v>
      </c>
      <c r="AB382" s="8" t="s">
        <v>75</v>
      </c>
      <c r="AC382" s="11" t="s">
        <v>76</v>
      </c>
      <c r="AD382" s="9" t="s">
        <v>85</v>
      </c>
      <c r="AE382" s="56">
        <f t="shared" si="11"/>
        <v>7.2382233599999992</v>
      </c>
      <c r="AF382" s="14">
        <v>7.2382233599999992</v>
      </c>
      <c r="AG382" s="13"/>
    </row>
    <row r="383" spans="1:41" x14ac:dyDescent="0.2">
      <c r="A383" s="5" t="s">
        <v>67</v>
      </c>
      <c r="B383" s="25">
        <v>43290</v>
      </c>
      <c r="C383" s="26">
        <v>0.66666666666666696</v>
      </c>
      <c r="D383" s="5" t="s">
        <v>278</v>
      </c>
      <c r="E383" s="5"/>
      <c r="F383" s="32">
        <v>64</v>
      </c>
      <c r="G383" s="9">
        <v>2</v>
      </c>
      <c r="H383" s="6">
        <v>3.125E-2</v>
      </c>
      <c r="I383" s="7">
        <v>6.83E-2</v>
      </c>
      <c r="J383" s="9">
        <v>314.15899999999999</v>
      </c>
      <c r="K383" s="9">
        <v>0.47809999999999997</v>
      </c>
      <c r="L383" s="9">
        <v>7</v>
      </c>
      <c r="M383" s="14">
        <v>328.54946663877848</v>
      </c>
      <c r="N383" s="9">
        <v>1235</v>
      </c>
      <c r="O383" s="12" t="s">
        <v>216</v>
      </c>
      <c r="P383" s="12" t="s">
        <v>82</v>
      </c>
      <c r="Q383" s="9" t="s">
        <v>217</v>
      </c>
      <c r="R383" s="9" t="s">
        <v>84</v>
      </c>
      <c r="S383" s="9"/>
      <c r="T383" s="18">
        <v>1</v>
      </c>
      <c r="U383" s="18">
        <v>2</v>
      </c>
      <c r="V383" s="9">
        <v>3.7</v>
      </c>
      <c r="Y383" s="9">
        <f t="shared" si="10"/>
        <v>328.54946663877848</v>
      </c>
      <c r="Z383" s="19" t="s">
        <v>97</v>
      </c>
      <c r="AA383" s="8" t="s">
        <v>279</v>
      </c>
      <c r="AB383" s="8" t="s">
        <v>75</v>
      </c>
      <c r="AC383" s="11" t="s">
        <v>76</v>
      </c>
      <c r="AD383" s="9" t="s">
        <v>120</v>
      </c>
      <c r="AE383" s="56">
        <f t="shared" si="11"/>
        <v>6.9937029383333318</v>
      </c>
      <c r="AF383" s="14">
        <v>6.9937029383333318</v>
      </c>
      <c r="AG383" s="13"/>
    </row>
    <row r="384" spans="1:41" x14ac:dyDescent="0.2">
      <c r="A384" s="5" t="s">
        <v>67</v>
      </c>
      <c r="B384" s="25">
        <v>43290</v>
      </c>
      <c r="C384" s="26">
        <v>0.66666666666666696</v>
      </c>
      <c r="D384" s="5" t="s">
        <v>278</v>
      </c>
      <c r="E384" s="5"/>
      <c r="F384" s="32">
        <v>64</v>
      </c>
      <c r="G384" s="9">
        <v>2</v>
      </c>
      <c r="H384" s="6">
        <v>3.125E-2</v>
      </c>
      <c r="I384" s="7">
        <v>6.83E-2</v>
      </c>
      <c r="J384" s="9">
        <v>314.15899999999999</v>
      </c>
      <c r="K384" s="9">
        <v>0.47809999999999997</v>
      </c>
      <c r="L384" s="9">
        <v>7</v>
      </c>
      <c r="M384" s="14">
        <v>328.54946663877848</v>
      </c>
      <c r="N384" s="9">
        <v>1419</v>
      </c>
      <c r="O384" s="12" t="s">
        <v>94</v>
      </c>
      <c r="P384" s="12" t="s">
        <v>82</v>
      </c>
      <c r="Q384" s="9" t="s">
        <v>95</v>
      </c>
      <c r="R384" s="9" t="s">
        <v>96</v>
      </c>
      <c r="S384" s="9"/>
      <c r="T384" s="18">
        <v>379</v>
      </c>
      <c r="U384" s="18">
        <v>762</v>
      </c>
      <c r="V384" s="9">
        <v>0.8</v>
      </c>
      <c r="W384" s="9">
        <v>0.8</v>
      </c>
      <c r="X384" s="9">
        <v>0.8</v>
      </c>
      <c r="Y384" s="9">
        <f t="shared" si="10"/>
        <v>124520.24785609706</v>
      </c>
      <c r="Z384" s="19" t="s">
        <v>97</v>
      </c>
      <c r="AA384" s="8" t="s">
        <v>279</v>
      </c>
      <c r="AB384" s="8" t="s">
        <v>75</v>
      </c>
      <c r="AC384" s="11" t="s">
        <v>76</v>
      </c>
      <c r="AD384" s="9" t="s">
        <v>85</v>
      </c>
      <c r="AE384" s="56">
        <f t="shared" si="11"/>
        <v>0.17999999999999997</v>
      </c>
      <c r="AF384" s="14">
        <v>0.18</v>
      </c>
      <c r="AG384" s="14">
        <v>0.18</v>
      </c>
      <c r="AH384" s="14">
        <v>0.18</v>
      </c>
      <c r="AI384" s="14">
        <v>0.18</v>
      </c>
      <c r="AJ384" s="14">
        <v>0.18</v>
      </c>
      <c r="AK384" s="14">
        <v>0.18</v>
      </c>
      <c r="AL384" s="14">
        <v>0.18</v>
      </c>
      <c r="AM384" s="14">
        <v>0.18</v>
      </c>
      <c r="AN384" s="14">
        <v>0.18</v>
      </c>
      <c r="AO384" s="14">
        <v>0.18</v>
      </c>
    </row>
    <row r="385" spans="1:41" x14ac:dyDescent="0.2">
      <c r="A385" s="5" t="s">
        <v>67</v>
      </c>
      <c r="B385" s="25">
        <v>43290</v>
      </c>
      <c r="C385" s="26">
        <v>0.66666666666666696</v>
      </c>
      <c r="D385" s="5" t="s">
        <v>278</v>
      </c>
      <c r="E385" s="5"/>
      <c r="F385" s="32">
        <v>64</v>
      </c>
      <c r="G385" s="9">
        <v>2</v>
      </c>
      <c r="H385" s="6">
        <v>3.125E-2</v>
      </c>
      <c r="I385" s="7">
        <v>6.83E-2</v>
      </c>
      <c r="J385" s="9">
        <v>314.15899999999999</v>
      </c>
      <c r="K385" s="9">
        <v>0.47809999999999997</v>
      </c>
      <c r="L385" s="9">
        <v>7</v>
      </c>
      <c r="M385" s="14">
        <v>328.54946663877848</v>
      </c>
      <c r="N385" s="9">
        <v>1421</v>
      </c>
      <c r="O385" s="12" t="s">
        <v>130</v>
      </c>
      <c r="P385" s="12" t="s">
        <v>82</v>
      </c>
      <c r="Q385" s="9" t="s">
        <v>95</v>
      </c>
      <c r="R385" s="9" t="s">
        <v>131</v>
      </c>
      <c r="S385" s="9"/>
      <c r="T385" s="18">
        <v>13</v>
      </c>
      <c r="U385" s="18">
        <v>17</v>
      </c>
      <c r="V385" s="9">
        <v>5.6</v>
      </c>
      <c r="Y385" s="9">
        <f t="shared" si="10"/>
        <v>4271.143066304121</v>
      </c>
      <c r="Z385" s="19" t="s">
        <v>97</v>
      </c>
      <c r="AA385" s="8" t="s">
        <v>279</v>
      </c>
      <c r="AB385" s="8" t="s">
        <v>75</v>
      </c>
      <c r="AC385" s="11" t="s">
        <v>76</v>
      </c>
      <c r="AD385" s="9" t="s">
        <v>85</v>
      </c>
      <c r="AE385" s="56">
        <f t="shared" si="11"/>
        <v>65.449791666666655</v>
      </c>
      <c r="AF385" s="14">
        <v>65.449791666666655</v>
      </c>
      <c r="AG385" s="13"/>
    </row>
    <row r="386" spans="1:41" x14ac:dyDescent="0.2">
      <c r="A386" s="5" t="s">
        <v>67</v>
      </c>
      <c r="B386" s="25">
        <v>43290</v>
      </c>
      <c r="C386" s="26">
        <v>0.70833333333333304</v>
      </c>
      <c r="D386" s="5" t="s">
        <v>124</v>
      </c>
      <c r="E386" s="5">
        <v>3</v>
      </c>
      <c r="F386" s="32">
        <v>59</v>
      </c>
      <c r="G386" s="9">
        <v>2</v>
      </c>
      <c r="H386" s="6">
        <v>3.3898305084745763E-2</v>
      </c>
      <c r="I386" s="7">
        <v>6.83E-2</v>
      </c>
      <c r="J386" s="9">
        <v>314.15899999999999</v>
      </c>
      <c r="K386" s="9">
        <v>0.75129999999999997</v>
      </c>
      <c r="L386" s="9">
        <v>11</v>
      </c>
      <c r="M386" s="14">
        <v>209.07693331558633</v>
      </c>
      <c r="N386" s="9">
        <v>145</v>
      </c>
      <c r="O386" s="12" t="s">
        <v>69</v>
      </c>
      <c r="P386" s="8" t="s">
        <v>70</v>
      </c>
      <c r="Q386" s="9" t="s">
        <v>71</v>
      </c>
      <c r="R386" s="9" t="s">
        <v>72</v>
      </c>
      <c r="S386" s="9"/>
      <c r="T386" s="18">
        <v>1</v>
      </c>
      <c r="U386" s="18">
        <v>1</v>
      </c>
      <c r="V386" s="9">
        <v>18.5</v>
      </c>
      <c r="Y386" s="9">
        <f t="shared" si="10"/>
        <v>209.07693331558633</v>
      </c>
      <c r="Z386" s="19" t="s">
        <v>73</v>
      </c>
      <c r="AA386" s="8" t="s">
        <v>269</v>
      </c>
      <c r="AB386" s="8" t="s">
        <v>75</v>
      </c>
      <c r="AC386" s="11" t="s">
        <v>76</v>
      </c>
      <c r="AD386" s="9" t="s">
        <v>77</v>
      </c>
      <c r="AE386" s="56">
        <f t="shared" si="11"/>
        <v>451.58785454999992</v>
      </c>
      <c r="AF386" s="14">
        <v>451.58785454999992</v>
      </c>
      <c r="AG386" s="13"/>
    </row>
    <row r="387" spans="1:41" x14ac:dyDescent="0.2">
      <c r="A387" s="5" t="s">
        <v>67</v>
      </c>
      <c r="B387" s="25">
        <v>43290</v>
      </c>
      <c r="C387" s="26">
        <v>0.70833333333333304</v>
      </c>
      <c r="D387" s="5" t="s">
        <v>124</v>
      </c>
      <c r="E387" s="5">
        <v>3</v>
      </c>
      <c r="F387" s="32">
        <v>59</v>
      </c>
      <c r="G387" s="9">
        <v>2</v>
      </c>
      <c r="H387" s="6">
        <v>3.3898305084745763E-2</v>
      </c>
      <c r="I387" s="7">
        <v>6.83E-2</v>
      </c>
      <c r="J387" s="9">
        <v>314.15899999999999</v>
      </c>
      <c r="K387" s="9">
        <v>0.75129999999999997</v>
      </c>
      <c r="L387" s="9">
        <v>11</v>
      </c>
      <c r="M387" s="14">
        <v>209.07693331558633</v>
      </c>
      <c r="N387" s="9">
        <v>190</v>
      </c>
      <c r="O387" s="12" t="s">
        <v>102</v>
      </c>
      <c r="P387" s="8" t="s">
        <v>70</v>
      </c>
      <c r="Q387" s="9" t="s">
        <v>103</v>
      </c>
      <c r="R387" s="9" t="s">
        <v>84</v>
      </c>
      <c r="S387" s="9"/>
      <c r="T387" s="18">
        <v>2</v>
      </c>
      <c r="U387" s="18">
        <v>2</v>
      </c>
      <c r="V387" s="9">
        <v>5.6</v>
      </c>
      <c r="Y387" s="9">
        <f t="shared" ref="Y387:Y450" si="12">(T387*J387)/(G387*I387*L387)</f>
        <v>418.15386663117266</v>
      </c>
      <c r="Z387" s="19" t="s">
        <v>73</v>
      </c>
      <c r="AA387" s="8" t="s">
        <v>269</v>
      </c>
      <c r="AB387" s="8" t="s">
        <v>75</v>
      </c>
      <c r="AC387" s="11" t="s">
        <v>76</v>
      </c>
      <c r="AD387" s="9" t="s">
        <v>104</v>
      </c>
      <c r="AE387" s="56">
        <f t="shared" ref="AE387:AE450" si="13">AVERAGE(AF387:AO387)</f>
        <v>81.279216479999974</v>
      </c>
      <c r="AF387" s="14">
        <v>81.279216479999974</v>
      </c>
      <c r="AG387" s="13"/>
    </row>
    <row r="388" spans="1:41" x14ac:dyDescent="0.2">
      <c r="A388" s="5" t="s">
        <v>67</v>
      </c>
      <c r="B388" s="25">
        <v>43290</v>
      </c>
      <c r="C388" s="26">
        <v>0.70833333333333304</v>
      </c>
      <c r="D388" s="5" t="s">
        <v>124</v>
      </c>
      <c r="E388" s="5">
        <v>3</v>
      </c>
      <c r="F388" s="32">
        <v>59</v>
      </c>
      <c r="G388" s="9">
        <v>2</v>
      </c>
      <c r="H388" s="6">
        <v>3.3898305084745763E-2</v>
      </c>
      <c r="I388" s="7">
        <v>6.83E-2</v>
      </c>
      <c r="J388" s="9">
        <v>314.15899999999999</v>
      </c>
      <c r="K388" s="9">
        <v>0.75129999999999997</v>
      </c>
      <c r="L388" s="9">
        <v>11</v>
      </c>
      <c r="M388" s="14">
        <v>209.07693331558633</v>
      </c>
      <c r="N388" s="9">
        <v>730</v>
      </c>
      <c r="O388" s="12" t="s">
        <v>270</v>
      </c>
      <c r="P388" s="8" t="s">
        <v>70</v>
      </c>
      <c r="Q388" s="9" t="s">
        <v>191</v>
      </c>
      <c r="R388" s="9" t="s">
        <v>271</v>
      </c>
      <c r="S388" s="9"/>
      <c r="T388" s="18">
        <v>2</v>
      </c>
      <c r="U388" s="18">
        <v>2</v>
      </c>
      <c r="V388" s="9">
        <v>37</v>
      </c>
      <c r="Y388" s="9">
        <f t="shared" si="12"/>
        <v>418.15386663117266</v>
      </c>
      <c r="Z388" s="19" t="s">
        <v>73</v>
      </c>
      <c r="AA388" s="8" t="s">
        <v>269</v>
      </c>
      <c r="AB388" s="8" t="s">
        <v>75</v>
      </c>
      <c r="AC388" s="11" t="s">
        <v>76</v>
      </c>
      <c r="AD388" s="9" t="s">
        <v>193</v>
      </c>
      <c r="AE388" s="56">
        <f t="shared" si="13"/>
        <v>158.11949999999999</v>
      </c>
      <c r="AF388" s="14">
        <v>158.11949999999999</v>
      </c>
      <c r="AG388" s="13"/>
    </row>
    <row r="389" spans="1:41" x14ac:dyDescent="0.2">
      <c r="A389" s="5" t="s">
        <v>67</v>
      </c>
      <c r="B389" s="25">
        <v>43290</v>
      </c>
      <c r="C389" s="26">
        <v>0.70833333333333304</v>
      </c>
      <c r="D389" s="5" t="s">
        <v>124</v>
      </c>
      <c r="E389" s="5">
        <v>3</v>
      </c>
      <c r="F389" s="32">
        <v>59</v>
      </c>
      <c r="G389" s="9">
        <v>2</v>
      </c>
      <c r="H389" s="6">
        <v>3.3898305084745763E-2</v>
      </c>
      <c r="I389" s="7">
        <v>6.83E-2</v>
      </c>
      <c r="J389" s="9">
        <v>314.15899999999999</v>
      </c>
      <c r="K389" s="9">
        <v>0.75129999999999997</v>
      </c>
      <c r="L389" s="9">
        <v>11</v>
      </c>
      <c r="M389" s="14">
        <v>209.07693331558633</v>
      </c>
      <c r="N389" s="9">
        <v>1037</v>
      </c>
      <c r="O389" s="12" t="s">
        <v>86</v>
      </c>
      <c r="P389" s="12" t="s">
        <v>82</v>
      </c>
      <c r="Q389" s="9" t="s">
        <v>87</v>
      </c>
      <c r="R389" s="9" t="s">
        <v>84</v>
      </c>
      <c r="S389" s="9"/>
      <c r="T389" s="18">
        <v>39</v>
      </c>
      <c r="U389" s="18">
        <v>39</v>
      </c>
      <c r="V389" s="9">
        <v>3.7</v>
      </c>
      <c r="Y389" s="9">
        <f t="shared" si="12"/>
        <v>8154.0003993078662</v>
      </c>
      <c r="Z389" s="19" t="s">
        <v>73</v>
      </c>
      <c r="AA389" s="8" t="s">
        <v>269</v>
      </c>
      <c r="AB389" s="8" t="s">
        <v>75</v>
      </c>
      <c r="AC389" s="11" t="s">
        <v>76</v>
      </c>
      <c r="AD389" s="9" t="s">
        <v>85</v>
      </c>
      <c r="AE389" s="56">
        <f t="shared" si="13"/>
        <v>11.494030613333329</v>
      </c>
      <c r="AF389" s="14">
        <v>11.494030613333329</v>
      </c>
      <c r="AG389" s="13"/>
    </row>
    <row r="390" spans="1:41" x14ac:dyDescent="0.2">
      <c r="A390" s="5" t="s">
        <v>67</v>
      </c>
      <c r="B390" s="25">
        <v>43290</v>
      </c>
      <c r="C390" s="26">
        <v>0.70833333333333304</v>
      </c>
      <c r="D390" s="5" t="s">
        <v>124</v>
      </c>
      <c r="E390" s="5">
        <v>3</v>
      </c>
      <c r="F390" s="32">
        <v>59</v>
      </c>
      <c r="G390" s="9">
        <v>2</v>
      </c>
      <c r="H390" s="6">
        <v>3.3898305084745763E-2</v>
      </c>
      <c r="I390" s="7">
        <v>6.83E-2</v>
      </c>
      <c r="J390" s="9">
        <v>314.15899999999999</v>
      </c>
      <c r="K390" s="9">
        <v>0.75129999999999997</v>
      </c>
      <c r="L390" s="9">
        <v>11</v>
      </c>
      <c r="M390" s="14">
        <v>209.07693331558633</v>
      </c>
      <c r="N390" s="9">
        <v>1235</v>
      </c>
      <c r="O390" s="12" t="s">
        <v>216</v>
      </c>
      <c r="P390" s="12" t="s">
        <v>82</v>
      </c>
      <c r="Q390" s="9" t="s">
        <v>217</v>
      </c>
      <c r="R390" s="9" t="s">
        <v>84</v>
      </c>
      <c r="S390" s="9"/>
      <c r="T390" s="18">
        <v>1</v>
      </c>
      <c r="U390" s="18">
        <v>2</v>
      </c>
      <c r="V390" s="9">
        <v>3.7</v>
      </c>
      <c r="Y390" s="9">
        <f t="shared" si="12"/>
        <v>209.07693331558633</v>
      </c>
      <c r="Z390" s="19" t="s">
        <v>97</v>
      </c>
      <c r="AA390" s="8" t="s">
        <v>269</v>
      </c>
      <c r="AB390" s="8" t="s">
        <v>75</v>
      </c>
      <c r="AC390" s="11" t="s">
        <v>76</v>
      </c>
      <c r="AD390" s="9" t="s">
        <v>120</v>
      </c>
      <c r="AE390" s="56">
        <f t="shared" si="13"/>
        <v>1.569224205</v>
      </c>
      <c r="AF390" s="14">
        <v>1.569224205</v>
      </c>
      <c r="AG390" s="13"/>
    </row>
    <row r="391" spans="1:41" x14ac:dyDescent="0.2">
      <c r="A391" s="5" t="s">
        <v>67</v>
      </c>
      <c r="B391" s="25">
        <v>43290</v>
      </c>
      <c r="C391" s="26">
        <v>0.70833333333333304</v>
      </c>
      <c r="D391" s="5" t="s">
        <v>124</v>
      </c>
      <c r="E391" s="5">
        <v>3</v>
      </c>
      <c r="F391" s="32">
        <v>59</v>
      </c>
      <c r="G391" s="9">
        <v>2</v>
      </c>
      <c r="H391" s="6">
        <v>3.3898305084745763E-2</v>
      </c>
      <c r="I391" s="7">
        <v>6.83E-2</v>
      </c>
      <c r="J391" s="9">
        <v>314.15899999999999</v>
      </c>
      <c r="K391" s="9">
        <v>0.75129999999999997</v>
      </c>
      <c r="L391" s="9">
        <v>11</v>
      </c>
      <c r="M391" s="14">
        <v>209.07693331558633</v>
      </c>
      <c r="N391" s="9">
        <v>1419</v>
      </c>
      <c r="O391" s="12" t="s">
        <v>94</v>
      </c>
      <c r="P391" s="12" t="s">
        <v>82</v>
      </c>
      <c r="Q391" s="9" t="s">
        <v>95</v>
      </c>
      <c r="R391" s="9" t="s">
        <v>96</v>
      </c>
      <c r="S391" s="9"/>
      <c r="T391" s="18">
        <v>356</v>
      </c>
      <c r="U391" s="18">
        <v>712</v>
      </c>
      <c r="V391" s="9">
        <v>0.8</v>
      </c>
      <c r="W391" s="9">
        <v>0.8</v>
      </c>
      <c r="X391" s="9">
        <v>0.8</v>
      </c>
      <c r="Y391" s="9">
        <f t="shared" si="12"/>
        <v>74431.388260348729</v>
      </c>
      <c r="Z391" s="19" t="s">
        <v>97</v>
      </c>
      <c r="AA391" s="8" t="s">
        <v>269</v>
      </c>
      <c r="AB391" s="8" t="s">
        <v>75</v>
      </c>
      <c r="AC391" s="11" t="s">
        <v>76</v>
      </c>
      <c r="AD391" s="9" t="s">
        <v>85</v>
      </c>
      <c r="AE391" s="56">
        <f t="shared" si="13"/>
        <v>0.17999999999999997</v>
      </c>
      <c r="AF391" s="14">
        <v>0.18</v>
      </c>
      <c r="AG391" s="14">
        <v>0.18</v>
      </c>
      <c r="AH391" s="14">
        <v>0.18</v>
      </c>
      <c r="AI391" s="14">
        <v>0.18</v>
      </c>
      <c r="AJ391" s="14">
        <v>0.18</v>
      </c>
      <c r="AK391" s="14">
        <v>0.18</v>
      </c>
      <c r="AL391" s="14">
        <v>0.18</v>
      </c>
      <c r="AM391" s="14">
        <v>0.18</v>
      </c>
      <c r="AN391" s="14">
        <v>0.18</v>
      </c>
      <c r="AO391" s="14">
        <v>0.18</v>
      </c>
    </row>
    <row r="392" spans="1:41" x14ac:dyDescent="0.2">
      <c r="A392" s="5" t="s">
        <v>67</v>
      </c>
      <c r="B392" s="25">
        <v>43290</v>
      </c>
      <c r="C392" s="26">
        <v>0.70833333333333304</v>
      </c>
      <c r="D392" s="5" t="s">
        <v>124</v>
      </c>
      <c r="E392" s="5">
        <v>3</v>
      </c>
      <c r="F392" s="32">
        <v>59</v>
      </c>
      <c r="G392" s="9">
        <v>2</v>
      </c>
      <c r="H392" s="6">
        <v>3.3898305084745763E-2</v>
      </c>
      <c r="I392" s="7">
        <v>6.83E-2</v>
      </c>
      <c r="J392" s="9">
        <v>314.15899999999999</v>
      </c>
      <c r="K392" s="9">
        <v>0.75129999999999997</v>
      </c>
      <c r="L392" s="9">
        <v>11</v>
      </c>
      <c r="M392" s="14">
        <v>209.07693331558633</v>
      </c>
      <c r="N392" s="9">
        <v>1420</v>
      </c>
      <c r="O392" s="12" t="s">
        <v>98</v>
      </c>
      <c r="P392" s="12" t="s">
        <v>82</v>
      </c>
      <c r="Q392" s="9" t="s">
        <v>95</v>
      </c>
      <c r="R392" s="9" t="s">
        <v>99</v>
      </c>
      <c r="S392" s="9"/>
      <c r="T392" s="18">
        <v>3</v>
      </c>
      <c r="U392" s="18">
        <v>6</v>
      </c>
      <c r="V392" s="9">
        <v>1.9</v>
      </c>
      <c r="Y392" s="9">
        <f t="shared" si="12"/>
        <v>627.23079994675891</v>
      </c>
      <c r="Z392" s="19" t="s">
        <v>97</v>
      </c>
      <c r="AA392" s="8" t="s">
        <v>269</v>
      </c>
      <c r="AB392" s="8" t="s">
        <v>75</v>
      </c>
      <c r="AC392" s="11" t="s">
        <v>76</v>
      </c>
      <c r="AD392" s="9" t="s">
        <v>85</v>
      </c>
      <c r="AE392" s="56">
        <f t="shared" si="13"/>
        <v>3.5913609683333325</v>
      </c>
      <c r="AF392" s="14">
        <v>3.5913609683333325</v>
      </c>
      <c r="AG392" s="13"/>
    </row>
    <row r="393" spans="1:41" x14ac:dyDescent="0.2">
      <c r="A393" s="5" t="s">
        <v>67</v>
      </c>
      <c r="B393" s="25">
        <v>43290</v>
      </c>
      <c r="C393" s="26">
        <v>0.70833333333333304</v>
      </c>
      <c r="D393" s="5" t="s">
        <v>124</v>
      </c>
      <c r="E393" s="5">
        <v>3</v>
      </c>
      <c r="F393" s="32">
        <v>59</v>
      </c>
      <c r="G393" s="9">
        <v>2</v>
      </c>
      <c r="H393" s="6">
        <v>3.3898305084745763E-2</v>
      </c>
      <c r="I393" s="7">
        <v>6.83E-2</v>
      </c>
      <c r="J393" s="9">
        <v>314.15899999999999</v>
      </c>
      <c r="K393" s="9">
        <v>0.75129999999999997</v>
      </c>
      <c r="L393" s="9">
        <v>11</v>
      </c>
      <c r="M393" s="14">
        <v>209.07693331558633</v>
      </c>
      <c r="N393" s="9">
        <v>1421</v>
      </c>
      <c r="O393" s="12" t="s">
        <v>130</v>
      </c>
      <c r="P393" s="12" t="s">
        <v>82</v>
      </c>
      <c r="Q393" s="9" t="s">
        <v>95</v>
      </c>
      <c r="R393" s="9" t="s">
        <v>131</v>
      </c>
      <c r="S393" s="9"/>
      <c r="T393" s="18">
        <v>2</v>
      </c>
      <c r="U393" s="18">
        <v>2</v>
      </c>
      <c r="V393" s="9">
        <v>5.6</v>
      </c>
      <c r="Y393" s="9">
        <f t="shared" si="12"/>
        <v>418.15386663117266</v>
      </c>
      <c r="Z393" s="19" t="s">
        <v>73</v>
      </c>
      <c r="AA393" s="8" t="s">
        <v>269</v>
      </c>
      <c r="AB393" s="8" t="s">
        <v>75</v>
      </c>
      <c r="AC393" s="11" t="s">
        <v>76</v>
      </c>
      <c r="AD393" s="9" t="s">
        <v>85</v>
      </c>
      <c r="AE393" s="56">
        <f t="shared" si="13"/>
        <v>69.455842514999972</v>
      </c>
      <c r="AF393" s="14">
        <v>69.455842514999972</v>
      </c>
      <c r="AG393" s="13"/>
    </row>
    <row r="394" spans="1:41" x14ac:dyDescent="0.2">
      <c r="A394" s="5" t="s">
        <v>67</v>
      </c>
      <c r="B394" s="25">
        <v>43290</v>
      </c>
      <c r="C394" s="26">
        <v>0.70833333333333304</v>
      </c>
      <c r="D394" s="5" t="s">
        <v>124</v>
      </c>
      <c r="E394" s="5">
        <v>3</v>
      </c>
      <c r="F394" s="32">
        <v>59</v>
      </c>
      <c r="G394" s="9">
        <v>2</v>
      </c>
      <c r="H394" s="6">
        <v>3.3898305084745763E-2</v>
      </c>
      <c r="I394" s="7">
        <v>6.83E-2</v>
      </c>
      <c r="J394" s="9">
        <v>314.15899999999999</v>
      </c>
      <c r="K394" s="9">
        <v>0.75129999999999997</v>
      </c>
      <c r="L394" s="9">
        <v>11</v>
      </c>
      <c r="M394" s="14">
        <v>209.07693331558633</v>
      </c>
      <c r="N394" s="9">
        <v>1902</v>
      </c>
      <c r="O394" s="12" t="s">
        <v>272</v>
      </c>
      <c r="P394" s="12" t="s">
        <v>82</v>
      </c>
      <c r="Q394" s="9" t="s">
        <v>133</v>
      </c>
      <c r="R394" s="9" t="s">
        <v>273</v>
      </c>
      <c r="S394" s="9"/>
      <c r="T394" s="18">
        <v>3</v>
      </c>
      <c r="U394" s="18">
        <v>49</v>
      </c>
      <c r="V394" s="9">
        <v>5.6</v>
      </c>
      <c r="Y394" s="9">
        <f t="shared" si="12"/>
        <v>627.23079994675891</v>
      </c>
      <c r="Z394" s="19" t="s">
        <v>134</v>
      </c>
      <c r="AA394" s="8" t="s">
        <v>269</v>
      </c>
      <c r="AB394" s="8" t="s">
        <v>75</v>
      </c>
      <c r="AC394" s="11" t="s">
        <v>76</v>
      </c>
      <c r="AD394" s="9" t="s">
        <v>104</v>
      </c>
      <c r="AE394" s="56">
        <f t="shared" si="13"/>
        <v>60.211713939999996</v>
      </c>
      <c r="AF394" s="14">
        <v>60.211713939999996</v>
      </c>
      <c r="AG394" s="13"/>
    </row>
    <row r="395" spans="1:41" x14ac:dyDescent="0.2">
      <c r="A395" s="5" t="s">
        <v>67</v>
      </c>
      <c r="B395" s="25">
        <v>43290</v>
      </c>
      <c r="C395" s="26">
        <v>0.70833333333333304</v>
      </c>
      <c r="D395" s="5" t="s">
        <v>124</v>
      </c>
      <c r="E395" s="5">
        <v>3</v>
      </c>
      <c r="F395" s="32">
        <v>59</v>
      </c>
      <c r="G395" s="9">
        <v>2</v>
      </c>
      <c r="H395" s="6">
        <v>3.3898305084745763E-2</v>
      </c>
      <c r="I395" s="7">
        <v>6.83E-2</v>
      </c>
      <c r="J395" s="9">
        <v>314.15899999999999</v>
      </c>
      <c r="K395" s="9">
        <v>0.75129999999999997</v>
      </c>
      <c r="L395" s="9">
        <v>11</v>
      </c>
      <c r="M395" s="14">
        <v>209.07693331558633</v>
      </c>
      <c r="N395" s="9">
        <v>1508</v>
      </c>
      <c r="O395" s="12" t="s">
        <v>132</v>
      </c>
      <c r="P395" s="12" t="s">
        <v>82</v>
      </c>
      <c r="Q395" s="9" t="s">
        <v>133</v>
      </c>
      <c r="R395" s="9" t="s">
        <v>84</v>
      </c>
      <c r="S395" s="9"/>
      <c r="T395" s="18">
        <v>1</v>
      </c>
      <c r="U395" s="18">
        <v>46</v>
      </c>
      <c r="V395" s="9">
        <v>1.9</v>
      </c>
      <c r="Y395" s="9">
        <f t="shared" si="12"/>
        <v>209.07693331558633</v>
      </c>
      <c r="Z395" s="19" t="s">
        <v>134</v>
      </c>
      <c r="AA395" s="8" t="s">
        <v>269</v>
      </c>
      <c r="AB395" s="8" t="s">
        <v>75</v>
      </c>
      <c r="AC395" s="11" t="s">
        <v>76</v>
      </c>
      <c r="AD395" s="9" t="s">
        <v>104</v>
      </c>
      <c r="AE395" s="56">
        <f t="shared" si="13"/>
        <v>5.3870414524999992</v>
      </c>
      <c r="AF395" s="14">
        <v>5.3870414524999992</v>
      </c>
      <c r="AG395" s="13"/>
    </row>
    <row r="396" spans="1:41" x14ac:dyDescent="0.2">
      <c r="A396" s="5" t="s">
        <v>67</v>
      </c>
      <c r="B396" s="25">
        <v>43290</v>
      </c>
      <c r="C396" s="26">
        <v>0.70833333333333304</v>
      </c>
      <c r="D396" s="5" t="s">
        <v>124</v>
      </c>
      <c r="E396" s="5">
        <v>3</v>
      </c>
      <c r="F396" s="32">
        <v>59</v>
      </c>
      <c r="G396" s="9">
        <v>2</v>
      </c>
      <c r="H396" s="6">
        <v>3.3898305084745763E-2</v>
      </c>
      <c r="I396" s="7">
        <v>6.83E-2</v>
      </c>
      <c r="J396" s="9">
        <v>314.15899999999999</v>
      </c>
      <c r="K396" s="9">
        <v>0.75129999999999997</v>
      </c>
      <c r="L396" s="9">
        <v>11</v>
      </c>
      <c r="M396" s="14">
        <v>209.07693331558633</v>
      </c>
      <c r="N396" s="9">
        <v>1526</v>
      </c>
      <c r="O396" s="8" t="s">
        <v>156</v>
      </c>
      <c r="P396" s="12" t="s">
        <v>82</v>
      </c>
      <c r="Q396" s="9" t="s">
        <v>157</v>
      </c>
      <c r="R396" s="9" t="s">
        <v>84</v>
      </c>
      <c r="S396" s="9"/>
      <c r="T396" s="18">
        <v>1</v>
      </c>
      <c r="U396" s="18">
        <v>1</v>
      </c>
      <c r="V396" s="9">
        <v>5.6</v>
      </c>
      <c r="Y396" s="9">
        <f t="shared" si="12"/>
        <v>209.07693331558633</v>
      </c>
      <c r="Z396" s="19" t="s">
        <v>73</v>
      </c>
      <c r="AA396" s="8" t="s">
        <v>269</v>
      </c>
      <c r="AB396" s="8" t="s">
        <v>75</v>
      </c>
      <c r="AC396" s="11" t="s">
        <v>76</v>
      </c>
      <c r="AD396" s="9" t="s">
        <v>85</v>
      </c>
      <c r="AE396" s="56">
        <f t="shared" si="13"/>
        <v>91.952244906666635</v>
      </c>
      <c r="AF396" s="14">
        <v>91.952244906666635</v>
      </c>
      <c r="AG396" s="13"/>
    </row>
    <row r="397" spans="1:41" x14ac:dyDescent="0.2">
      <c r="A397" s="5" t="s">
        <v>67</v>
      </c>
      <c r="B397" s="25">
        <v>43290</v>
      </c>
      <c r="C397" s="26">
        <v>0.73611111111111105</v>
      </c>
      <c r="D397" s="5" t="s">
        <v>200</v>
      </c>
      <c r="E397" s="5">
        <v>3</v>
      </c>
      <c r="F397" s="32">
        <v>64</v>
      </c>
      <c r="G397" s="9">
        <v>2</v>
      </c>
      <c r="H397" s="6">
        <v>3.125E-2</v>
      </c>
      <c r="I397" s="7">
        <v>6.83E-2</v>
      </c>
      <c r="J397" s="9">
        <v>314.15899999999999</v>
      </c>
      <c r="K397" s="9">
        <v>0.75129999999999997</v>
      </c>
      <c r="L397" s="9">
        <v>11</v>
      </c>
      <c r="M397" s="14">
        <v>209.07693331558633</v>
      </c>
      <c r="N397" s="9">
        <v>190</v>
      </c>
      <c r="O397" s="12" t="s">
        <v>102</v>
      </c>
      <c r="P397" s="8" t="s">
        <v>70</v>
      </c>
      <c r="Q397" s="9" t="s">
        <v>103</v>
      </c>
      <c r="R397" s="9" t="s">
        <v>84</v>
      </c>
      <c r="S397" s="9"/>
      <c r="T397" s="18">
        <v>1</v>
      </c>
      <c r="U397" s="18">
        <v>1</v>
      </c>
      <c r="V397" s="9">
        <v>6.5</v>
      </c>
      <c r="Y397" s="9">
        <f t="shared" si="12"/>
        <v>209.07693331558633</v>
      </c>
      <c r="Z397" s="19" t="s">
        <v>73</v>
      </c>
      <c r="AA397" s="8" t="s">
        <v>290</v>
      </c>
      <c r="AB397" s="8" t="s">
        <v>75</v>
      </c>
      <c r="AC397" s="11" t="s">
        <v>281</v>
      </c>
      <c r="AD397" s="9" t="s">
        <v>104</v>
      </c>
      <c r="AE397" s="56">
        <f t="shared" si="13"/>
        <v>152.64200412499997</v>
      </c>
      <c r="AF397" s="14">
        <v>152.64200412499997</v>
      </c>
      <c r="AG397" s="13"/>
    </row>
    <row r="398" spans="1:41" x14ac:dyDescent="0.2">
      <c r="A398" s="5" t="s">
        <v>67</v>
      </c>
      <c r="B398" s="25">
        <v>43290</v>
      </c>
      <c r="C398" s="26">
        <v>0.73611111111111105</v>
      </c>
      <c r="D398" s="5" t="s">
        <v>200</v>
      </c>
      <c r="E398" s="5">
        <v>3</v>
      </c>
      <c r="F398" s="32">
        <v>64</v>
      </c>
      <c r="G398" s="9">
        <v>2</v>
      </c>
      <c r="H398" s="6">
        <v>3.125E-2</v>
      </c>
      <c r="I398" s="7">
        <v>6.83E-2</v>
      </c>
      <c r="J398" s="9">
        <v>314.15899999999999</v>
      </c>
      <c r="K398" s="9">
        <v>0.75129999999999997</v>
      </c>
      <c r="L398" s="9">
        <v>11</v>
      </c>
      <c r="M398" s="14">
        <v>209.07693331558633</v>
      </c>
      <c r="N398" s="9">
        <v>310</v>
      </c>
      <c r="O398" s="12" t="s">
        <v>291</v>
      </c>
      <c r="P398" s="8" t="s">
        <v>70</v>
      </c>
      <c r="Q398" s="9" t="s">
        <v>292</v>
      </c>
      <c r="R398" s="9" t="s">
        <v>84</v>
      </c>
      <c r="S398" s="9"/>
      <c r="T398" s="18">
        <v>1</v>
      </c>
      <c r="U398" s="18">
        <v>1</v>
      </c>
      <c r="V398" s="9">
        <v>25.9</v>
      </c>
      <c r="Y398" s="9">
        <f t="shared" si="12"/>
        <v>209.07693331558633</v>
      </c>
      <c r="Z398" s="19" t="s">
        <v>73</v>
      </c>
      <c r="AA398" s="8" t="s">
        <v>290</v>
      </c>
      <c r="AB398" s="8" t="s">
        <v>75</v>
      </c>
      <c r="AC398" s="11" t="s">
        <v>281</v>
      </c>
      <c r="AD398" s="9" t="s">
        <v>293</v>
      </c>
      <c r="AE398" s="56">
        <f t="shared" si="13"/>
        <v>178.90347220580148</v>
      </c>
      <c r="AF398" s="14">
        <v>178.90347220580148</v>
      </c>
      <c r="AG398" s="13"/>
    </row>
    <row r="399" spans="1:41" x14ac:dyDescent="0.2">
      <c r="A399" s="5" t="s">
        <v>67</v>
      </c>
      <c r="B399" s="25">
        <v>43290</v>
      </c>
      <c r="C399" s="26">
        <v>0.73611111111111105</v>
      </c>
      <c r="D399" s="5" t="s">
        <v>200</v>
      </c>
      <c r="E399" s="5">
        <v>3</v>
      </c>
      <c r="F399" s="32">
        <v>64</v>
      </c>
      <c r="G399" s="9">
        <v>2</v>
      </c>
      <c r="H399" s="6">
        <v>3.125E-2</v>
      </c>
      <c r="I399" s="7">
        <v>6.83E-2</v>
      </c>
      <c r="J399" s="9">
        <v>314.15899999999999</v>
      </c>
      <c r="K399" s="9">
        <v>0.75129999999999997</v>
      </c>
      <c r="L399" s="9">
        <v>11</v>
      </c>
      <c r="M399" s="14">
        <v>209.07693331558633</v>
      </c>
      <c r="N399" s="9">
        <v>749</v>
      </c>
      <c r="O399" s="12" t="s">
        <v>190</v>
      </c>
      <c r="P399" s="8" t="s">
        <v>70</v>
      </c>
      <c r="Q399" s="9" t="s">
        <v>191</v>
      </c>
      <c r="R399" s="9" t="s">
        <v>84</v>
      </c>
      <c r="S399" s="9"/>
      <c r="T399" s="18">
        <v>1</v>
      </c>
      <c r="U399" s="18">
        <v>1</v>
      </c>
      <c r="V399" s="9">
        <v>13</v>
      </c>
      <c r="Y399" s="9">
        <f t="shared" si="12"/>
        <v>209.07693331558633</v>
      </c>
      <c r="Z399" s="19" t="s">
        <v>73</v>
      </c>
      <c r="AA399" s="8" t="s">
        <v>290</v>
      </c>
      <c r="AB399" s="8" t="s">
        <v>75</v>
      </c>
      <c r="AC399" s="11" t="s">
        <v>281</v>
      </c>
      <c r="AD399" s="9" t="s">
        <v>193</v>
      </c>
      <c r="AE399" s="56">
        <f t="shared" si="13"/>
        <v>88.985000000000014</v>
      </c>
      <c r="AF399" s="14">
        <v>88.985000000000014</v>
      </c>
      <c r="AG399" s="13"/>
    </row>
    <row r="400" spans="1:41" x14ac:dyDescent="0.2">
      <c r="A400" s="5" t="s">
        <v>67</v>
      </c>
      <c r="B400" s="25">
        <v>43290</v>
      </c>
      <c r="C400" s="26">
        <v>0.73611111111111105</v>
      </c>
      <c r="D400" s="5" t="s">
        <v>200</v>
      </c>
      <c r="E400" s="5">
        <v>3</v>
      </c>
      <c r="F400" s="32">
        <v>64</v>
      </c>
      <c r="G400" s="9">
        <v>2</v>
      </c>
      <c r="H400" s="6">
        <v>3.125E-2</v>
      </c>
      <c r="I400" s="7">
        <v>6.83E-2</v>
      </c>
      <c r="J400" s="9">
        <v>314.15899999999999</v>
      </c>
      <c r="K400" s="9">
        <v>0.75129999999999997</v>
      </c>
      <c r="L400" s="9">
        <v>11</v>
      </c>
      <c r="M400" s="14">
        <v>209.07693331558633</v>
      </c>
      <c r="N400" s="9">
        <v>1037</v>
      </c>
      <c r="O400" s="12" t="s">
        <v>86</v>
      </c>
      <c r="P400" s="12" t="s">
        <v>82</v>
      </c>
      <c r="Q400" s="9" t="s">
        <v>87</v>
      </c>
      <c r="R400" s="9" t="s">
        <v>84</v>
      </c>
      <c r="S400" s="9"/>
      <c r="T400" s="18">
        <v>40</v>
      </c>
      <c r="U400" s="18">
        <v>40</v>
      </c>
      <c r="V400" s="9">
        <v>3.7</v>
      </c>
      <c r="Y400" s="9">
        <f t="shared" si="12"/>
        <v>8363.0773326234539</v>
      </c>
      <c r="Z400" s="19" t="s">
        <v>73</v>
      </c>
      <c r="AA400" s="8" t="s">
        <v>290</v>
      </c>
      <c r="AB400" s="8" t="s">
        <v>75</v>
      </c>
      <c r="AC400" s="11" t="s">
        <v>281</v>
      </c>
      <c r="AD400" s="9" t="s">
        <v>85</v>
      </c>
      <c r="AE400" s="56">
        <f t="shared" si="13"/>
        <v>14.137154999999998</v>
      </c>
      <c r="AF400" s="14">
        <v>14.137154999999998</v>
      </c>
      <c r="AG400" s="13"/>
    </row>
    <row r="401" spans="1:41" x14ac:dyDescent="0.2">
      <c r="A401" s="5" t="s">
        <v>67</v>
      </c>
      <c r="B401" s="25">
        <v>43290</v>
      </c>
      <c r="C401" s="26">
        <v>0.73611111111111105</v>
      </c>
      <c r="D401" s="5" t="s">
        <v>200</v>
      </c>
      <c r="E401" s="5">
        <v>3</v>
      </c>
      <c r="F401" s="32">
        <v>64</v>
      </c>
      <c r="G401" s="9">
        <v>2</v>
      </c>
      <c r="H401" s="6">
        <v>3.125E-2</v>
      </c>
      <c r="I401" s="7">
        <v>6.83E-2</v>
      </c>
      <c r="J401" s="9">
        <v>314.15899999999999</v>
      </c>
      <c r="K401" s="9">
        <v>0.75129999999999997</v>
      </c>
      <c r="L401" s="9">
        <v>11</v>
      </c>
      <c r="M401" s="14">
        <v>209.07693331558633</v>
      </c>
      <c r="N401" s="9">
        <v>1806</v>
      </c>
      <c r="O401" s="12" t="s">
        <v>206</v>
      </c>
      <c r="P401" s="12" t="s">
        <v>82</v>
      </c>
      <c r="Q401" s="9" t="s">
        <v>207</v>
      </c>
      <c r="R401" s="9" t="s">
        <v>84</v>
      </c>
      <c r="S401" s="9"/>
      <c r="T401" s="18">
        <v>4</v>
      </c>
      <c r="U401" s="18">
        <v>4</v>
      </c>
      <c r="V401" s="9">
        <v>3.7</v>
      </c>
      <c r="Y401" s="9">
        <f t="shared" si="12"/>
        <v>836.30773326234532</v>
      </c>
      <c r="Z401" s="19" t="s">
        <v>73</v>
      </c>
      <c r="AA401" s="8" t="s">
        <v>290</v>
      </c>
      <c r="AB401" s="8" t="s">
        <v>75</v>
      </c>
      <c r="AC401" s="11" t="s">
        <v>281</v>
      </c>
      <c r="AD401" s="9" t="s">
        <v>120</v>
      </c>
      <c r="AE401" s="56">
        <f t="shared" si="13"/>
        <v>21.097347644999996</v>
      </c>
      <c r="AF401" s="14">
        <v>21.097347644999996</v>
      </c>
      <c r="AG401" s="13"/>
    </row>
    <row r="402" spans="1:41" x14ac:dyDescent="0.2">
      <c r="A402" s="5" t="s">
        <v>67</v>
      </c>
      <c r="B402" s="25">
        <v>43290</v>
      </c>
      <c r="C402" s="26">
        <v>0.73611111111111105</v>
      </c>
      <c r="D402" s="5" t="s">
        <v>200</v>
      </c>
      <c r="E402" s="5">
        <v>3</v>
      </c>
      <c r="F402" s="32">
        <v>64</v>
      </c>
      <c r="G402" s="9">
        <v>2</v>
      </c>
      <c r="H402" s="6">
        <v>3.125E-2</v>
      </c>
      <c r="I402" s="7">
        <v>6.83E-2</v>
      </c>
      <c r="J402" s="9">
        <v>314.15899999999999</v>
      </c>
      <c r="K402" s="9">
        <v>0.75129999999999997</v>
      </c>
      <c r="L402" s="9">
        <v>11</v>
      </c>
      <c r="M402" s="14">
        <v>209.07693331558633</v>
      </c>
      <c r="N402" s="9">
        <v>1352</v>
      </c>
      <c r="O402" s="12" t="s">
        <v>118</v>
      </c>
      <c r="P402" s="12" t="s">
        <v>82</v>
      </c>
      <c r="Q402" s="9" t="s">
        <v>119</v>
      </c>
      <c r="R402" s="9" t="s">
        <v>84</v>
      </c>
      <c r="S402" s="9"/>
      <c r="T402" s="18">
        <v>3</v>
      </c>
      <c r="U402" s="18">
        <v>3</v>
      </c>
      <c r="V402" s="9">
        <v>16.7</v>
      </c>
      <c r="Y402" s="9">
        <f t="shared" si="12"/>
        <v>627.23079994675891</v>
      </c>
      <c r="Z402" s="19" t="s">
        <v>73</v>
      </c>
      <c r="AA402" s="8" t="s">
        <v>290</v>
      </c>
      <c r="AB402" s="8" t="s">
        <v>75</v>
      </c>
      <c r="AC402" s="11" t="s">
        <v>281</v>
      </c>
      <c r="AD402" s="9" t="s">
        <v>120</v>
      </c>
      <c r="AE402" s="56">
        <f t="shared" si="13"/>
        <v>614.28294667499995</v>
      </c>
      <c r="AF402" s="14">
        <v>614.28294667499995</v>
      </c>
      <c r="AG402" s="13"/>
    </row>
    <row r="403" spans="1:41" x14ac:dyDescent="0.2">
      <c r="A403" s="5" t="s">
        <v>67</v>
      </c>
      <c r="B403" s="25">
        <v>43290</v>
      </c>
      <c r="C403" s="26">
        <v>0.73611111111111105</v>
      </c>
      <c r="D403" s="5" t="s">
        <v>200</v>
      </c>
      <c r="E403" s="5">
        <v>3</v>
      </c>
      <c r="F403" s="32">
        <v>64</v>
      </c>
      <c r="G403" s="9">
        <v>2</v>
      </c>
      <c r="H403" s="6">
        <v>3.125E-2</v>
      </c>
      <c r="I403" s="7">
        <v>6.83E-2</v>
      </c>
      <c r="J403" s="9">
        <v>314.15899999999999</v>
      </c>
      <c r="K403" s="9">
        <v>0.75129999999999997</v>
      </c>
      <c r="L403" s="9">
        <v>11</v>
      </c>
      <c r="M403" s="14">
        <v>209.07693331558633</v>
      </c>
      <c r="N403" s="9">
        <v>1364</v>
      </c>
      <c r="O403" s="12" t="s">
        <v>88</v>
      </c>
      <c r="P403" s="12" t="s">
        <v>82</v>
      </c>
      <c r="Q403" s="9" t="s">
        <v>89</v>
      </c>
      <c r="R403" s="9" t="s">
        <v>90</v>
      </c>
      <c r="S403" s="9"/>
      <c r="T403" s="18">
        <v>1</v>
      </c>
      <c r="U403" s="18">
        <v>1</v>
      </c>
      <c r="V403" s="9">
        <v>11.1</v>
      </c>
      <c r="Y403" s="9">
        <f t="shared" si="12"/>
        <v>209.07693331558633</v>
      </c>
      <c r="Z403" s="19" t="s">
        <v>73</v>
      </c>
      <c r="AA403" s="8" t="s">
        <v>290</v>
      </c>
      <c r="AB403" s="8" t="s">
        <v>75</v>
      </c>
      <c r="AC403" s="11" t="s">
        <v>281</v>
      </c>
      <c r="AD403" s="9" t="s">
        <v>91</v>
      </c>
      <c r="AE403" s="56">
        <f t="shared" si="13"/>
        <v>538.67979792749986</v>
      </c>
      <c r="AF403" s="14">
        <v>538.67979792749986</v>
      </c>
      <c r="AG403" s="13"/>
    </row>
    <row r="404" spans="1:41" x14ac:dyDescent="0.2">
      <c r="A404" s="5" t="s">
        <v>67</v>
      </c>
      <c r="B404" s="25">
        <v>43290</v>
      </c>
      <c r="C404" s="26">
        <v>0.73611111111111105</v>
      </c>
      <c r="D404" s="5" t="s">
        <v>200</v>
      </c>
      <c r="E404" s="5">
        <v>3</v>
      </c>
      <c r="F404" s="32">
        <v>64</v>
      </c>
      <c r="G404" s="9">
        <v>2</v>
      </c>
      <c r="H404" s="6">
        <v>3.125E-2</v>
      </c>
      <c r="I404" s="7">
        <v>6.83E-2</v>
      </c>
      <c r="J404" s="9">
        <v>314.15899999999999</v>
      </c>
      <c r="K404" s="9">
        <v>0.75129999999999997</v>
      </c>
      <c r="L404" s="9">
        <v>11</v>
      </c>
      <c r="M404" s="14">
        <v>209.07693331558633</v>
      </c>
      <c r="N404" s="9">
        <v>1419</v>
      </c>
      <c r="O404" s="12" t="s">
        <v>94</v>
      </c>
      <c r="P404" s="12" t="s">
        <v>82</v>
      </c>
      <c r="Q404" s="9" t="s">
        <v>95</v>
      </c>
      <c r="R404" s="9" t="s">
        <v>96</v>
      </c>
      <c r="S404" s="9"/>
      <c r="T404" s="18">
        <v>347</v>
      </c>
      <c r="U404" s="18">
        <v>704</v>
      </c>
      <c r="V404" s="9">
        <v>0.8</v>
      </c>
      <c r="W404" s="9">
        <v>0.8</v>
      </c>
      <c r="X404" s="9">
        <v>0.8</v>
      </c>
      <c r="Y404" s="9">
        <f t="shared" si="12"/>
        <v>72549.695860508451</v>
      </c>
      <c r="Z404" s="19" t="s">
        <v>97</v>
      </c>
      <c r="AA404" s="8" t="s">
        <v>290</v>
      </c>
      <c r="AB404" s="8" t="s">
        <v>75</v>
      </c>
      <c r="AC404" s="11" t="s">
        <v>281</v>
      </c>
      <c r="AD404" s="9" t="s">
        <v>85</v>
      </c>
      <c r="AE404" s="56">
        <f t="shared" si="13"/>
        <v>0.17999999999999997</v>
      </c>
      <c r="AF404" s="14">
        <v>0.18</v>
      </c>
      <c r="AG404" s="14">
        <v>0.18</v>
      </c>
      <c r="AH404" s="14">
        <v>0.18</v>
      </c>
      <c r="AI404" s="14">
        <v>0.18</v>
      </c>
      <c r="AJ404" s="14">
        <v>0.18</v>
      </c>
      <c r="AK404" s="14">
        <v>0.18</v>
      </c>
      <c r="AL404" s="14">
        <v>0.18</v>
      </c>
      <c r="AM404" s="14">
        <v>0.18</v>
      </c>
      <c r="AN404" s="14">
        <v>0.18</v>
      </c>
      <c r="AO404" s="14">
        <v>0.18</v>
      </c>
    </row>
    <row r="405" spans="1:41" x14ac:dyDescent="0.2">
      <c r="A405" s="5" t="s">
        <v>67</v>
      </c>
      <c r="B405" s="25">
        <v>43290</v>
      </c>
      <c r="C405" s="26">
        <v>0.73611111111111105</v>
      </c>
      <c r="D405" s="5" t="s">
        <v>200</v>
      </c>
      <c r="E405" s="5">
        <v>3</v>
      </c>
      <c r="F405" s="32">
        <v>64</v>
      </c>
      <c r="G405" s="9">
        <v>2</v>
      </c>
      <c r="H405" s="6">
        <v>3.125E-2</v>
      </c>
      <c r="I405" s="7">
        <v>6.83E-2</v>
      </c>
      <c r="J405" s="9">
        <v>314.15899999999999</v>
      </c>
      <c r="K405" s="9">
        <v>0.75129999999999997</v>
      </c>
      <c r="L405" s="9">
        <v>11</v>
      </c>
      <c r="M405" s="14">
        <v>209.07693331558633</v>
      </c>
      <c r="N405" s="9">
        <v>1420</v>
      </c>
      <c r="O405" s="12" t="s">
        <v>98</v>
      </c>
      <c r="P405" s="12" t="s">
        <v>82</v>
      </c>
      <c r="Q405" s="9" t="s">
        <v>95</v>
      </c>
      <c r="R405" s="9" t="s">
        <v>99</v>
      </c>
      <c r="S405" s="9"/>
      <c r="T405" s="18">
        <v>1</v>
      </c>
      <c r="U405" s="18">
        <v>2</v>
      </c>
      <c r="V405" s="9">
        <v>1.9</v>
      </c>
      <c r="Y405" s="9">
        <f t="shared" si="12"/>
        <v>209.07693331558633</v>
      </c>
      <c r="Z405" s="19" t="s">
        <v>97</v>
      </c>
      <c r="AA405" s="8" t="s">
        <v>290</v>
      </c>
      <c r="AB405" s="8" t="s">
        <v>75</v>
      </c>
      <c r="AC405" s="11" t="s">
        <v>281</v>
      </c>
      <c r="AD405" s="9" t="s">
        <v>85</v>
      </c>
      <c r="AE405" s="56">
        <f t="shared" si="13"/>
        <v>3.5913609683333325</v>
      </c>
      <c r="AF405" s="14">
        <v>3.5913609683333325</v>
      </c>
      <c r="AG405" s="13"/>
    </row>
    <row r="406" spans="1:41" x14ac:dyDescent="0.2">
      <c r="A406" s="5" t="s">
        <v>67</v>
      </c>
      <c r="B406" s="25">
        <v>43290</v>
      </c>
      <c r="C406" s="26">
        <v>0.73611111111111105</v>
      </c>
      <c r="D406" s="5" t="s">
        <v>200</v>
      </c>
      <c r="E406" s="5">
        <v>3</v>
      </c>
      <c r="F406" s="32">
        <v>64</v>
      </c>
      <c r="G406" s="9">
        <v>2</v>
      </c>
      <c r="H406" s="6">
        <v>3.125E-2</v>
      </c>
      <c r="I406" s="7">
        <v>6.83E-2</v>
      </c>
      <c r="J406" s="9">
        <v>314.15899999999999</v>
      </c>
      <c r="K406" s="9">
        <v>0.75129999999999997</v>
      </c>
      <c r="L406" s="9">
        <v>11</v>
      </c>
      <c r="M406" s="14">
        <v>209.07693331558633</v>
      </c>
      <c r="N406" s="9">
        <v>1421</v>
      </c>
      <c r="O406" s="12" t="s">
        <v>130</v>
      </c>
      <c r="P406" s="12" t="s">
        <v>82</v>
      </c>
      <c r="Q406" s="9" t="s">
        <v>95</v>
      </c>
      <c r="R406" s="9" t="s">
        <v>131</v>
      </c>
      <c r="S406" s="9"/>
      <c r="T406" s="18">
        <v>26</v>
      </c>
      <c r="U406" s="18">
        <v>30</v>
      </c>
      <c r="V406" s="9">
        <v>5.6</v>
      </c>
      <c r="Y406" s="9">
        <f t="shared" si="12"/>
        <v>5436.0002662052448</v>
      </c>
      <c r="Z406" s="19" t="s">
        <v>97</v>
      </c>
      <c r="AA406" s="8" t="s">
        <v>290</v>
      </c>
      <c r="AB406" s="8" t="s">
        <v>75</v>
      </c>
      <c r="AC406" s="11" t="s">
        <v>281</v>
      </c>
      <c r="AD406" s="9" t="s">
        <v>85</v>
      </c>
      <c r="AE406" s="56">
        <f t="shared" si="13"/>
        <v>44.60220042666667</v>
      </c>
      <c r="AF406" s="14">
        <v>44.60220042666667</v>
      </c>
      <c r="AG406" s="13"/>
    </row>
    <row r="407" spans="1:41" x14ac:dyDescent="0.2">
      <c r="A407" s="5" t="s">
        <v>67</v>
      </c>
      <c r="B407" s="25">
        <v>43290</v>
      </c>
      <c r="C407" s="26">
        <v>0.73611111111111105</v>
      </c>
      <c r="D407" s="5" t="s">
        <v>200</v>
      </c>
      <c r="E407" s="5">
        <v>3</v>
      </c>
      <c r="F407" s="32">
        <v>64</v>
      </c>
      <c r="G407" s="9">
        <v>2</v>
      </c>
      <c r="H407" s="6">
        <v>3.125E-2</v>
      </c>
      <c r="I407" s="7">
        <v>6.83E-2</v>
      </c>
      <c r="J407" s="9">
        <v>314.15899999999999</v>
      </c>
      <c r="K407" s="9">
        <v>0.75129999999999997</v>
      </c>
      <c r="L407" s="9">
        <v>11</v>
      </c>
      <c r="M407" s="14">
        <v>209.07693331558633</v>
      </c>
      <c r="N407" s="9">
        <v>1526</v>
      </c>
      <c r="O407" s="8" t="s">
        <v>294</v>
      </c>
      <c r="P407" s="12" t="s">
        <v>82</v>
      </c>
      <c r="Q407" s="9" t="s">
        <v>157</v>
      </c>
      <c r="R407" s="9" t="s">
        <v>84</v>
      </c>
      <c r="S407" s="9"/>
      <c r="T407" s="18">
        <v>1</v>
      </c>
      <c r="U407" s="18">
        <v>1</v>
      </c>
      <c r="V407" s="9">
        <v>5.6</v>
      </c>
      <c r="Y407" s="9">
        <f t="shared" si="12"/>
        <v>209.07693331558633</v>
      </c>
      <c r="Z407" s="19" t="s">
        <v>73</v>
      </c>
      <c r="AA407" s="8" t="s">
        <v>290</v>
      </c>
      <c r="AB407" s="8" t="s">
        <v>75</v>
      </c>
      <c r="AC407" s="11" t="s">
        <v>281</v>
      </c>
      <c r="AD407" s="9" t="s">
        <v>85</v>
      </c>
      <c r="AE407" s="56">
        <f t="shared" si="13"/>
        <v>91.952244906666635</v>
      </c>
      <c r="AF407" s="14">
        <v>91.952244906666635</v>
      </c>
      <c r="AG407" s="13"/>
    </row>
    <row r="408" spans="1:41" x14ac:dyDescent="0.2">
      <c r="A408" s="49" t="s">
        <v>67</v>
      </c>
      <c r="B408" s="50">
        <v>43290</v>
      </c>
      <c r="C408" s="51">
        <v>0.75</v>
      </c>
      <c r="D408" s="49" t="s">
        <v>135</v>
      </c>
      <c r="E408" s="49"/>
      <c r="F408" s="52">
        <v>62.5</v>
      </c>
      <c r="G408" s="53">
        <v>2</v>
      </c>
      <c r="H408" s="54">
        <v>3.2000000000000001E-2</v>
      </c>
      <c r="I408" s="55">
        <v>6.83E-2</v>
      </c>
      <c r="J408" s="53">
        <v>314.15899999999999</v>
      </c>
      <c r="K408" s="53">
        <v>0.68300000000000005</v>
      </c>
      <c r="L408" s="53">
        <v>10</v>
      </c>
      <c r="M408" s="56">
        <v>229.98462664714492</v>
      </c>
      <c r="N408" s="53">
        <v>190</v>
      </c>
      <c r="O408" s="57" t="s">
        <v>296</v>
      </c>
      <c r="P408" s="58" t="s">
        <v>70</v>
      </c>
      <c r="Q408" s="53" t="s">
        <v>103</v>
      </c>
      <c r="R408" s="53" t="s">
        <v>84</v>
      </c>
      <c r="S408" s="53"/>
      <c r="T408" s="59">
        <v>1</v>
      </c>
      <c r="U408" s="59">
        <v>1</v>
      </c>
      <c r="V408" s="53">
        <v>5.6</v>
      </c>
      <c r="W408" s="53"/>
      <c r="X408" s="53"/>
      <c r="Y408" s="9">
        <f t="shared" si="12"/>
        <v>229.98462664714492</v>
      </c>
      <c r="Z408" s="60" t="s">
        <v>73</v>
      </c>
      <c r="AA408" s="58" t="s">
        <v>297</v>
      </c>
      <c r="AB408" s="58" t="s">
        <v>75</v>
      </c>
      <c r="AC408" s="61" t="s">
        <v>281</v>
      </c>
      <c r="AD408" s="53" t="s">
        <v>104</v>
      </c>
      <c r="AE408" s="56">
        <f t="shared" si="13"/>
        <v>91.131242719999989</v>
      </c>
      <c r="AF408" s="56">
        <v>91.131242719999989</v>
      </c>
      <c r="AG408" s="62"/>
      <c r="AH408" s="63"/>
      <c r="AI408" s="61"/>
      <c r="AJ408" s="58"/>
      <c r="AK408" s="58"/>
      <c r="AL408" s="58"/>
      <c r="AM408" s="58"/>
      <c r="AN408" s="58"/>
      <c r="AO408" s="58"/>
    </row>
    <row r="409" spans="1:41" x14ac:dyDescent="0.2">
      <c r="A409" s="49" t="s">
        <v>67</v>
      </c>
      <c r="B409" s="50">
        <v>43290</v>
      </c>
      <c r="C409" s="51">
        <v>0.75</v>
      </c>
      <c r="D409" s="49" t="s">
        <v>135</v>
      </c>
      <c r="E409" s="49"/>
      <c r="F409" s="52">
        <v>62.5</v>
      </c>
      <c r="G409" s="53">
        <v>2</v>
      </c>
      <c r="H409" s="54">
        <v>3.2000000000000001E-2</v>
      </c>
      <c r="I409" s="55">
        <v>6.83E-2</v>
      </c>
      <c r="J409" s="53">
        <v>314.15899999999999</v>
      </c>
      <c r="K409" s="53">
        <v>0.68300000000000005</v>
      </c>
      <c r="L409" s="53">
        <v>10</v>
      </c>
      <c r="M409" s="56">
        <v>229.98462664714492</v>
      </c>
      <c r="N409" s="53">
        <v>749</v>
      </c>
      <c r="O409" s="57" t="s">
        <v>190</v>
      </c>
      <c r="P409" s="58" t="s">
        <v>70</v>
      </c>
      <c r="Q409" s="53" t="s">
        <v>191</v>
      </c>
      <c r="R409" s="53" t="s">
        <v>84</v>
      </c>
      <c r="S409" s="53"/>
      <c r="T409" s="59">
        <v>1</v>
      </c>
      <c r="U409" s="59">
        <v>1</v>
      </c>
      <c r="V409" s="53">
        <v>18.5</v>
      </c>
      <c r="W409" s="53"/>
      <c r="X409" s="53"/>
      <c r="Y409" s="9">
        <f t="shared" si="12"/>
        <v>229.98462664714492</v>
      </c>
      <c r="Z409" s="60" t="s">
        <v>73</v>
      </c>
      <c r="AA409" s="58" t="s">
        <v>297</v>
      </c>
      <c r="AB409" s="58" t="s">
        <v>75</v>
      </c>
      <c r="AC409" s="61" t="s">
        <v>281</v>
      </c>
      <c r="AD409" s="53" t="s">
        <v>193</v>
      </c>
      <c r="AE409" s="56">
        <f t="shared" si="13"/>
        <v>95.83</v>
      </c>
      <c r="AF409" s="56">
        <v>95.83</v>
      </c>
      <c r="AG409" s="62"/>
      <c r="AH409" s="63"/>
      <c r="AI409" s="61"/>
      <c r="AJ409" s="58"/>
      <c r="AK409" s="58"/>
      <c r="AL409" s="58"/>
      <c r="AM409" s="58"/>
      <c r="AN409" s="58"/>
      <c r="AO409" s="58"/>
    </row>
    <row r="410" spans="1:41" x14ac:dyDescent="0.2">
      <c r="A410" s="49" t="s">
        <v>67</v>
      </c>
      <c r="B410" s="50">
        <v>43290</v>
      </c>
      <c r="C410" s="51">
        <v>0.75</v>
      </c>
      <c r="D410" s="49" t="s">
        <v>135</v>
      </c>
      <c r="E410" s="49"/>
      <c r="F410" s="52">
        <v>62.5</v>
      </c>
      <c r="G410" s="53">
        <v>2</v>
      </c>
      <c r="H410" s="54">
        <v>3.2000000000000001E-2</v>
      </c>
      <c r="I410" s="55">
        <v>6.83E-2</v>
      </c>
      <c r="J410" s="53">
        <v>314.15899999999999</v>
      </c>
      <c r="K410" s="53">
        <v>0.68300000000000005</v>
      </c>
      <c r="L410" s="53">
        <v>10</v>
      </c>
      <c r="M410" s="56">
        <v>229.98462664714492</v>
      </c>
      <c r="N410" s="53">
        <v>1037</v>
      </c>
      <c r="O410" s="57" t="s">
        <v>86</v>
      </c>
      <c r="P410" s="57" t="s">
        <v>82</v>
      </c>
      <c r="Q410" s="53" t="s">
        <v>87</v>
      </c>
      <c r="R410" s="53" t="s">
        <v>84</v>
      </c>
      <c r="S410" s="53"/>
      <c r="T410" s="59">
        <v>20</v>
      </c>
      <c r="U410" s="59">
        <v>20</v>
      </c>
      <c r="V410" s="53">
        <v>3.7</v>
      </c>
      <c r="W410" s="53"/>
      <c r="X410" s="53"/>
      <c r="Y410" s="9">
        <f t="shared" si="12"/>
        <v>4599.6925329428987</v>
      </c>
      <c r="Z410" s="60" t="s">
        <v>73</v>
      </c>
      <c r="AA410" s="58" t="s">
        <v>297</v>
      </c>
      <c r="AB410" s="58" t="s">
        <v>75</v>
      </c>
      <c r="AC410" s="61" t="s">
        <v>281</v>
      </c>
      <c r="AD410" s="53" t="s">
        <v>85</v>
      </c>
      <c r="AE410" s="56">
        <f t="shared" si="13"/>
        <v>9.2027643066666673</v>
      </c>
      <c r="AF410" s="56">
        <v>9.2027643066666673</v>
      </c>
      <c r="AG410" s="62"/>
      <c r="AH410" s="63"/>
      <c r="AI410" s="61"/>
      <c r="AJ410" s="58"/>
      <c r="AK410" s="58"/>
      <c r="AL410" s="58"/>
      <c r="AM410" s="58"/>
      <c r="AN410" s="58"/>
      <c r="AO410" s="58"/>
    </row>
    <row r="411" spans="1:41" x14ac:dyDescent="0.2">
      <c r="A411" s="49" t="s">
        <v>67</v>
      </c>
      <c r="B411" s="50">
        <v>43290</v>
      </c>
      <c r="C411" s="51">
        <v>0.75</v>
      </c>
      <c r="D411" s="49" t="s">
        <v>135</v>
      </c>
      <c r="E411" s="49"/>
      <c r="F411" s="52">
        <v>62.5</v>
      </c>
      <c r="G411" s="53">
        <v>2</v>
      </c>
      <c r="H411" s="54">
        <v>3.2000000000000001E-2</v>
      </c>
      <c r="I411" s="55">
        <v>6.83E-2</v>
      </c>
      <c r="J411" s="53">
        <v>314.15899999999999</v>
      </c>
      <c r="K411" s="53">
        <v>0.68300000000000005</v>
      </c>
      <c r="L411" s="53">
        <v>10</v>
      </c>
      <c r="M411" s="56">
        <v>229.98462664714492</v>
      </c>
      <c r="N411" s="53">
        <v>1119</v>
      </c>
      <c r="O411" s="58" t="s">
        <v>197</v>
      </c>
      <c r="P411" s="57" t="s">
        <v>82</v>
      </c>
      <c r="Q411" s="53" t="s">
        <v>198</v>
      </c>
      <c r="R411" s="53" t="s">
        <v>199</v>
      </c>
      <c r="S411" s="53"/>
      <c r="T411" s="59">
        <v>2</v>
      </c>
      <c r="U411" s="59">
        <v>2</v>
      </c>
      <c r="V411" s="53">
        <v>5.6</v>
      </c>
      <c r="W411" s="53"/>
      <c r="X411" s="53"/>
      <c r="Y411" s="9">
        <f t="shared" si="12"/>
        <v>459.96925329428984</v>
      </c>
      <c r="Z411" s="60" t="s">
        <v>73</v>
      </c>
      <c r="AA411" s="58" t="s">
        <v>297</v>
      </c>
      <c r="AB411" s="58" t="s">
        <v>75</v>
      </c>
      <c r="AC411" s="61" t="s">
        <v>281</v>
      </c>
      <c r="AD411" s="53" t="s">
        <v>150</v>
      </c>
      <c r="AE411" s="56">
        <f t="shared" si="13"/>
        <v>16.743103904999995</v>
      </c>
      <c r="AF411" s="56">
        <v>16.743103904999995</v>
      </c>
      <c r="AG411" s="62"/>
      <c r="AH411" s="63"/>
      <c r="AI411" s="61"/>
      <c r="AJ411" s="58"/>
      <c r="AK411" s="58"/>
      <c r="AL411" s="58"/>
      <c r="AM411" s="58"/>
      <c r="AN411" s="58"/>
      <c r="AO411" s="58"/>
    </row>
    <row r="412" spans="1:41" x14ac:dyDescent="0.2">
      <c r="A412" s="49" t="s">
        <v>67</v>
      </c>
      <c r="B412" s="50">
        <v>43290</v>
      </c>
      <c r="C412" s="51">
        <v>0.75</v>
      </c>
      <c r="D412" s="49" t="s">
        <v>135</v>
      </c>
      <c r="E412" s="49"/>
      <c r="F412" s="52">
        <v>62.5</v>
      </c>
      <c r="G412" s="53">
        <v>2</v>
      </c>
      <c r="H412" s="54">
        <v>3.2000000000000001E-2</v>
      </c>
      <c r="I412" s="55">
        <v>6.83E-2</v>
      </c>
      <c r="J412" s="53">
        <v>314.15899999999999</v>
      </c>
      <c r="K412" s="53">
        <v>0.68300000000000005</v>
      </c>
      <c r="L412" s="53">
        <v>10</v>
      </c>
      <c r="M412" s="56">
        <v>229.98462664714492</v>
      </c>
      <c r="N412" s="53">
        <v>1806</v>
      </c>
      <c r="O412" s="57" t="s">
        <v>206</v>
      </c>
      <c r="P412" s="57" t="s">
        <v>82</v>
      </c>
      <c r="Q412" s="53" t="s">
        <v>207</v>
      </c>
      <c r="R412" s="53" t="s">
        <v>84</v>
      </c>
      <c r="S412" s="53"/>
      <c r="T412" s="59">
        <v>2</v>
      </c>
      <c r="U412" s="59">
        <v>2</v>
      </c>
      <c r="V412" s="53">
        <v>3.7</v>
      </c>
      <c r="W412" s="53"/>
      <c r="X412" s="53"/>
      <c r="Y412" s="9">
        <f t="shared" si="12"/>
        <v>459.96925329428984</v>
      </c>
      <c r="Z412" s="60" t="s">
        <v>73</v>
      </c>
      <c r="AA412" s="58" t="s">
        <v>297</v>
      </c>
      <c r="AB412" s="58" t="s">
        <v>75</v>
      </c>
      <c r="AC412" s="61" t="s">
        <v>281</v>
      </c>
      <c r="AD412" s="53" t="s">
        <v>120</v>
      </c>
      <c r="AE412" s="56">
        <f t="shared" si="13"/>
        <v>15.188540453333331</v>
      </c>
      <c r="AF412" s="56">
        <v>15.188540453333331</v>
      </c>
      <c r="AG412" s="62"/>
      <c r="AH412" s="63"/>
      <c r="AI412" s="61"/>
      <c r="AJ412" s="58"/>
      <c r="AK412" s="58"/>
      <c r="AL412" s="58"/>
      <c r="AM412" s="58"/>
      <c r="AN412" s="58"/>
      <c r="AO412" s="58"/>
    </row>
    <row r="413" spans="1:41" x14ac:dyDescent="0.2">
      <c r="A413" s="49" t="s">
        <v>67</v>
      </c>
      <c r="B413" s="50">
        <v>43290</v>
      </c>
      <c r="C413" s="51">
        <v>0.75</v>
      </c>
      <c r="D413" s="49" t="s">
        <v>135</v>
      </c>
      <c r="E413" s="49"/>
      <c r="F413" s="52">
        <v>62.5</v>
      </c>
      <c r="G413" s="53">
        <v>2</v>
      </c>
      <c r="H413" s="54">
        <v>3.2000000000000001E-2</v>
      </c>
      <c r="I413" s="55">
        <v>6.83E-2</v>
      </c>
      <c r="J413" s="53">
        <v>314.15899999999999</v>
      </c>
      <c r="K413" s="53">
        <v>0.68300000000000005</v>
      </c>
      <c r="L413" s="53">
        <v>10</v>
      </c>
      <c r="M413" s="56">
        <v>229.98462664714492</v>
      </c>
      <c r="N413" s="53">
        <v>1419</v>
      </c>
      <c r="O413" s="57" t="s">
        <v>94</v>
      </c>
      <c r="P413" s="57" t="s">
        <v>82</v>
      </c>
      <c r="Q413" s="53" t="s">
        <v>95</v>
      </c>
      <c r="R413" s="53" t="s">
        <v>96</v>
      </c>
      <c r="S413" s="53"/>
      <c r="T413" s="59">
        <v>398</v>
      </c>
      <c r="U413" s="59">
        <v>800</v>
      </c>
      <c r="V413" s="53">
        <v>0.8</v>
      </c>
      <c r="W413" s="53">
        <v>0.8</v>
      </c>
      <c r="X413" s="53">
        <v>0.8</v>
      </c>
      <c r="Y413" s="9">
        <f t="shared" si="12"/>
        <v>91533.881405563676</v>
      </c>
      <c r="Z413" s="60" t="s">
        <v>97</v>
      </c>
      <c r="AA413" s="58" t="s">
        <v>297</v>
      </c>
      <c r="AB413" s="58" t="s">
        <v>75</v>
      </c>
      <c r="AC413" s="61" t="s">
        <v>281</v>
      </c>
      <c r="AD413" s="53" t="s">
        <v>85</v>
      </c>
      <c r="AE413" s="56">
        <f t="shared" si="13"/>
        <v>0.17999999999999997</v>
      </c>
      <c r="AF413" s="56">
        <v>0.18</v>
      </c>
      <c r="AG413" s="56">
        <v>0.18</v>
      </c>
      <c r="AH413" s="56">
        <v>0.18</v>
      </c>
      <c r="AI413" s="56">
        <v>0.18</v>
      </c>
      <c r="AJ413" s="56">
        <v>0.18</v>
      </c>
      <c r="AK413" s="56">
        <v>0.18</v>
      </c>
      <c r="AL413" s="56">
        <v>0.18</v>
      </c>
      <c r="AM413" s="56">
        <v>0.18</v>
      </c>
      <c r="AN413" s="56">
        <v>0.18</v>
      </c>
      <c r="AO413" s="56">
        <v>0.18</v>
      </c>
    </row>
    <row r="414" spans="1:41" x14ac:dyDescent="0.2">
      <c r="A414" s="49" t="s">
        <v>67</v>
      </c>
      <c r="B414" s="50">
        <v>43290</v>
      </c>
      <c r="C414" s="51">
        <v>0.75</v>
      </c>
      <c r="D414" s="49" t="s">
        <v>135</v>
      </c>
      <c r="E414" s="49"/>
      <c r="F414" s="52">
        <v>62.5</v>
      </c>
      <c r="G414" s="53">
        <v>2</v>
      </c>
      <c r="H414" s="54">
        <v>3.2000000000000001E-2</v>
      </c>
      <c r="I414" s="55">
        <v>6.83E-2</v>
      </c>
      <c r="J414" s="53">
        <v>314.15899999999999</v>
      </c>
      <c r="K414" s="53">
        <v>0.68300000000000005</v>
      </c>
      <c r="L414" s="53">
        <v>10</v>
      </c>
      <c r="M414" s="56">
        <v>229.98462664714492</v>
      </c>
      <c r="N414" s="53">
        <v>1421</v>
      </c>
      <c r="O414" s="57" t="s">
        <v>130</v>
      </c>
      <c r="P414" s="57" t="s">
        <v>82</v>
      </c>
      <c r="Q414" s="53" t="s">
        <v>95</v>
      </c>
      <c r="R414" s="53" t="s">
        <v>131</v>
      </c>
      <c r="S414" s="53"/>
      <c r="T414" s="59">
        <v>13</v>
      </c>
      <c r="U414" s="59">
        <v>16</v>
      </c>
      <c r="V414" s="53">
        <v>5.6</v>
      </c>
      <c r="W414" s="53"/>
      <c r="X414" s="53"/>
      <c r="Y414" s="9">
        <f t="shared" si="12"/>
        <v>2989.8001464128843</v>
      </c>
      <c r="Z414" s="60" t="s">
        <v>97</v>
      </c>
      <c r="AA414" s="58" t="s">
        <v>297</v>
      </c>
      <c r="AB414" s="58" t="s">
        <v>75</v>
      </c>
      <c r="AC414" s="61" t="s">
        <v>281</v>
      </c>
      <c r="AD414" s="53" t="s">
        <v>85</v>
      </c>
      <c r="AE414" s="56">
        <f t="shared" si="13"/>
        <v>91.952244906666635</v>
      </c>
      <c r="AF414" s="56">
        <v>91.952244906666635</v>
      </c>
      <c r="AG414" s="62"/>
      <c r="AH414" s="63"/>
      <c r="AI414" s="61"/>
      <c r="AJ414" s="58"/>
      <c r="AK414" s="58"/>
      <c r="AL414" s="58"/>
      <c r="AM414" s="58"/>
      <c r="AN414" s="58"/>
      <c r="AO414" s="58"/>
    </row>
    <row r="415" spans="1:41" x14ac:dyDescent="0.2">
      <c r="A415" s="49" t="s">
        <v>67</v>
      </c>
      <c r="B415" s="50">
        <v>43290</v>
      </c>
      <c r="C415" s="51">
        <v>0.75</v>
      </c>
      <c r="D415" s="49" t="s">
        <v>135</v>
      </c>
      <c r="E415" s="49"/>
      <c r="F415" s="52">
        <v>62.5</v>
      </c>
      <c r="G415" s="53">
        <v>2</v>
      </c>
      <c r="H415" s="54">
        <v>3.2000000000000001E-2</v>
      </c>
      <c r="I415" s="55">
        <v>6.83E-2</v>
      </c>
      <c r="J415" s="53">
        <v>314.15899999999999</v>
      </c>
      <c r="K415" s="53">
        <v>0.68300000000000005</v>
      </c>
      <c r="L415" s="53">
        <v>10</v>
      </c>
      <c r="M415" s="56">
        <v>229.98462664714492</v>
      </c>
      <c r="N415" s="53">
        <v>1423</v>
      </c>
      <c r="O415" s="57" t="s">
        <v>163</v>
      </c>
      <c r="P415" s="57" t="s">
        <v>82</v>
      </c>
      <c r="Q415" s="53" t="s">
        <v>95</v>
      </c>
      <c r="R415" s="53" t="s">
        <v>84</v>
      </c>
      <c r="S415" s="53"/>
      <c r="T415" s="59">
        <v>1</v>
      </c>
      <c r="U415" s="59">
        <v>4</v>
      </c>
      <c r="V415" s="53">
        <v>2.8</v>
      </c>
      <c r="W415" s="53"/>
      <c r="X415" s="53"/>
      <c r="Y415" s="9">
        <f t="shared" si="12"/>
        <v>229.98462664714492</v>
      </c>
      <c r="Z415" s="60" t="s">
        <v>97</v>
      </c>
      <c r="AA415" s="58" t="s">
        <v>297</v>
      </c>
      <c r="AB415" s="58" t="s">
        <v>75</v>
      </c>
      <c r="AC415" s="61" t="s">
        <v>281</v>
      </c>
      <c r="AD415" s="53" t="s">
        <v>85</v>
      </c>
      <c r="AE415" s="56">
        <f t="shared" si="13"/>
        <v>11.494030613333329</v>
      </c>
      <c r="AF415" s="56">
        <v>11.494030613333329</v>
      </c>
      <c r="AG415" s="62"/>
      <c r="AH415" s="63"/>
      <c r="AI415" s="61"/>
      <c r="AJ415" s="58"/>
      <c r="AK415" s="58"/>
      <c r="AL415" s="58"/>
      <c r="AM415" s="58"/>
      <c r="AN415" s="58"/>
      <c r="AO415" s="58"/>
    </row>
    <row r="416" spans="1:41" x14ac:dyDescent="0.2">
      <c r="A416" s="49" t="s">
        <v>67</v>
      </c>
      <c r="B416" s="50">
        <v>43290</v>
      </c>
      <c r="C416" s="51">
        <v>0.75</v>
      </c>
      <c r="D416" s="49" t="s">
        <v>135</v>
      </c>
      <c r="E416" s="49"/>
      <c r="F416" s="52">
        <v>62.5</v>
      </c>
      <c r="G416" s="53">
        <v>2</v>
      </c>
      <c r="H416" s="54">
        <v>3.2000000000000001E-2</v>
      </c>
      <c r="I416" s="55">
        <v>6.83E-2</v>
      </c>
      <c r="J416" s="53">
        <v>314.15899999999999</v>
      </c>
      <c r="K416" s="53">
        <v>0.68300000000000005</v>
      </c>
      <c r="L416" s="53">
        <v>10</v>
      </c>
      <c r="M416" s="56">
        <v>229.98462664714492</v>
      </c>
      <c r="N416" s="53">
        <v>1902</v>
      </c>
      <c r="O416" s="57" t="s">
        <v>272</v>
      </c>
      <c r="P416" s="57" t="s">
        <v>82</v>
      </c>
      <c r="Q416" s="53" t="s">
        <v>133</v>
      </c>
      <c r="R416" s="53" t="s">
        <v>273</v>
      </c>
      <c r="S416" s="53"/>
      <c r="T416" s="59">
        <v>2</v>
      </c>
      <c r="U416" s="59">
        <v>21</v>
      </c>
      <c r="V416" s="53">
        <v>7.4</v>
      </c>
      <c r="W416" s="53"/>
      <c r="X416" s="53"/>
      <c r="Y416" s="9">
        <f t="shared" si="12"/>
        <v>459.96925329428984</v>
      </c>
      <c r="Z416" s="60" t="s">
        <v>134</v>
      </c>
      <c r="AA416" s="58" t="s">
        <v>297</v>
      </c>
      <c r="AB416" s="58" t="s">
        <v>75</v>
      </c>
      <c r="AC416" s="61" t="s">
        <v>281</v>
      </c>
      <c r="AD416" s="53" t="s">
        <v>104</v>
      </c>
      <c r="AE416" s="56">
        <f t="shared" si="13"/>
        <v>55.910877230000004</v>
      </c>
      <c r="AF416" s="56">
        <v>55.910877230000004</v>
      </c>
      <c r="AG416" s="62"/>
      <c r="AH416" s="63"/>
      <c r="AI416" s="61"/>
      <c r="AJ416" s="58"/>
      <c r="AK416" s="58"/>
      <c r="AL416" s="58"/>
      <c r="AM416" s="58"/>
      <c r="AN416" s="58"/>
      <c r="AO416" s="58"/>
    </row>
    <row r="417" spans="1:41" x14ac:dyDescent="0.2">
      <c r="A417" s="5" t="s">
        <v>67</v>
      </c>
      <c r="B417" s="25">
        <v>43290</v>
      </c>
      <c r="C417" s="26">
        <v>0.76041666666666696</v>
      </c>
      <c r="D417" s="26" t="s">
        <v>116</v>
      </c>
      <c r="E417" s="5"/>
      <c r="F417" s="32">
        <v>62</v>
      </c>
      <c r="G417" s="9">
        <v>2</v>
      </c>
      <c r="H417" s="6">
        <v>3.2258064516129031E-2</v>
      </c>
      <c r="I417" s="7">
        <v>6.83E-2</v>
      </c>
      <c r="J417" s="9">
        <v>314.15899999999999</v>
      </c>
      <c r="K417" s="9">
        <v>0.75129999999999997</v>
      </c>
      <c r="L417" s="9">
        <v>11</v>
      </c>
      <c r="M417" s="14">
        <v>209.07693331558633</v>
      </c>
      <c r="N417" s="9">
        <v>145</v>
      </c>
      <c r="O417" s="12" t="s">
        <v>69</v>
      </c>
      <c r="P417" s="8" t="s">
        <v>70</v>
      </c>
      <c r="Q417" s="9" t="s">
        <v>71</v>
      </c>
      <c r="R417" s="9" t="s">
        <v>72</v>
      </c>
      <c r="S417" s="9"/>
      <c r="T417" s="18">
        <v>1</v>
      </c>
      <c r="U417" s="18">
        <v>1</v>
      </c>
      <c r="V417" s="9">
        <v>20.399999999999999</v>
      </c>
      <c r="Y417" s="9">
        <f t="shared" si="12"/>
        <v>209.07693331558633</v>
      </c>
      <c r="Z417" s="19" t="s">
        <v>73</v>
      </c>
      <c r="AA417" s="8" t="s">
        <v>280</v>
      </c>
      <c r="AB417" s="8" t="s">
        <v>75</v>
      </c>
      <c r="AC417" s="11" t="s">
        <v>281</v>
      </c>
      <c r="AD417" s="9" t="s">
        <v>77</v>
      </c>
      <c r="AE417" s="56">
        <f t="shared" si="13"/>
        <v>770.66344289999984</v>
      </c>
      <c r="AF417" s="14">
        <v>770.66344289999984</v>
      </c>
      <c r="AG417" s="13"/>
    </row>
    <row r="418" spans="1:41" x14ac:dyDescent="0.2">
      <c r="A418" s="5" t="s">
        <v>67</v>
      </c>
      <c r="B418" s="25">
        <v>43290</v>
      </c>
      <c r="C418" s="26">
        <v>0.76041666666666696</v>
      </c>
      <c r="D418" s="26" t="s">
        <v>116</v>
      </c>
      <c r="E418" s="5"/>
      <c r="F418" s="32">
        <v>62</v>
      </c>
      <c r="G418" s="9">
        <v>2</v>
      </c>
      <c r="H418" s="6">
        <v>3.2258064516129031E-2</v>
      </c>
      <c r="I418" s="7">
        <v>6.83E-2</v>
      </c>
      <c r="J418" s="9">
        <v>314.15899999999999</v>
      </c>
      <c r="K418" s="9">
        <v>0.75129999999999997</v>
      </c>
      <c r="L418" s="9">
        <v>11</v>
      </c>
      <c r="M418" s="14">
        <v>209.07693331558633</v>
      </c>
      <c r="N418" s="9">
        <v>749</v>
      </c>
      <c r="O418" s="12" t="s">
        <v>190</v>
      </c>
      <c r="P418" s="8" t="s">
        <v>70</v>
      </c>
      <c r="Q418" s="9" t="s">
        <v>191</v>
      </c>
      <c r="R418" s="9" t="s">
        <v>84</v>
      </c>
      <c r="S418" s="9"/>
      <c r="T418" s="18">
        <v>3</v>
      </c>
      <c r="U418" s="18">
        <v>3</v>
      </c>
      <c r="V418" s="9">
        <v>18.5</v>
      </c>
      <c r="Y418" s="9">
        <f t="shared" si="12"/>
        <v>627.23079994675891</v>
      </c>
      <c r="Z418" s="19" t="s">
        <v>73</v>
      </c>
      <c r="AA418" s="8" t="s">
        <v>280</v>
      </c>
      <c r="AB418" s="8" t="s">
        <v>75</v>
      </c>
      <c r="AC418" s="11" t="s">
        <v>281</v>
      </c>
      <c r="AD418" s="9" t="s">
        <v>193</v>
      </c>
      <c r="AE418" s="56">
        <f t="shared" si="13"/>
        <v>136.9</v>
      </c>
      <c r="AF418" s="14">
        <v>136.9</v>
      </c>
      <c r="AG418" s="13"/>
    </row>
    <row r="419" spans="1:41" x14ac:dyDescent="0.2">
      <c r="A419" s="5" t="s">
        <v>67</v>
      </c>
      <c r="B419" s="25">
        <v>43290</v>
      </c>
      <c r="C419" s="26">
        <v>0.76041666666666696</v>
      </c>
      <c r="D419" s="26" t="s">
        <v>116</v>
      </c>
      <c r="E419" s="5"/>
      <c r="F419" s="32">
        <v>62</v>
      </c>
      <c r="G419" s="9">
        <v>2</v>
      </c>
      <c r="H419" s="6">
        <v>3.2258064516129031E-2</v>
      </c>
      <c r="I419" s="7">
        <v>6.83E-2</v>
      </c>
      <c r="J419" s="9">
        <v>314.15899999999999</v>
      </c>
      <c r="K419" s="9">
        <v>0.75129999999999997</v>
      </c>
      <c r="L419" s="9">
        <v>11</v>
      </c>
      <c r="M419" s="14">
        <v>209.07693331558633</v>
      </c>
      <c r="N419" s="9">
        <v>895</v>
      </c>
      <c r="O419" s="8" t="s">
        <v>229</v>
      </c>
      <c r="P419" s="8" t="s">
        <v>70</v>
      </c>
      <c r="Q419" s="9" t="s">
        <v>138</v>
      </c>
      <c r="R419" s="9" t="s">
        <v>84</v>
      </c>
      <c r="S419" s="9"/>
      <c r="T419" s="18">
        <v>1</v>
      </c>
      <c r="U419" s="18">
        <v>1</v>
      </c>
      <c r="V419" s="9">
        <v>7.4</v>
      </c>
      <c r="Y419" s="9">
        <f t="shared" si="12"/>
        <v>209.07693331558633</v>
      </c>
      <c r="Z419" s="19" t="s">
        <v>73</v>
      </c>
      <c r="AA419" s="8" t="s">
        <v>280</v>
      </c>
      <c r="AB419" s="8" t="s">
        <v>75</v>
      </c>
      <c r="AC419" s="11" t="s">
        <v>281</v>
      </c>
      <c r="AD419" s="9" t="s">
        <v>140</v>
      </c>
      <c r="AE419" s="56">
        <f t="shared" si="13"/>
        <v>45.565621359999994</v>
      </c>
      <c r="AF419" s="14">
        <v>45.565621359999994</v>
      </c>
      <c r="AG419" s="13"/>
    </row>
    <row r="420" spans="1:41" x14ac:dyDescent="0.2">
      <c r="A420" s="5" t="s">
        <v>67</v>
      </c>
      <c r="B420" s="25">
        <v>43290</v>
      </c>
      <c r="C420" s="26">
        <v>0.76041666666666696</v>
      </c>
      <c r="D420" s="26" t="s">
        <v>116</v>
      </c>
      <c r="E420" s="5"/>
      <c r="F420" s="32">
        <v>62</v>
      </c>
      <c r="G420" s="9">
        <v>2</v>
      </c>
      <c r="H420" s="6">
        <v>3.2258064516129031E-2</v>
      </c>
      <c r="I420" s="7">
        <v>6.83E-2</v>
      </c>
      <c r="J420" s="9">
        <v>314.15899999999999</v>
      </c>
      <c r="K420" s="9">
        <v>0.75129999999999997</v>
      </c>
      <c r="L420" s="9">
        <v>11</v>
      </c>
      <c r="M420" s="14">
        <v>209.07693331558633</v>
      </c>
      <c r="N420" s="9">
        <v>1037</v>
      </c>
      <c r="O420" s="12" t="s">
        <v>86</v>
      </c>
      <c r="P420" s="12" t="s">
        <v>82</v>
      </c>
      <c r="Q420" s="9" t="s">
        <v>87</v>
      </c>
      <c r="R420" s="9" t="s">
        <v>84</v>
      </c>
      <c r="S420" s="9"/>
      <c r="T420" s="18">
        <v>39</v>
      </c>
      <c r="U420" s="18">
        <v>39</v>
      </c>
      <c r="V420" s="9">
        <v>2.8</v>
      </c>
      <c r="Y420" s="9">
        <f t="shared" si="12"/>
        <v>8154.0003993078662</v>
      </c>
      <c r="Z420" s="19" t="s">
        <v>73</v>
      </c>
      <c r="AA420" s="8" t="s">
        <v>280</v>
      </c>
      <c r="AB420" s="8" t="s">
        <v>75</v>
      </c>
      <c r="AC420" s="11" t="s">
        <v>281</v>
      </c>
      <c r="AD420" s="9" t="s">
        <v>85</v>
      </c>
      <c r="AE420" s="56">
        <f t="shared" si="13"/>
        <v>7.2382233599999992</v>
      </c>
      <c r="AF420" s="14">
        <v>7.2382233599999992</v>
      </c>
      <c r="AG420" s="13"/>
    </row>
    <row r="421" spans="1:41" x14ac:dyDescent="0.2">
      <c r="A421" s="5" t="s">
        <v>67</v>
      </c>
      <c r="B421" s="25">
        <v>43290</v>
      </c>
      <c r="C421" s="26">
        <v>0.76041666666666696</v>
      </c>
      <c r="D421" s="26" t="s">
        <v>116</v>
      </c>
      <c r="E421" s="5"/>
      <c r="F421" s="32">
        <v>62</v>
      </c>
      <c r="G421" s="9">
        <v>2</v>
      </c>
      <c r="H421" s="6">
        <v>3.2258064516129031E-2</v>
      </c>
      <c r="I421" s="7">
        <v>6.83E-2</v>
      </c>
      <c r="J421" s="9">
        <v>314.15899999999999</v>
      </c>
      <c r="K421" s="9">
        <v>0.75129999999999997</v>
      </c>
      <c r="L421" s="9">
        <v>11</v>
      </c>
      <c r="M421" s="14">
        <v>209.07693331558633</v>
      </c>
      <c r="N421" s="9">
        <v>1135</v>
      </c>
      <c r="O421" s="8" t="s">
        <v>282</v>
      </c>
      <c r="P421" s="12" t="s">
        <v>82</v>
      </c>
      <c r="Q421" s="9" t="s">
        <v>127</v>
      </c>
      <c r="R421" s="9" t="s">
        <v>283</v>
      </c>
      <c r="S421" s="9"/>
      <c r="T421" s="18">
        <v>1</v>
      </c>
      <c r="U421" s="18">
        <v>1</v>
      </c>
      <c r="V421" s="9">
        <v>7.4</v>
      </c>
      <c r="Y421" s="9">
        <f t="shared" si="12"/>
        <v>209.07693331558633</v>
      </c>
      <c r="Z421" s="19" t="s">
        <v>73</v>
      </c>
      <c r="AA421" s="8" t="s">
        <v>280</v>
      </c>
      <c r="AB421" s="8" t="s">
        <v>75</v>
      </c>
      <c r="AC421" s="11" t="s">
        <v>281</v>
      </c>
      <c r="AD421" s="9" t="s">
        <v>129</v>
      </c>
      <c r="AE421" s="56">
        <f t="shared" si="13"/>
        <v>30.377080906666663</v>
      </c>
      <c r="AF421" s="14">
        <v>30.377080906666663</v>
      </c>
      <c r="AG421" s="13"/>
    </row>
    <row r="422" spans="1:41" x14ac:dyDescent="0.2">
      <c r="A422" s="5" t="s">
        <v>67</v>
      </c>
      <c r="B422" s="25">
        <v>43290</v>
      </c>
      <c r="C422" s="26">
        <v>0.76041666666666696</v>
      </c>
      <c r="D422" s="26" t="s">
        <v>116</v>
      </c>
      <c r="E422" s="5"/>
      <c r="F422" s="32">
        <v>62</v>
      </c>
      <c r="G422" s="9">
        <v>2</v>
      </c>
      <c r="H422" s="6">
        <v>3.2258064516129031E-2</v>
      </c>
      <c r="I422" s="7">
        <v>6.83E-2</v>
      </c>
      <c r="J422" s="9">
        <v>314.15899999999999</v>
      </c>
      <c r="K422" s="9">
        <v>0.75129999999999997</v>
      </c>
      <c r="L422" s="9">
        <v>11</v>
      </c>
      <c r="M422" s="14">
        <v>209.07693331558633</v>
      </c>
      <c r="N422" s="9">
        <v>1806</v>
      </c>
      <c r="O422" s="12" t="s">
        <v>206</v>
      </c>
      <c r="P422" s="12" t="s">
        <v>82</v>
      </c>
      <c r="Q422" s="9" t="s">
        <v>207</v>
      </c>
      <c r="R422" s="9" t="s">
        <v>84</v>
      </c>
      <c r="S422" s="9"/>
      <c r="T422" s="18">
        <v>2</v>
      </c>
      <c r="U422" s="18">
        <v>2</v>
      </c>
      <c r="V422" s="9">
        <v>4.5999999999999996</v>
      </c>
      <c r="Y422" s="9">
        <f t="shared" si="12"/>
        <v>418.15386663117266</v>
      </c>
      <c r="Z422" s="19" t="s">
        <v>73</v>
      </c>
      <c r="AA422" s="8" t="s">
        <v>280</v>
      </c>
      <c r="AB422" s="8" t="s">
        <v>75</v>
      </c>
      <c r="AC422" s="11" t="s">
        <v>281</v>
      </c>
      <c r="AD422" s="9" t="s">
        <v>120</v>
      </c>
      <c r="AE422" s="56">
        <f t="shared" si="13"/>
        <v>23.948340569999996</v>
      </c>
      <c r="AF422" s="14">
        <v>23.948340569999996</v>
      </c>
      <c r="AG422" s="13"/>
    </row>
    <row r="423" spans="1:41" x14ac:dyDescent="0.2">
      <c r="A423" s="5" t="s">
        <v>67</v>
      </c>
      <c r="B423" s="25">
        <v>43290</v>
      </c>
      <c r="C423" s="26">
        <v>0.76041666666666696</v>
      </c>
      <c r="D423" s="26" t="s">
        <v>116</v>
      </c>
      <c r="E423" s="5"/>
      <c r="F423" s="32">
        <v>62</v>
      </c>
      <c r="G423" s="9">
        <v>2</v>
      </c>
      <c r="H423" s="6">
        <v>3.2258064516129031E-2</v>
      </c>
      <c r="I423" s="7">
        <v>6.83E-2</v>
      </c>
      <c r="J423" s="9">
        <v>314.15899999999999</v>
      </c>
      <c r="K423" s="9">
        <v>0.75129999999999997</v>
      </c>
      <c r="L423" s="9">
        <v>11</v>
      </c>
      <c r="M423" s="14">
        <v>209.07693331558633</v>
      </c>
      <c r="N423" s="9">
        <v>1419</v>
      </c>
      <c r="O423" s="12" t="s">
        <v>94</v>
      </c>
      <c r="P423" s="12" t="s">
        <v>82</v>
      </c>
      <c r="Q423" s="9" t="s">
        <v>95</v>
      </c>
      <c r="R423" s="9" t="s">
        <v>96</v>
      </c>
      <c r="S423" s="9"/>
      <c r="T423" s="18">
        <v>375</v>
      </c>
      <c r="U423" s="18">
        <v>752</v>
      </c>
      <c r="V423" s="9">
        <v>0.8</v>
      </c>
      <c r="W423" s="9">
        <v>0.8</v>
      </c>
      <c r="X423" s="9">
        <v>0.8</v>
      </c>
      <c r="Y423" s="9">
        <f t="shared" si="12"/>
        <v>78403.849993344877</v>
      </c>
      <c r="Z423" s="19" t="s">
        <v>97</v>
      </c>
      <c r="AA423" s="8" t="s">
        <v>280</v>
      </c>
      <c r="AB423" s="8" t="s">
        <v>75</v>
      </c>
      <c r="AC423" s="11" t="s">
        <v>281</v>
      </c>
      <c r="AD423" s="9" t="s">
        <v>85</v>
      </c>
      <c r="AE423" s="56">
        <f t="shared" si="13"/>
        <v>0.17999999999999997</v>
      </c>
      <c r="AF423" s="14">
        <v>0.18</v>
      </c>
      <c r="AG423" s="14">
        <v>0.18</v>
      </c>
      <c r="AH423" s="14">
        <v>0.18</v>
      </c>
      <c r="AI423" s="14">
        <v>0.18</v>
      </c>
      <c r="AJ423" s="14">
        <v>0.18</v>
      </c>
      <c r="AK423" s="14">
        <v>0.18</v>
      </c>
      <c r="AL423" s="14">
        <v>0.18</v>
      </c>
      <c r="AM423" s="14">
        <v>0.18</v>
      </c>
      <c r="AN423" s="14">
        <v>0.18</v>
      </c>
      <c r="AO423" s="14">
        <v>0.18</v>
      </c>
    </row>
    <row r="424" spans="1:41" x14ac:dyDescent="0.2">
      <c r="A424" s="5" t="s">
        <v>67</v>
      </c>
      <c r="B424" s="25">
        <v>43290</v>
      </c>
      <c r="C424" s="26">
        <v>0.76041666666666696</v>
      </c>
      <c r="D424" s="26" t="s">
        <v>116</v>
      </c>
      <c r="E424" s="5"/>
      <c r="F424" s="32">
        <v>62</v>
      </c>
      <c r="G424" s="9">
        <v>2</v>
      </c>
      <c r="H424" s="6">
        <v>3.2258064516129031E-2</v>
      </c>
      <c r="I424" s="7">
        <v>6.83E-2</v>
      </c>
      <c r="J424" s="9">
        <v>314.15899999999999</v>
      </c>
      <c r="K424" s="9">
        <v>0.75129999999999997</v>
      </c>
      <c r="L424" s="9">
        <v>11</v>
      </c>
      <c r="M424" s="14">
        <v>209.07693331558633</v>
      </c>
      <c r="N424" s="9">
        <v>1421</v>
      </c>
      <c r="O424" s="12" t="s">
        <v>130</v>
      </c>
      <c r="P424" s="12" t="s">
        <v>82</v>
      </c>
      <c r="Q424" s="9" t="s">
        <v>95</v>
      </c>
      <c r="R424" s="9" t="s">
        <v>131</v>
      </c>
      <c r="S424" s="9"/>
      <c r="T424" s="18">
        <v>6</v>
      </c>
      <c r="U424" s="18">
        <v>7</v>
      </c>
      <c r="V424" s="9">
        <v>5.6</v>
      </c>
      <c r="Y424" s="9">
        <f t="shared" si="12"/>
        <v>1254.4615998935178</v>
      </c>
      <c r="Z424" s="19" t="s">
        <v>97</v>
      </c>
      <c r="AA424" s="8" t="s">
        <v>280</v>
      </c>
      <c r="AB424" s="8" t="s">
        <v>75</v>
      </c>
      <c r="AC424" s="11" t="s">
        <v>281</v>
      </c>
      <c r="AD424" s="9" t="s">
        <v>85</v>
      </c>
      <c r="AE424" s="56">
        <f t="shared" si="13"/>
        <v>82.447887960000003</v>
      </c>
      <c r="AF424" s="14">
        <v>82.447887960000003</v>
      </c>
      <c r="AG424" s="13"/>
    </row>
    <row r="425" spans="1:41" x14ac:dyDescent="0.2">
      <c r="A425" s="5" t="s">
        <v>67</v>
      </c>
      <c r="B425" s="25">
        <v>43319</v>
      </c>
      <c r="C425" s="26">
        <v>0.66319444444444398</v>
      </c>
      <c r="D425" s="5" t="s">
        <v>165</v>
      </c>
      <c r="E425" s="5">
        <v>3</v>
      </c>
      <c r="F425" s="32">
        <v>62</v>
      </c>
      <c r="G425" s="9">
        <v>2</v>
      </c>
      <c r="H425" s="6">
        <v>3.2258064516129031E-2</v>
      </c>
      <c r="I425" s="7">
        <v>6.83E-2</v>
      </c>
      <c r="J425" s="9">
        <v>314.15899999999999</v>
      </c>
      <c r="K425" s="9">
        <v>0.47809999999999997</v>
      </c>
      <c r="L425" s="9">
        <v>7</v>
      </c>
      <c r="M425" s="14">
        <v>328.54946663877848</v>
      </c>
      <c r="N425" s="9">
        <v>46</v>
      </c>
      <c r="O425" s="12" t="s">
        <v>109</v>
      </c>
      <c r="P425" s="8" t="s">
        <v>70</v>
      </c>
      <c r="Q425" s="9" t="s">
        <v>110</v>
      </c>
      <c r="R425" s="9" t="s">
        <v>84</v>
      </c>
      <c r="S425" s="9"/>
      <c r="T425" s="18">
        <v>1</v>
      </c>
      <c r="U425" s="18">
        <v>1</v>
      </c>
      <c r="V425" s="9">
        <v>11.1</v>
      </c>
      <c r="Y425" s="9">
        <f t="shared" si="12"/>
        <v>328.54946663877848</v>
      </c>
      <c r="Z425" s="19" t="s">
        <v>73</v>
      </c>
      <c r="AA425" s="8" t="s">
        <v>166</v>
      </c>
      <c r="AB425" s="8" t="s">
        <v>75</v>
      </c>
      <c r="AC425" s="11" t="s">
        <v>76</v>
      </c>
      <c r="AD425" s="9" t="s">
        <v>77</v>
      </c>
      <c r="AE425" s="56">
        <f t="shared" si="13"/>
        <v>119.34821870249999</v>
      </c>
      <c r="AF425" s="14">
        <v>119.34821870249999</v>
      </c>
      <c r="AG425" s="13"/>
    </row>
    <row r="426" spans="1:41" x14ac:dyDescent="0.2">
      <c r="A426" s="5" t="s">
        <v>67</v>
      </c>
      <c r="B426" s="25">
        <v>43319</v>
      </c>
      <c r="C426" s="26">
        <v>0.66319444444444398</v>
      </c>
      <c r="D426" s="5" t="s">
        <v>165</v>
      </c>
      <c r="E426" s="5">
        <v>3</v>
      </c>
      <c r="F426" s="32">
        <v>62</v>
      </c>
      <c r="G426" s="9">
        <v>2</v>
      </c>
      <c r="H426" s="6">
        <v>3.2258064516129031E-2</v>
      </c>
      <c r="I426" s="7">
        <v>6.83E-2</v>
      </c>
      <c r="J426" s="9">
        <v>314.15899999999999</v>
      </c>
      <c r="K426" s="9">
        <v>0.47809999999999997</v>
      </c>
      <c r="L426" s="9">
        <v>7</v>
      </c>
      <c r="M426" s="14">
        <v>328.54946663877848</v>
      </c>
      <c r="N426" s="9">
        <v>145</v>
      </c>
      <c r="O426" s="12" t="s">
        <v>69</v>
      </c>
      <c r="P426" s="8" t="s">
        <v>70</v>
      </c>
      <c r="Q426" s="9" t="s">
        <v>71</v>
      </c>
      <c r="R426" s="9" t="s">
        <v>72</v>
      </c>
      <c r="S426" s="9"/>
      <c r="T426" s="18">
        <v>1</v>
      </c>
      <c r="U426" s="18">
        <v>1</v>
      </c>
      <c r="V426" s="9">
        <v>16.7</v>
      </c>
      <c r="Y426" s="9">
        <f t="shared" si="12"/>
        <v>328.54946663877848</v>
      </c>
      <c r="Z426" s="19" t="s">
        <v>73</v>
      </c>
      <c r="AA426" s="8" t="s">
        <v>166</v>
      </c>
      <c r="AB426" s="8" t="s">
        <v>75</v>
      </c>
      <c r="AC426" s="11" t="s">
        <v>76</v>
      </c>
      <c r="AD426" s="9" t="s">
        <v>77</v>
      </c>
      <c r="AE426" s="56">
        <f t="shared" si="13"/>
        <v>407.64957680999993</v>
      </c>
      <c r="AF426" s="14">
        <v>407.64957680999993</v>
      </c>
      <c r="AG426" s="13"/>
    </row>
    <row r="427" spans="1:41" x14ac:dyDescent="0.2">
      <c r="A427" s="5" t="s">
        <v>67</v>
      </c>
      <c r="B427" s="25">
        <v>43319</v>
      </c>
      <c r="C427" s="26">
        <v>0.66319444444444398</v>
      </c>
      <c r="D427" s="5" t="s">
        <v>165</v>
      </c>
      <c r="E427" s="5">
        <v>3</v>
      </c>
      <c r="F427" s="32">
        <v>62</v>
      </c>
      <c r="G427" s="9">
        <v>2</v>
      </c>
      <c r="H427" s="6">
        <v>3.2258064516129031E-2</v>
      </c>
      <c r="I427" s="7">
        <v>6.83E-2</v>
      </c>
      <c r="J427" s="9">
        <v>314.15899999999999</v>
      </c>
      <c r="K427" s="9">
        <v>0.47809999999999997</v>
      </c>
      <c r="L427" s="9">
        <v>7</v>
      </c>
      <c r="M427" s="14">
        <v>328.54946663877848</v>
      </c>
      <c r="N427" s="9">
        <v>1005</v>
      </c>
      <c r="O427" s="12" t="s">
        <v>167</v>
      </c>
      <c r="P427" s="8" t="s">
        <v>70</v>
      </c>
      <c r="Q427" s="9" t="s">
        <v>168</v>
      </c>
      <c r="R427" s="9" t="s">
        <v>84</v>
      </c>
      <c r="S427" s="9"/>
      <c r="T427" s="18">
        <v>1</v>
      </c>
      <c r="U427" s="18">
        <v>1</v>
      </c>
      <c r="V427" s="9">
        <v>64.8</v>
      </c>
      <c r="Y427" s="9">
        <f t="shared" si="12"/>
        <v>328.54946663877848</v>
      </c>
      <c r="Z427" s="19" t="s">
        <v>73</v>
      </c>
      <c r="AA427" s="8" t="s">
        <v>166</v>
      </c>
      <c r="AB427" s="8" t="s">
        <v>75</v>
      </c>
      <c r="AC427" s="11" t="s">
        <v>169</v>
      </c>
      <c r="AD427" s="9" t="s">
        <v>77</v>
      </c>
      <c r="AE427" s="56">
        <f t="shared" si="13"/>
        <v>1393.47109404</v>
      </c>
      <c r="AF427" s="14">
        <v>1393.47109404</v>
      </c>
      <c r="AG427" s="13"/>
    </row>
    <row r="428" spans="1:41" x14ac:dyDescent="0.2">
      <c r="A428" s="5" t="s">
        <v>67</v>
      </c>
      <c r="B428" s="25">
        <v>43319</v>
      </c>
      <c r="C428" s="26">
        <v>0.66319444444444398</v>
      </c>
      <c r="D428" s="5" t="s">
        <v>165</v>
      </c>
      <c r="E428" s="5">
        <v>3</v>
      </c>
      <c r="F428" s="32">
        <v>62</v>
      </c>
      <c r="G428" s="9">
        <v>2</v>
      </c>
      <c r="H428" s="6">
        <v>3.2258064516129031E-2</v>
      </c>
      <c r="I428" s="7">
        <v>6.83E-2</v>
      </c>
      <c r="J428" s="9">
        <v>314.15899999999999</v>
      </c>
      <c r="K428" s="9">
        <v>0.47809999999999997</v>
      </c>
      <c r="L428" s="9">
        <v>7</v>
      </c>
      <c r="M428" s="14">
        <v>328.54946663877848</v>
      </c>
      <c r="N428" s="9">
        <v>1031</v>
      </c>
      <c r="O428" s="12" t="s">
        <v>81</v>
      </c>
      <c r="P428" s="12" t="s">
        <v>82</v>
      </c>
      <c r="Q428" s="9" t="s">
        <v>83</v>
      </c>
      <c r="R428" s="9" t="s">
        <v>84</v>
      </c>
      <c r="S428" s="9"/>
      <c r="T428" s="18">
        <v>1</v>
      </c>
      <c r="U428" s="18">
        <v>1</v>
      </c>
      <c r="V428" s="9">
        <v>3.7</v>
      </c>
      <c r="Y428" s="9">
        <f t="shared" si="12"/>
        <v>328.54946663877848</v>
      </c>
      <c r="Z428" s="19" t="s">
        <v>73</v>
      </c>
      <c r="AA428" s="8" t="s">
        <v>166</v>
      </c>
      <c r="AB428" s="8" t="s">
        <v>75</v>
      </c>
      <c r="AC428" s="11" t="s">
        <v>76</v>
      </c>
      <c r="AD428" s="9" t="s">
        <v>85</v>
      </c>
      <c r="AE428" s="56">
        <f t="shared" si="13"/>
        <v>20.070571313333332</v>
      </c>
      <c r="AF428" s="14">
        <v>20.070571313333332</v>
      </c>
      <c r="AG428" s="13"/>
    </row>
    <row r="429" spans="1:41" x14ac:dyDescent="0.2">
      <c r="A429" s="5" t="s">
        <v>67</v>
      </c>
      <c r="B429" s="25">
        <v>43319</v>
      </c>
      <c r="C429" s="26">
        <v>0.66319444444444398</v>
      </c>
      <c r="D429" s="5" t="s">
        <v>165</v>
      </c>
      <c r="E429" s="5">
        <v>3</v>
      </c>
      <c r="F429" s="32">
        <v>62</v>
      </c>
      <c r="G429" s="9">
        <v>2</v>
      </c>
      <c r="H429" s="6">
        <v>3.2258064516129031E-2</v>
      </c>
      <c r="I429" s="7">
        <v>6.83E-2</v>
      </c>
      <c r="J429" s="9">
        <v>314.15899999999999</v>
      </c>
      <c r="K429" s="9">
        <v>0.47809999999999997</v>
      </c>
      <c r="L429" s="9">
        <v>7</v>
      </c>
      <c r="M429" s="14">
        <v>328.54946663877848</v>
      </c>
      <c r="N429" s="9">
        <v>1037</v>
      </c>
      <c r="O429" s="12" t="s">
        <v>86</v>
      </c>
      <c r="P429" s="12" t="s">
        <v>82</v>
      </c>
      <c r="Q429" s="9" t="s">
        <v>87</v>
      </c>
      <c r="R429" s="9" t="s">
        <v>84</v>
      </c>
      <c r="S429" s="9"/>
      <c r="T429" s="18">
        <v>15</v>
      </c>
      <c r="U429" s="18">
        <v>15</v>
      </c>
      <c r="V429" s="9">
        <v>2.8</v>
      </c>
      <c r="Y429" s="9">
        <f t="shared" si="12"/>
        <v>4928.2419995816781</v>
      </c>
      <c r="Z429" s="19" t="s">
        <v>73</v>
      </c>
      <c r="AA429" s="8" t="s">
        <v>166</v>
      </c>
      <c r="AB429" s="8" t="s">
        <v>75</v>
      </c>
      <c r="AC429" s="11" t="s">
        <v>76</v>
      </c>
      <c r="AD429" s="9" t="s">
        <v>85</v>
      </c>
      <c r="AE429" s="56">
        <f t="shared" si="13"/>
        <v>7.2382233599999992</v>
      </c>
      <c r="AF429" s="14">
        <v>7.2382233599999992</v>
      </c>
      <c r="AG429" s="13"/>
    </row>
    <row r="430" spans="1:41" x14ac:dyDescent="0.2">
      <c r="A430" s="5" t="s">
        <v>67</v>
      </c>
      <c r="B430" s="25">
        <v>43319</v>
      </c>
      <c r="C430" s="26">
        <v>0.66319444444444398</v>
      </c>
      <c r="D430" s="5" t="s">
        <v>165</v>
      </c>
      <c r="E430" s="5">
        <v>3</v>
      </c>
      <c r="F430" s="32">
        <v>62</v>
      </c>
      <c r="G430" s="9">
        <v>2</v>
      </c>
      <c r="H430" s="6">
        <v>3.2258064516129031E-2</v>
      </c>
      <c r="I430" s="7">
        <v>6.83E-2</v>
      </c>
      <c r="J430" s="9">
        <v>314.15899999999999</v>
      </c>
      <c r="K430" s="9">
        <v>0.47809999999999997</v>
      </c>
      <c r="L430" s="9">
        <v>7</v>
      </c>
      <c r="M430" s="14">
        <v>328.54946663877848</v>
      </c>
      <c r="N430" s="9">
        <v>1733</v>
      </c>
      <c r="O430" s="12" t="s">
        <v>92</v>
      </c>
      <c r="P430" s="12" t="s">
        <v>82</v>
      </c>
      <c r="Q430" s="9" t="s">
        <v>89</v>
      </c>
      <c r="R430" s="9" t="s">
        <v>93</v>
      </c>
      <c r="S430" s="9"/>
      <c r="T430" s="18">
        <v>2</v>
      </c>
      <c r="U430" s="18">
        <v>2</v>
      </c>
      <c r="V430" s="9">
        <v>7.4</v>
      </c>
      <c r="Y430" s="9">
        <f t="shared" si="12"/>
        <v>657.09893327755697</v>
      </c>
      <c r="Z430" s="19" t="s">
        <v>73</v>
      </c>
      <c r="AA430" s="8" t="s">
        <v>166</v>
      </c>
      <c r="AB430" s="8" t="s">
        <v>75</v>
      </c>
      <c r="AC430" s="11" t="s">
        <v>76</v>
      </c>
      <c r="AD430" s="9" t="s">
        <v>91</v>
      </c>
      <c r="AE430" s="56">
        <f t="shared" si="13"/>
        <v>159.13095827000001</v>
      </c>
      <c r="AF430" s="14">
        <v>159.13095827000001</v>
      </c>
      <c r="AG430" s="13"/>
    </row>
    <row r="431" spans="1:41" x14ac:dyDescent="0.2">
      <c r="A431" s="5" t="s">
        <v>67</v>
      </c>
      <c r="B431" s="25">
        <v>43319</v>
      </c>
      <c r="C431" s="26">
        <v>0.66319444444444398</v>
      </c>
      <c r="D431" s="5" t="s">
        <v>165</v>
      </c>
      <c r="E431" s="5">
        <v>3</v>
      </c>
      <c r="F431" s="32">
        <v>62</v>
      </c>
      <c r="G431" s="9">
        <v>2</v>
      </c>
      <c r="H431" s="6">
        <v>3.2258064516129031E-2</v>
      </c>
      <c r="I431" s="7">
        <v>6.83E-2</v>
      </c>
      <c r="J431" s="9">
        <v>314.15899999999999</v>
      </c>
      <c r="K431" s="9">
        <v>0.47809999999999997</v>
      </c>
      <c r="L431" s="9">
        <v>7</v>
      </c>
      <c r="M431" s="14">
        <v>328.54946663877848</v>
      </c>
      <c r="N431" s="9">
        <v>1419</v>
      </c>
      <c r="O431" s="12" t="s">
        <v>94</v>
      </c>
      <c r="P431" s="12" t="s">
        <v>82</v>
      </c>
      <c r="Q431" s="9" t="s">
        <v>95</v>
      </c>
      <c r="R431" s="9" t="s">
        <v>96</v>
      </c>
      <c r="S431" s="9"/>
      <c r="T431" s="18">
        <v>393</v>
      </c>
      <c r="U431" s="18">
        <v>786</v>
      </c>
      <c r="V431" s="9">
        <v>0.8</v>
      </c>
      <c r="W431" s="9">
        <v>0.8</v>
      </c>
      <c r="X431" s="9">
        <v>0.8</v>
      </c>
      <c r="Y431" s="9">
        <f t="shared" si="12"/>
        <v>129119.94038903996</v>
      </c>
      <c r="Z431" s="19" t="s">
        <v>97</v>
      </c>
      <c r="AA431" s="8" t="s">
        <v>166</v>
      </c>
      <c r="AB431" s="8" t="s">
        <v>75</v>
      </c>
      <c r="AC431" s="11" t="s">
        <v>76</v>
      </c>
      <c r="AD431" s="9" t="s">
        <v>85</v>
      </c>
      <c r="AE431" s="56">
        <f t="shared" si="13"/>
        <v>0.17999999999999997</v>
      </c>
      <c r="AF431" s="14">
        <v>0.18</v>
      </c>
      <c r="AG431" s="14">
        <v>0.18</v>
      </c>
      <c r="AH431" s="14">
        <v>0.18</v>
      </c>
      <c r="AI431" s="14">
        <v>0.18</v>
      </c>
      <c r="AJ431" s="14">
        <v>0.18</v>
      </c>
      <c r="AK431" s="14">
        <v>0.18</v>
      </c>
      <c r="AL431" s="14">
        <v>0.18</v>
      </c>
      <c r="AM431" s="14">
        <v>0.18</v>
      </c>
      <c r="AN431" s="14">
        <v>0.18</v>
      </c>
      <c r="AO431" s="14">
        <v>0.18</v>
      </c>
    </row>
    <row r="432" spans="1:41" x14ac:dyDescent="0.2">
      <c r="A432" s="5" t="s">
        <v>67</v>
      </c>
      <c r="B432" s="25">
        <v>43319</v>
      </c>
      <c r="C432" s="26">
        <v>0.66319444444444398</v>
      </c>
      <c r="D432" s="5" t="s">
        <v>165</v>
      </c>
      <c r="E432" s="5">
        <v>3</v>
      </c>
      <c r="F432" s="32">
        <v>62</v>
      </c>
      <c r="G432" s="9">
        <v>2</v>
      </c>
      <c r="H432" s="6">
        <v>3.2258064516129031E-2</v>
      </c>
      <c r="I432" s="7">
        <v>6.83E-2</v>
      </c>
      <c r="J432" s="9">
        <v>314.15899999999999</v>
      </c>
      <c r="K432" s="9">
        <v>0.47809999999999997</v>
      </c>
      <c r="L432" s="9">
        <v>7</v>
      </c>
      <c r="M432" s="14">
        <v>328.54946663877848</v>
      </c>
      <c r="N432" s="9">
        <v>1423</v>
      </c>
      <c r="O432" s="12" t="s">
        <v>163</v>
      </c>
      <c r="P432" s="12" t="s">
        <v>82</v>
      </c>
      <c r="Q432" s="9" t="s">
        <v>95</v>
      </c>
      <c r="R432" s="9" t="s">
        <v>84</v>
      </c>
      <c r="S432" s="9"/>
      <c r="T432" s="18">
        <v>1</v>
      </c>
      <c r="U432" s="18">
        <v>4</v>
      </c>
      <c r="V432" s="9">
        <v>2.8</v>
      </c>
      <c r="Y432" s="9">
        <f t="shared" si="12"/>
        <v>328.54946663877848</v>
      </c>
      <c r="Z432" s="19" t="s">
        <v>97</v>
      </c>
      <c r="AA432" s="8" t="s">
        <v>166</v>
      </c>
      <c r="AB432" s="8" t="s">
        <v>75</v>
      </c>
      <c r="AC432" s="11" t="s">
        <v>76</v>
      </c>
      <c r="AD432" s="9" t="s">
        <v>85</v>
      </c>
      <c r="AE432" s="56">
        <f t="shared" si="13"/>
        <v>11.494030613333329</v>
      </c>
      <c r="AF432" s="14">
        <v>11.494030613333329</v>
      </c>
      <c r="AG432" s="13"/>
    </row>
    <row r="433" spans="1:41" x14ac:dyDescent="0.2">
      <c r="A433" s="5" t="s">
        <v>67</v>
      </c>
      <c r="B433" s="25">
        <v>43319</v>
      </c>
      <c r="C433" s="26">
        <v>0.67361111111111105</v>
      </c>
      <c r="D433" s="5" t="s">
        <v>187</v>
      </c>
      <c r="E433" s="5">
        <v>3</v>
      </c>
      <c r="F433" s="32">
        <v>60</v>
      </c>
      <c r="G433" s="9">
        <v>2</v>
      </c>
      <c r="H433" s="6">
        <v>3.3333333333333333E-2</v>
      </c>
      <c r="I433" s="7">
        <v>6.83E-2</v>
      </c>
      <c r="J433" s="9">
        <v>314.15899999999999</v>
      </c>
      <c r="K433" s="9">
        <v>0.88790000000000002</v>
      </c>
      <c r="L433" s="9">
        <v>13</v>
      </c>
      <c r="M433" s="14">
        <v>176.91125126703457</v>
      </c>
      <c r="N433" s="9">
        <v>1031</v>
      </c>
      <c r="O433" s="12" t="s">
        <v>81</v>
      </c>
      <c r="P433" s="12" t="s">
        <v>82</v>
      </c>
      <c r="Q433" s="9" t="s">
        <v>83</v>
      </c>
      <c r="R433" s="9" t="s">
        <v>84</v>
      </c>
      <c r="S433" s="9"/>
      <c r="T433" s="18">
        <v>1</v>
      </c>
      <c r="U433" s="18">
        <v>1</v>
      </c>
      <c r="V433" s="9">
        <v>5.6</v>
      </c>
      <c r="Y433" s="9">
        <f t="shared" si="12"/>
        <v>176.91125126703457</v>
      </c>
      <c r="Z433" s="19" t="s">
        <v>73</v>
      </c>
      <c r="AA433" s="8" t="s">
        <v>188</v>
      </c>
      <c r="AB433" s="8" t="s">
        <v>75</v>
      </c>
      <c r="AC433" s="11" t="s">
        <v>112</v>
      </c>
      <c r="AD433" s="9" t="s">
        <v>85</v>
      </c>
      <c r="AE433" s="56">
        <f t="shared" si="13"/>
        <v>62.044308106666655</v>
      </c>
      <c r="AF433" s="14">
        <v>62.044308106666655</v>
      </c>
      <c r="AG433" s="13"/>
    </row>
    <row r="434" spans="1:41" x14ac:dyDescent="0.2">
      <c r="A434" s="5" t="s">
        <v>67</v>
      </c>
      <c r="B434" s="25">
        <v>43319</v>
      </c>
      <c r="C434" s="26">
        <v>0.67361111111111105</v>
      </c>
      <c r="D434" s="5" t="s">
        <v>187</v>
      </c>
      <c r="E434" s="5">
        <v>3</v>
      </c>
      <c r="F434" s="32">
        <v>60</v>
      </c>
      <c r="G434" s="9">
        <v>2</v>
      </c>
      <c r="H434" s="6">
        <v>3.3333333333333333E-2</v>
      </c>
      <c r="I434" s="7">
        <v>6.83E-2</v>
      </c>
      <c r="J434" s="9">
        <v>314.15899999999999</v>
      </c>
      <c r="K434" s="9">
        <v>0.88790000000000002</v>
      </c>
      <c r="L434" s="9">
        <v>13</v>
      </c>
      <c r="M434" s="14">
        <v>176.91125126703457</v>
      </c>
      <c r="N434" s="9">
        <v>1037</v>
      </c>
      <c r="O434" s="12" t="s">
        <v>86</v>
      </c>
      <c r="P434" s="12" t="s">
        <v>82</v>
      </c>
      <c r="Q434" s="9" t="s">
        <v>87</v>
      </c>
      <c r="R434" s="9" t="s">
        <v>84</v>
      </c>
      <c r="S434" s="9"/>
      <c r="T434" s="18">
        <v>20</v>
      </c>
      <c r="U434" s="18">
        <v>20</v>
      </c>
      <c r="V434" s="9">
        <v>2.8</v>
      </c>
      <c r="Y434" s="9">
        <f t="shared" si="12"/>
        <v>3538.2250253406914</v>
      </c>
      <c r="Z434" s="19" t="s">
        <v>73</v>
      </c>
      <c r="AA434" s="8" t="s">
        <v>188</v>
      </c>
      <c r="AB434" s="8" t="s">
        <v>75</v>
      </c>
      <c r="AC434" s="11" t="s">
        <v>112</v>
      </c>
      <c r="AD434" s="9" t="s">
        <v>85</v>
      </c>
      <c r="AE434" s="56">
        <f t="shared" si="13"/>
        <v>7.2382233599999992</v>
      </c>
      <c r="AF434" s="14">
        <v>7.2382233599999992</v>
      </c>
      <c r="AG434" s="13"/>
    </row>
    <row r="435" spans="1:41" x14ac:dyDescent="0.2">
      <c r="A435" s="5" t="s">
        <v>67</v>
      </c>
      <c r="B435" s="25">
        <v>43319</v>
      </c>
      <c r="C435" s="26">
        <v>0.67361111111111105</v>
      </c>
      <c r="D435" s="5" t="s">
        <v>187</v>
      </c>
      <c r="E435" s="5">
        <v>3</v>
      </c>
      <c r="F435" s="32">
        <v>60</v>
      </c>
      <c r="G435" s="9">
        <v>2</v>
      </c>
      <c r="H435" s="6">
        <v>3.3333333333333333E-2</v>
      </c>
      <c r="I435" s="7">
        <v>6.83E-2</v>
      </c>
      <c r="J435" s="9">
        <v>314.15899999999999</v>
      </c>
      <c r="K435" s="9">
        <v>0.88790000000000002</v>
      </c>
      <c r="L435" s="9">
        <v>13</v>
      </c>
      <c r="M435" s="14">
        <v>176.91125126703457</v>
      </c>
      <c r="N435" s="9">
        <v>1419</v>
      </c>
      <c r="O435" s="12" t="s">
        <v>94</v>
      </c>
      <c r="P435" s="12" t="s">
        <v>82</v>
      </c>
      <c r="Q435" s="9" t="s">
        <v>95</v>
      </c>
      <c r="R435" s="9" t="s">
        <v>96</v>
      </c>
      <c r="S435" s="9"/>
      <c r="T435" s="18">
        <v>397</v>
      </c>
      <c r="U435" s="18">
        <v>808</v>
      </c>
      <c r="V435" s="9">
        <v>0.8</v>
      </c>
      <c r="W435" s="9">
        <v>0.8</v>
      </c>
      <c r="X435" s="9">
        <v>0.8</v>
      </c>
      <c r="Y435" s="9">
        <f t="shared" si="12"/>
        <v>70233.766753012722</v>
      </c>
      <c r="Z435" s="19" t="s">
        <v>97</v>
      </c>
      <c r="AA435" s="8" t="s">
        <v>188</v>
      </c>
      <c r="AB435" s="8" t="s">
        <v>75</v>
      </c>
      <c r="AC435" s="11" t="s">
        <v>112</v>
      </c>
      <c r="AD435" s="9" t="s">
        <v>85</v>
      </c>
      <c r="AE435" s="56">
        <f t="shared" si="13"/>
        <v>0.17999999999999997</v>
      </c>
      <c r="AF435" s="14">
        <v>0.18</v>
      </c>
      <c r="AG435" s="14">
        <v>0.18</v>
      </c>
      <c r="AH435" s="14">
        <v>0.18</v>
      </c>
      <c r="AI435" s="14">
        <v>0.18</v>
      </c>
      <c r="AJ435" s="14">
        <v>0.18</v>
      </c>
      <c r="AK435" s="14">
        <v>0.18</v>
      </c>
      <c r="AL435" s="14">
        <v>0.18</v>
      </c>
      <c r="AM435" s="14">
        <v>0.18</v>
      </c>
      <c r="AN435" s="14">
        <v>0.18</v>
      </c>
      <c r="AO435" s="14">
        <v>0.18</v>
      </c>
    </row>
    <row r="436" spans="1:41" x14ac:dyDescent="0.2">
      <c r="A436" s="5" t="s">
        <v>67</v>
      </c>
      <c r="B436" s="25">
        <v>43319</v>
      </c>
      <c r="C436" s="26">
        <v>0.67708333333333304</v>
      </c>
      <c r="D436" s="5" t="s">
        <v>144</v>
      </c>
      <c r="E436" s="5"/>
      <c r="F436" s="32">
        <v>63.5</v>
      </c>
      <c r="G436" s="9">
        <v>2</v>
      </c>
      <c r="H436" s="6">
        <v>3.1496062992125984E-2</v>
      </c>
      <c r="I436" s="7">
        <v>6.83E-2</v>
      </c>
      <c r="J436" s="9">
        <v>314.15899999999999</v>
      </c>
      <c r="K436" s="9">
        <v>0.5464</v>
      </c>
      <c r="L436" s="9">
        <v>8</v>
      </c>
      <c r="M436" s="14">
        <v>287.48078330893117</v>
      </c>
      <c r="N436" s="9">
        <v>1037</v>
      </c>
      <c r="O436" s="12" t="s">
        <v>86</v>
      </c>
      <c r="P436" s="12" t="s">
        <v>82</v>
      </c>
      <c r="Q436" s="9" t="s">
        <v>87</v>
      </c>
      <c r="R436" s="9" t="s">
        <v>84</v>
      </c>
      <c r="S436" s="9"/>
      <c r="T436" s="18">
        <v>15</v>
      </c>
      <c r="U436" s="18">
        <v>15</v>
      </c>
      <c r="V436" s="9">
        <v>2.8</v>
      </c>
      <c r="Y436" s="9">
        <f t="shared" si="12"/>
        <v>4312.2117496339679</v>
      </c>
      <c r="Z436" s="19" t="s">
        <v>73</v>
      </c>
      <c r="AA436" s="8" t="s">
        <v>196</v>
      </c>
      <c r="AB436" s="8" t="s">
        <v>75</v>
      </c>
      <c r="AC436" s="11" t="s">
        <v>76</v>
      </c>
      <c r="AD436" s="9" t="s">
        <v>85</v>
      </c>
      <c r="AE436" s="56">
        <f t="shared" si="13"/>
        <v>7.2382233599999992</v>
      </c>
      <c r="AF436" s="14">
        <v>7.2382233599999992</v>
      </c>
      <c r="AG436" s="13"/>
    </row>
    <row r="437" spans="1:41" x14ac:dyDescent="0.2">
      <c r="A437" s="5" t="s">
        <v>67</v>
      </c>
      <c r="B437" s="25">
        <v>43319</v>
      </c>
      <c r="C437" s="26">
        <v>0.67708333333333304</v>
      </c>
      <c r="D437" s="5" t="s">
        <v>144</v>
      </c>
      <c r="E437" s="5"/>
      <c r="F437" s="32">
        <v>63.5</v>
      </c>
      <c r="G437" s="9">
        <v>2</v>
      </c>
      <c r="H437" s="6">
        <v>3.1496062992125984E-2</v>
      </c>
      <c r="I437" s="7">
        <v>6.83E-2</v>
      </c>
      <c r="J437" s="9">
        <v>314.15899999999999</v>
      </c>
      <c r="K437" s="9">
        <v>0.5464</v>
      </c>
      <c r="L437" s="9">
        <v>8</v>
      </c>
      <c r="M437" s="14">
        <v>287.48078330893117</v>
      </c>
      <c r="N437" s="9">
        <v>1119</v>
      </c>
      <c r="O437" s="8" t="s">
        <v>197</v>
      </c>
      <c r="P437" s="12" t="s">
        <v>82</v>
      </c>
      <c r="Q437" s="9" t="s">
        <v>198</v>
      </c>
      <c r="R437" s="9" t="s">
        <v>199</v>
      </c>
      <c r="S437" s="9"/>
      <c r="T437" s="18">
        <v>1</v>
      </c>
      <c r="U437" s="18">
        <v>1</v>
      </c>
      <c r="V437" s="9">
        <v>6.5</v>
      </c>
      <c r="Y437" s="9">
        <f t="shared" si="12"/>
        <v>287.48078330893117</v>
      </c>
      <c r="Z437" s="19" t="s">
        <v>73</v>
      </c>
      <c r="AA437" s="8" t="s">
        <v>196</v>
      </c>
      <c r="AB437" s="8" t="s">
        <v>75</v>
      </c>
      <c r="AC437" s="11" t="s">
        <v>76</v>
      </c>
      <c r="AD437" s="9" t="s">
        <v>150</v>
      </c>
      <c r="AE437" s="56">
        <f t="shared" si="13"/>
        <v>57.92568361666666</v>
      </c>
      <c r="AF437" s="14">
        <v>57.92568361666666</v>
      </c>
      <c r="AG437" s="13"/>
    </row>
    <row r="438" spans="1:41" x14ac:dyDescent="0.2">
      <c r="A438" s="5" t="s">
        <v>67</v>
      </c>
      <c r="B438" s="25">
        <v>43319</v>
      </c>
      <c r="C438" s="26">
        <v>0.67708333333333304</v>
      </c>
      <c r="D438" s="5" t="s">
        <v>144</v>
      </c>
      <c r="E438" s="5"/>
      <c r="F438" s="32">
        <v>63.5</v>
      </c>
      <c r="G438" s="9">
        <v>2</v>
      </c>
      <c r="H438" s="6">
        <v>3.1496062992125984E-2</v>
      </c>
      <c r="I438" s="7">
        <v>6.83E-2</v>
      </c>
      <c r="J438" s="9">
        <v>314.15899999999999</v>
      </c>
      <c r="K438" s="9">
        <v>0.5464</v>
      </c>
      <c r="L438" s="9">
        <v>8</v>
      </c>
      <c r="M438" s="14">
        <v>287.48078330893117</v>
      </c>
      <c r="N438" s="9">
        <v>1733</v>
      </c>
      <c r="O438" s="12" t="s">
        <v>92</v>
      </c>
      <c r="P438" s="12" t="s">
        <v>82</v>
      </c>
      <c r="Q438" s="9" t="s">
        <v>89</v>
      </c>
      <c r="R438" s="9" t="s">
        <v>93</v>
      </c>
      <c r="S438" s="9"/>
      <c r="T438" s="18">
        <v>2</v>
      </c>
      <c r="U438" s="18">
        <v>2</v>
      </c>
      <c r="V438" s="9">
        <v>6.5</v>
      </c>
      <c r="Y438" s="9">
        <f t="shared" si="12"/>
        <v>574.96156661786233</v>
      </c>
      <c r="Z438" s="19" t="s">
        <v>73</v>
      </c>
      <c r="AA438" s="8" t="s">
        <v>196</v>
      </c>
      <c r="AB438" s="8" t="s">
        <v>75</v>
      </c>
      <c r="AC438" s="11" t="s">
        <v>76</v>
      </c>
      <c r="AD438" s="9" t="s">
        <v>91</v>
      </c>
      <c r="AE438" s="56">
        <f t="shared" si="13"/>
        <v>118.35285827083332</v>
      </c>
      <c r="AF438" s="14">
        <v>118.35285827083332</v>
      </c>
      <c r="AG438" s="13"/>
    </row>
    <row r="439" spans="1:41" x14ac:dyDescent="0.2">
      <c r="A439" s="5" t="s">
        <v>67</v>
      </c>
      <c r="B439" s="25">
        <v>43319</v>
      </c>
      <c r="C439" s="26">
        <v>0.67708333333333304</v>
      </c>
      <c r="D439" s="5" t="s">
        <v>144</v>
      </c>
      <c r="E439" s="5"/>
      <c r="F439" s="32">
        <v>63.5</v>
      </c>
      <c r="G439" s="9">
        <v>2</v>
      </c>
      <c r="H439" s="6">
        <v>3.1496062992125984E-2</v>
      </c>
      <c r="I439" s="7">
        <v>6.83E-2</v>
      </c>
      <c r="J439" s="9">
        <v>314.15899999999999</v>
      </c>
      <c r="K439" s="9">
        <v>0.5464</v>
      </c>
      <c r="L439" s="9">
        <v>8</v>
      </c>
      <c r="M439" s="14">
        <v>287.48078330893117</v>
      </c>
      <c r="N439" s="9">
        <v>1419</v>
      </c>
      <c r="O439" s="12" t="s">
        <v>94</v>
      </c>
      <c r="P439" s="12" t="s">
        <v>82</v>
      </c>
      <c r="Q439" s="9" t="s">
        <v>95</v>
      </c>
      <c r="R439" s="9" t="s">
        <v>96</v>
      </c>
      <c r="S439" s="9"/>
      <c r="T439" s="18">
        <v>391</v>
      </c>
      <c r="U439" s="18">
        <v>785</v>
      </c>
      <c r="V439" s="9">
        <v>0.8</v>
      </c>
      <c r="W439" s="9">
        <v>0.8</v>
      </c>
      <c r="X439" s="9">
        <v>0.8</v>
      </c>
      <c r="Y439" s="9">
        <f t="shared" si="12"/>
        <v>112404.98627379209</v>
      </c>
      <c r="Z439" s="19" t="s">
        <v>97</v>
      </c>
      <c r="AA439" s="8" t="s">
        <v>196</v>
      </c>
      <c r="AB439" s="8" t="s">
        <v>75</v>
      </c>
      <c r="AC439" s="11" t="s">
        <v>76</v>
      </c>
      <c r="AD439" s="9" t="s">
        <v>85</v>
      </c>
      <c r="AE439" s="56">
        <f t="shared" si="13"/>
        <v>0.17999999999999997</v>
      </c>
      <c r="AF439" s="14">
        <v>0.18</v>
      </c>
      <c r="AG439" s="14">
        <v>0.18</v>
      </c>
      <c r="AH439" s="14">
        <v>0.18</v>
      </c>
      <c r="AI439" s="14">
        <v>0.18</v>
      </c>
      <c r="AJ439" s="14">
        <v>0.18</v>
      </c>
      <c r="AK439" s="14">
        <v>0.18</v>
      </c>
      <c r="AL439" s="14">
        <v>0.18</v>
      </c>
      <c r="AM439" s="14">
        <v>0.18</v>
      </c>
      <c r="AN439" s="14">
        <v>0.18</v>
      </c>
      <c r="AO439" s="14">
        <v>0.18</v>
      </c>
    </row>
    <row r="440" spans="1:41" x14ac:dyDescent="0.2">
      <c r="A440" s="5" t="s">
        <v>67</v>
      </c>
      <c r="B440" s="25">
        <v>43319</v>
      </c>
      <c r="C440" s="26">
        <v>0.67708333333333304</v>
      </c>
      <c r="D440" s="5" t="s">
        <v>144</v>
      </c>
      <c r="E440" s="5"/>
      <c r="F440" s="32">
        <v>63.5</v>
      </c>
      <c r="G440" s="9">
        <v>2</v>
      </c>
      <c r="H440" s="6">
        <v>3.1496062992125984E-2</v>
      </c>
      <c r="I440" s="7">
        <v>6.83E-2</v>
      </c>
      <c r="J440" s="9">
        <v>314.15899999999999</v>
      </c>
      <c r="K440" s="9">
        <v>0.5464</v>
      </c>
      <c r="L440" s="9">
        <v>8</v>
      </c>
      <c r="M440" s="14">
        <v>287.48078330893117</v>
      </c>
      <c r="N440" s="9">
        <v>1420</v>
      </c>
      <c r="O440" s="12" t="s">
        <v>98</v>
      </c>
      <c r="P440" s="12" t="s">
        <v>82</v>
      </c>
      <c r="Q440" s="9" t="s">
        <v>95</v>
      </c>
      <c r="R440" s="9" t="s">
        <v>99</v>
      </c>
      <c r="S440" s="9"/>
      <c r="T440" s="18">
        <v>1</v>
      </c>
      <c r="U440" s="18">
        <v>2</v>
      </c>
      <c r="V440" s="9">
        <v>1.9</v>
      </c>
      <c r="Y440" s="9">
        <f t="shared" si="12"/>
        <v>287.48078330893117</v>
      </c>
      <c r="Z440" s="19" t="s">
        <v>97</v>
      </c>
      <c r="AA440" s="8" t="s">
        <v>196</v>
      </c>
      <c r="AB440" s="8" t="s">
        <v>75</v>
      </c>
      <c r="AC440" s="11" t="s">
        <v>76</v>
      </c>
      <c r="AD440" s="9" t="s">
        <v>85</v>
      </c>
      <c r="AE440" s="56">
        <f t="shared" si="13"/>
        <v>3.5913609683333325</v>
      </c>
      <c r="AF440" s="14">
        <v>3.5913609683333325</v>
      </c>
      <c r="AG440" s="13"/>
    </row>
    <row r="441" spans="1:41" x14ac:dyDescent="0.2">
      <c r="A441" s="5" t="s">
        <v>67</v>
      </c>
      <c r="B441" s="25">
        <v>43319</v>
      </c>
      <c r="C441" s="26">
        <v>0.6875</v>
      </c>
      <c r="D441" s="5" t="s">
        <v>181</v>
      </c>
      <c r="E441" s="5"/>
      <c r="F441" s="32">
        <v>59</v>
      </c>
      <c r="G441" s="9">
        <v>2</v>
      </c>
      <c r="H441" s="6">
        <v>3.3898305084745763E-2</v>
      </c>
      <c r="I441" s="7">
        <v>6.83E-2</v>
      </c>
      <c r="J441" s="9">
        <v>314.15899999999999</v>
      </c>
      <c r="K441" s="9">
        <v>0.8196</v>
      </c>
      <c r="L441" s="9">
        <v>12</v>
      </c>
      <c r="M441" s="14">
        <v>191.65385553928746</v>
      </c>
      <c r="N441" s="9">
        <v>190</v>
      </c>
      <c r="O441" s="12" t="s">
        <v>102</v>
      </c>
      <c r="P441" s="8" t="s">
        <v>70</v>
      </c>
      <c r="Q441" s="9" t="s">
        <v>103</v>
      </c>
      <c r="R441" s="9" t="s">
        <v>84</v>
      </c>
      <c r="S441" s="9"/>
      <c r="T441" s="18">
        <v>1</v>
      </c>
      <c r="U441" s="18">
        <v>1</v>
      </c>
      <c r="V441" s="9">
        <v>9.3000000000000007</v>
      </c>
      <c r="Y441" s="9">
        <f t="shared" si="12"/>
        <v>191.65385553928746</v>
      </c>
      <c r="Z441" s="19" t="s">
        <v>73</v>
      </c>
      <c r="AA441" s="8" t="s">
        <v>182</v>
      </c>
      <c r="AB441" s="8" t="s">
        <v>75</v>
      </c>
      <c r="AC441" s="11" t="s">
        <v>112</v>
      </c>
      <c r="AD441" s="9" t="s">
        <v>104</v>
      </c>
      <c r="AE441" s="56">
        <f t="shared" si="13"/>
        <v>502.67482033500005</v>
      </c>
      <c r="AF441" s="14">
        <v>502.67482033500005</v>
      </c>
      <c r="AG441" s="13"/>
    </row>
    <row r="442" spans="1:41" x14ac:dyDescent="0.2">
      <c r="A442" s="5" t="s">
        <v>67</v>
      </c>
      <c r="B442" s="25">
        <v>43319</v>
      </c>
      <c r="C442" s="26">
        <v>0.6875</v>
      </c>
      <c r="D442" s="5" t="s">
        <v>181</v>
      </c>
      <c r="E442" s="5"/>
      <c r="F442" s="32">
        <v>59</v>
      </c>
      <c r="G442" s="9">
        <v>2</v>
      </c>
      <c r="H442" s="6">
        <v>3.3898305084745763E-2</v>
      </c>
      <c r="I442" s="7">
        <v>6.83E-2</v>
      </c>
      <c r="J442" s="9">
        <v>314.15899999999999</v>
      </c>
      <c r="K442" s="9">
        <v>0.8196</v>
      </c>
      <c r="L442" s="9">
        <v>12</v>
      </c>
      <c r="M442" s="14">
        <v>191.65385553928746</v>
      </c>
      <c r="N442" s="9">
        <v>1031</v>
      </c>
      <c r="O442" s="12" t="s">
        <v>81</v>
      </c>
      <c r="P442" s="12" t="s">
        <v>82</v>
      </c>
      <c r="Q442" s="9" t="s">
        <v>83</v>
      </c>
      <c r="R442" s="9" t="s">
        <v>84</v>
      </c>
      <c r="S442" s="9"/>
      <c r="T442" s="18">
        <v>1</v>
      </c>
      <c r="U442" s="18">
        <v>1</v>
      </c>
      <c r="V442" s="9">
        <v>4.5999999999999996</v>
      </c>
      <c r="Y442" s="9">
        <f t="shared" si="12"/>
        <v>191.65385553928746</v>
      </c>
      <c r="Z442" s="19" t="s">
        <v>73</v>
      </c>
      <c r="AA442" s="8" t="s">
        <v>182</v>
      </c>
      <c r="AB442" s="8" t="s">
        <v>75</v>
      </c>
      <c r="AC442" s="11" t="s">
        <v>112</v>
      </c>
      <c r="AD442" s="9" t="s">
        <v>85</v>
      </c>
      <c r="AE442" s="56">
        <f t="shared" si="13"/>
        <v>32.973081443333328</v>
      </c>
      <c r="AF442" s="14">
        <v>32.973081443333328</v>
      </c>
      <c r="AG442" s="13"/>
    </row>
    <row r="443" spans="1:41" x14ac:dyDescent="0.2">
      <c r="A443" s="5" t="s">
        <v>67</v>
      </c>
      <c r="B443" s="25">
        <v>43319</v>
      </c>
      <c r="C443" s="26">
        <v>0.6875</v>
      </c>
      <c r="D443" s="5" t="s">
        <v>181</v>
      </c>
      <c r="E443" s="5"/>
      <c r="F443" s="32">
        <v>59</v>
      </c>
      <c r="G443" s="9">
        <v>2</v>
      </c>
      <c r="H443" s="6">
        <v>3.3898305084745763E-2</v>
      </c>
      <c r="I443" s="7">
        <v>6.83E-2</v>
      </c>
      <c r="J443" s="9">
        <v>314.15899999999999</v>
      </c>
      <c r="K443" s="9">
        <v>0.8196</v>
      </c>
      <c r="L443" s="9">
        <v>12</v>
      </c>
      <c r="M443" s="14">
        <v>191.65385553928746</v>
      </c>
      <c r="N443" s="9">
        <v>1037</v>
      </c>
      <c r="O443" s="12" t="s">
        <v>86</v>
      </c>
      <c r="P443" s="12" t="s">
        <v>82</v>
      </c>
      <c r="Q443" s="9" t="s">
        <v>87</v>
      </c>
      <c r="R443" s="9" t="s">
        <v>84</v>
      </c>
      <c r="S443" s="9"/>
      <c r="T443" s="18">
        <v>49</v>
      </c>
      <c r="U443" s="18">
        <v>49</v>
      </c>
      <c r="V443" s="9">
        <v>3.7</v>
      </c>
      <c r="Y443" s="9">
        <f t="shared" si="12"/>
        <v>9391.0389214250845</v>
      </c>
      <c r="Z443" s="19" t="s">
        <v>73</v>
      </c>
      <c r="AA443" s="8" t="s">
        <v>182</v>
      </c>
      <c r="AB443" s="8" t="s">
        <v>75</v>
      </c>
      <c r="AC443" s="11" t="s">
        <v>112</v>
      </c>
      <c r="AD443" s="9" t="s">
        <v>85</v>
      </c>
      <c r="AE443" s="56">
        <f t="shared" si="13"/>
        <v>17.157270186666665</v>
      </c>
      <c r="AF443" s="14">
        <v>17.157270186666665</v>
      </c>
      <c r="AG443" s="13"/>
    </row>
    <row r="444" spans="1:41" x14ac:dyDescent="0.2">
      <c r="A444" s="5" t="s">
        <v>67</v>
      </c>
      <c r="B444" s="25">
        <v>43319</v>
      </c>
      <c r="C444" s="26">
        <v>0.6875</v>
      </c>
      <c r="D444" s="5" t="s">
        <v>181</v>
      </c>
      <c r="E444" s="5"/>
      <c r="F444" s="32">
        <v>59</v>
      </c>
      <c r="G444" s="9">
        <v>2</v>
      </c>
      <c r="H444" s="6">
        <v>3.3898305084745763E-2</v>
      </c>
      <c r="I444" s="7">
        <v>6.83E-2</v>
      </c>
      <c r="J444" s="9">
        <v>314.15899999999999</v>
      </c>
      <c r="K444" s="9">
        <v>0.8196</v>
      </c>
      <c r="L444" s="9">
        <v>12</v>
      </c>
      <c r="M444" s="14">
        <v>191.65385553928746</v>
      </c>
      <c r="N444" s="9">
        <v>1140</v>
      </c>
      <c r="O444" s="12" t="s">
        <v>126</v>
      </c>
      <c r="P444" s="12" t="s">
        <v>82</v>
      </c>
      <c r="Q444" s="9" t="s">
        <v>127</v>
      </c>
      <c r="R444" s="9" t="s">
        <v>128</v>
      </c>
      <c r="S444" s="9"/>
      <c r="T444" s="18">
        <v>2</v>
      </c>
      <c r="U444" s="18">
        <v>2</v>
      </c>
      <c r="V444" s="9">
        <v>11.1</v>
      </c>
      <c r="Y444" s="9">
        <f t="shared" si="12"/>
        <v>383.30771107857493</v>
      </c>
      <c r="Z444" s="19" t="s">
        <v>73</v>
      </c>
      <c r="AA444" s="8" t="s">
        <v>182</v>
      </c>
      <c r="AB444" s="8" t="s">
        <v>75</v>
      </c>
      <c r="AC444" s="11" t="s">
        <v>112</v>
      </c>
      <c r="AD444" s="9" t="s">
        <v>129</v>
      </c>
      <c r="AE444" s="56">
        <f t="shared" si="13"/>
        <v>45.565621359999987</v>
      </c>
      <c r="AF444" s="14">
        <v>45.565621359999987</v>
      </c>
      <c r="AG444" s="13"/>
    </row>
    <row r="445" spans="1:41" x14ac:dyDescent="0.2">
      <c r="A445" s="5" t="s">
        <v>67</v>
      </c>
      <c r="B445" s="25">
        <v>43319</v>
      </c>
      <c r="C445" s="26">
        <v>0.6875</v>
      </c>
      <c r="D445" s="5" t="s">
        <v>181</v>
      </c>
      <c r="E445" s="5"/>
      <c r="F445" s="32">
        <v>59</v>
      </c>
      <c r="G445" s="9">
        <v>2</v>
      </c>
      <c r="H445" s="6">
        <v>3.3898305084745763E-2</v>
      </c>
      <c r="I445" s="7">
        <v>6.83E-2</v>
      </c>
      <c r="J445" s="9">
        <v>314.15899999999999</v>
      </c>
      <c r="K445" s="9">
        <v>0.8196</v>
      </c>
      <c r="L445" s="9">
        <v>12</v>
      </c>
      <c r="M445" s="14">
        <v>191.65385553928746</v>
      </c>
      <c r="N445" s="9">
        <v>1364</v>
      </c>
      <c r="O445" s="12" t="s">
        <v>88</v>
      </c>
      <c r="P445" s="12" t="s">
        <v>82</v>
      </c>
      <c r="Q445" s="9" t="s">
        <v>89</v>
      </c>
      <c r="R445" s="9" t="s">
        <v>90</v>
      </c>
      <c r="S445" s="9"/>
      <c r="T445" s="18">
        <v>1</v>
      </c>
      <c r="U445" s="18">
        <v>1</v>
      </c>
      <c r="V445" s="9">
        <v>9.3000000000000007</v>
      </c>
      <c r="Y445" s="9">
        <f t="shared" si="12"/>
        <v>191.65385553928746</v>
      </c>
      <c r="Z445" s="19" t="s">
        <v>73</v>
      </c>
      <c r="AA445" s="8" t="s">
        <v>182</v>
      </c>
      <c r="AB445" s="8" t="s">
        <v>75</v>
      </c>
      <c r="AC445" s="11" t="s">
        <v>112</v>
      </c>
      <c r="AD445" s="9" t="s">
        <v>91</v>
      </c>
      <c r="AE445" s="56">
        <f t="shared" si="13"/>
        <v>337.38084788249995</v>
      </c>
      <c r="AF445" s="14">
        <v>337.38084788249995</v>
      </c>
      <c r="AG445" s="13"/>
    </row>
    <row r="446" spans="1:41" x14ac:dyDescent="0.2">
      <c r="A446" s="5" t="s">
        <v>67</v>
      </c>
      <c r="B446" s="25">
        <v>43319</v>
      </c>
      <c r="C446" s="26">
        <v>0.6875</v>
      </c>
      <c r="D446" s="5" t="s">
        <v>181</v>
      </c>
      <c r="E446" s="5"/>
      <c r="F446" s="32">
        <v>59</v>
      </c>
      <c r="G446" s="9">
        <v>2</v>
      </c>
      <c r="H446" s="6">
        <v>3.3898305084745763E-2</v>
      </c>
      <c r="I446" s="7">
        <v>6.83E-2</v>
      </c>
      <c r="J446" s="9">
        <v>314.15899999999999</v>
      </c>
      <c r="K446" s="9">
        <v>0.8196</v>
      </c>
      <c r="L446" s="9">
        <v>12</v>
      </c>
      <c r="M446" s="14">
        <v>191.65385553928746</v>
      </c>
      <c r="N446" s="9">
        <v>1733</v>
      </c>
      <c r="O446" s="12" t="s">
        <v>92</v>
      </c>
      <c r="P446" s="12" t="s">
        <v>82</v>
      </c>
      <c r="Q446" s="9" t="s">
        <v>89</v>
      </c>
      <c r="R446" s="9" t="s">
        <v>93</v>
      </c>
      <c r="S446" s="9"/>
      <c r="T446" s="18">
        <v>1</v>
      </c>
      <c r="U446" s="18">
        <v>1</v>
      </c>
      <c r="V446" s="9">
        <v>6.5</v>
      </c>
      <c r="Y446" s="9">
        <f t="shared" si="12"/>
        <v>191.65385553928746</v>
      </c>
      <c r="Z446" s="19" t="s">
        <v>73</v>
      </c>
      <c r="AA446" s="8" t="s">
        <v>182</v>
      </c>
      <c r="AB446" s="8" t="s">
        <v>75</v>
      </c>
      <c r="AC446" s="11" t="s">
        <v>112</v>
      </c>
      <c r="AD446" s="9" t="s">
        <v>91</v>
      </c>
      <c r="AE446" s="56">
        <f t="shared" si="13"/>
        <v>112.822350875</v>
      </c>
      <c r="AF446" s="14">
        <v>112.822350875</v>
      </c>
      <c r="AG446" s="13"/>
    </row>
    <row r="447" spans="1:41" x14ac:dyDescent="0.2">
      <c r="A447" s="5" t="s">
        <v>67</v>
      </c>
      <c r="B447" s="25">
        <v>43319</v>
      </c>
      <c r="C447" s="26">
        <v>0.6875</v>
      </c>
      <c r="D447" s="5" t="s">
        <v>181</v>
      </c>
      <c r="E447" s="5"/>
      <c r="F447" s="32">
        <v>59</v>
      </c>
      <c r="G447" s="9">
        <v>2</v>
      </c>
      <c r="H447" s="6">
        <v>3.3898305084745763E-2</v>
      </c>
      <c r="I447" s="7">
        <v>6.83E-2</v>
      </c>
      <c r="J447" s="9">
        <v>314.15899999999999</v>
      </c>
      <c r="K447" s="9">
        <v>0.8196</v>
      </c>
      <c r="L447" s="9">
        <v>12</v>
      </c>
      <c r="M447" s="14">
        <v>191.65385553928746</v>
      </c>
      <c r="N447" s="9">
        <v>1365</v>
      </c>
      <c r="O447" s="8" t="s">
        <v>121</v>
      </c>
      <c r="P447" s="12" t="s">
        <v>82</v>
      </c>
      <c r="Q447" s="9" t="s">
        <v>122</v>
      </c>
      <c r="R447" s="9" t="s">
        <v>123</v>
      </c>
      <c r="S447" s="9"/>
      <c r="T447" s="18">
        <v>1</v>
      </c>
      <c r="U447" s="18">
        <v>1</v>
      </c>
      <c r="V447" s="9">
        <v>10.199999999999999</v>
      </c>
      <c r="Y447" s="9">
        <f t="shared" si="12"/>
        <v>191.65385553928746</v>
      </c>
      <c r="Z447" s="19" t="s">
        <v>73</v>
      </c>
      <c r="AA447" s="8" t="s">
        <v>182</v>
      </c>
      <c r="AB447" s="8" t="s">
        <v>75</v>
      </c>
      <c r="AC447" s="11" t="s">
        <v>112</v>
      </c>
      <c r="AD447" s="9" t="s">
        <v>91</v>
      </c>
      <c r="AE447" s="56">
        <f t="shared" si="13"/>
        <v>479.3815012799999</v>
      </c>
      <c r="AF447" s="14">
        <v>479.3815012799999</v>
      </c>
      <c r="AG447" s="13"/>
    </row>
    <row r="448" spans="1:41" x14ac:dyDescent="0.2">
      <c r="A448" s="5" t="s">
        <v>67</v>
      </c>
      <c r="B448" s="25">
        <v>43319</v>
      </c>
      <c r="C448" s="26">
        <v>0.6875</v>
      </c>
      <c r="D448" s="5" t="s">
        <v>181</v>
      </c>
      <c r="E448" s="5"/>
      <c r="F448" s="32">
        <v>59</v>
      </c>
      <c r="G448" s="9">
        <v>2</v>
      </c>
      <c r="H448" s="6">
        <v>3.3898305084745763E-2</v>
      </c>
      <c r="I448" s="7">
        <v>6.83E-2</v>
      </c>
      <c r="J448" s="9">
        <v>314.15899999999999</v>
      </c>
      <c r="K448" s="9">
        <v>0.8196</v>
      </c>
      <c r="L448" s="9">
        <v>12</v>
      </c>
      <c r="M448" s="14">
        <v>191.65385553928746</v>
      </c>
      <c r="N448" s="9">
        <v>1419</v>
      </c>
      <c r="O448" s="12" t="s">
        <v>94</v>
      </c>
      <c r="P448" s="12" t="s">
        <v>82</v>
      </c>
      <c r="Q448" s="9" t="s">
        <v>95</v>
      </c>
      <c r="R448" s="9" t="s">
        <v>96</v>
      </c>
      <c r="S448" s="9"/>
      <c r="T448" s="18">
        <v>360</v>
      </c>
      <c r="U448" s="18">
        <v>722</v>
      </c>
      <c r="V448" s="9">
        <v>0.8</v>
      </c>
      <c r="W448" s="9">
        <v>0.8</v>
      </c>
      <c r="X448" s="9">
        <v>0.8</v>
      </c>
      <c r="Y448" s="9">
        <f t="shared" si="12"/>
        <v>68995.387994143486</v>
      </c>
      <c r="Z448" s="19" t="s">
        <v>97</v>
      </c>
      <c r="AA448" s="8" t="s">
        <v>182</v>
      </c>
      <c r="AB448" s="8" t="s">
        <v>75</v>
      </c>
      <c r="AC448" s="11" t="s">
        <v>112</v>
      </c>
      <c r="AD448" s="9" t="s">
        <v>85</v>
      </c>
      <c r="AE448" s="56">
        <f t="shared" si="13"/>
        <v>0.17999999999999997</v>
      </c>
      <c r="AF448" s="14">
        <v>0.18</v>
      </c>
      <c r="AG448" s="14">
        <v>0.18</v>
      </c>
      <c r="AH448" s="14">
        <v>0.18</v>
      </c>
      <c r="AI448" s="14">
        <v>0.18</v>
      </c>
      <c r="AJ448" s="14">
        <v>0.18</v>
      </c>
      <c r="AK448" s="14">
        <v>0.18</v>
      </c>
      <c r="AL448" s="14">
        <v>0.18</v>
      </c>
      <c r="AM448" s="14">
        <v>0.18</v>
      </c>
      <c r="AN448" s="14">
        <v>0.18</v>
      </c>
      <c r="AO448" s="14">
        <v>0.18</v>
      </c>
    </row>
    <row r="449" spans="1:41" x14ac:dyDescent="0.2">
      <c r="A449" s="5" t="s">
        <v>67</v>
      </c>
      <c r="B449" s="25">
        <v>43319</v>
      </c>
      <c r="C449" s="26">
        <v>0.6875</v>
      </c>
      <c r="D449" s="5" t="s">
        <v>181</v>
      </c>
      <c r="E449" s="5"/>
      <c r="F449" s="32">
        <v>59</v>
      </c>
      <c r="G449" s="9">
        <v>2</v>
      </c>
      <c r="H449" s="6">
        <v>3.3898305084745763E-2</v>
      </c>
      <c r="I449" s="7">
        <v>6.83E-2</v>
      </c>
      <c r="J449" s="9">
        <v>314.15899999999999</v>
      </c>
      <c r="K449" s="9">
        <v>0.8196</v>
      </c>
      <c r="L449" s="9">
        <v>12</v>
      </c>
      <c r="M449" s="14">
        <v>191.65385553928746</v>
      </c>
      <c r="N449" s="9">
        <v>1681</v>
      </c>
      <c r="O449" s="12" t="s">
        <v>183</v>
      </c>
      <c r="P449" s="12" t="s">
        <v>82</v>
      </c>
      <c r="Q449" s="9" t="s">
        <v>95</v>
      </c>
      <c r="R449" s="9" t="s">
        <v>184</v>
      </c>
      <c r="S449" s="9"/>
      <c r="T449" s="18">
        <v>2</v>
      </c>
      <c r="U449" s="18">
        <v>8</v>
      </c>
      <c r="V449" s="9">
        <v>3.7</v>
      </c>
      <c r="Y449" s="9">
        <f t="shared" si="12"/>
        <v>383.30771107857493</v>
      </c>
      <c r="Z449" s="19" t="s">
        <v>97</v>
      </c>
      <c r="AA449" s="8" t="s">
        <v>182</v>
      </c>
      <c r="AB449" s="8" t="s">
        <v>75</v>
      </c>
      <c r="AC449" s="11" t="s">
        <v>112</v>
      </c>
      <c r="AD449" s="9" t="s">
        <v>85</v>
      </c>
      <c r="AE449" s="56">
        <f t="shared" si="13"/>
        <v>26.521826378333333</v>
      </c>
      <c r="AF449" s="14">
        <v>26.521826378333333</v>
      </c>
      <c r="AG449" s="13"/>
    </row>
    <row r="450" spans="1:41" x14ac:dyDescent="0.2">
      <c r="A450" s="5" t="s">
        <v>67</v>
      </c>
      <c r="B450" s="25">
        <v>43319</v>
      </c>
      <c r="C450" s="26">
        <v>0.6875</v>
      </c>
      <c r="D450" s="5" t="s">
        <v>181</v>
      </c>
      <c r="E450" s="5"/>
      <c r="F450" s="32">
        <v>59</v>
      </c>
      <c r="G450" s="9">
        <v>2</v>
      </c>
      <c r="H450" s="6">
        <v>3.3898305084745763E-2</v>
      </c>
      <c r="I450" s="7">
        <v>6.83E-2</v>
      </c>
      <c r="J450" s="9">
        <v>314.15899999999999</v>
      </c>
      <c r="K450" s="9">
        <v>0.8196</v>
      </c>
      <c r="L450" s="9">
        <v>12</v>
      </c>
      <c r="M450" s="14">
        <v>191.65385553928746</v>
      </c>
      <c r="N450" s="9">
        <v>1507</v>
      </c>
      <c r="O450" s="12" t="s">
        <v>185</v>
      </c>
      <c r="P450" s="12" t="s">
        <v>82</v>
      </c>
      <c r="Q450" s="9" t="s">
        <v>133</v>
      </c>
      <c r="R450" s="9" t="s">
        <v>186</v>
      </c>
      <c r="S450" s="9"/>
      <c r="T450" s="18">
        <v>1</v>
      </c>
      <c r="U450" s="18">
        <v>32</v>
      </c>
      <c r="V450" s="9">
        <v>3.7</v>
      </c>
      <c r="Y450" s="9">
        <f t="shared" si="12"/>
        <v>191.65385553928746</v>
      </c>
      <c r="Z450" s="19" t="s">
        <v>134</v>
      </c>
      <c r="AA450" s="8" t="s">
        <v>182</v>
      </c>
      <c r="AB450" s="8" t="s">
        <v>75</v>
      </c>
      <c r="AC450" s="11" t="s">
        <v>112</v>
      </c>
      <c r="AD450" s="9" t="s">
        <v>104</v>
      </c>
      <c r="AE450" s="56">
        <f t="shared" si="13"/>
        <v>22.782810679999997</v>
      </c>
      <c r="AF450" s="14">
        <v>22.782810679999997</v>
      </c>
      <c r="AG450" s="13"/>
    </row>
    <row r="451" spans="1:41" x14ac:dyDescent="0.2">
      <c r="A451" s="5" t="s">
        <v>67</v>
      </c>
      <c r="B451" s="25">
        <v>43319</v>
      </c>
      <c r="C451" s="26">
        <v>0.70138888888888895</v>
      </c>
      <c r="D451" s="5" t="s">
        <v>189</v>
      </c>
      <c r="E451" s="5">
        <v>3</v>
      </c>
      <c r="F451" s="32">
        <v>62</v>
      </c>
      <c r="G451" s="9">
        <v>2</v>
      </c>
      <c r="H451" s="6">
        <v>3.2258064516129031E-2</v>
      </c>
      <c r="I451" s="7">
        <v>6.83E-2</v>
      </c>
      <c r="J451" s="9">
        <v>314.15899999999999</v>
      </c>
      <c r="K451" s="9">
        <v>0.75129999999999997</v>
      </c>
      <c r="L451" s="9">
        <v>11</v>
      </c>
      <c r="M451" s="14">
        <v>209.07693331558633</v>
      </c>
      <c r="N451" s="9">
        <v>749</v>
      </c>
      <c r="O451" s="12" t="s">
        <v>190</v>
      </c>
      <c r="P451" s="8" t="s">
        <v>70</v>
      </c>
      <c r="Q451" s="9" t="s">
        <v>191</v>
      </c>
      <c r="R451" s="9" t="s">
        <v>84</v>
      </c>
      <c r="S451" s="9"/>
      <c r="T451" s="18">
        <v>1</v>
      </c>
      <c r="U451" s="18">
        <v>1</v>
      </c>
      <c r="V451" s="9">
        <v>20.399999999999999</v>
      </c>
      <c r="Y451" s="9">
        <f t="shared" ref="Y451:Y514" si="14">(T451*J451)/(G451*I451*L451)</f>
        <v>209.07693331558633</v>
      </c>
      <c r="Z451" s="19" t="s">
        <v>73</v>
      </c>
      <c r="AA451" s="8" t="s">
        <v>192</v>
      </c>
      <c r="AB451" s="8" t="s">
        <v>75</v>
      </c>
      <c r="AC451" s="11" t="s">
        <v>76</v>
      </c>
      <c r="AD451" s="9" t="s">
        <v>193</v>
      </c>
      <c r="AE451" s="56">
        <f t="shared" ref="AE451:AE514" si="15">AVERAGE(AF451:AO451)</f>
        <v>79.967999999999975</v>
      </c>
      <c r="AF451" s="14">
        <v>79.967999999999975</v>
      </c>
      <c r="AG451" s="13"/>
    </row>
    <row r="452" spans="1:41" x14ac:dyDescent="0.2">
      <c r="A452" s="5" t="s">
        <v>67</v>
      </c>
      <c r="B452" s="25">
        <v>43319</v>
      </c>
      <c r="C452" s="26">
        <v>0.70138888888888895</v>
      </c>
      <c r="D452" s="5" t="s">
        <v>189</v>
      </c>
      <c r="E452" s="5">
        <v>3</v>
      </c>
      <c r="F452" s="32">
        <v>62</v>
      </c>
      <c r="G452" s="9">
        <v>2</v>
      </c>
      <c r="H452" s="6">
        <v>3.2258064516129031E-2</v>
      </c>
      <c r="I452" s="7">
        <v>6.83E-2</v>
      </c>
      <c r="J452" s="9">
        <v>314.15899999999999</v>
      </c>
      <c r="K452" s="9">
        <v>0.75129999999999997</v>
      </c>
      <c r="L452" s="9">
        <v>11</v>
      </c>
      <c r="M452" s="14">
        <v>209.07693331558633</v>
      </c>
      <c r="N452" s="9">
        <v>1031</v>
      </c>
      <c r="O452" s="12" t="s">
        <v>81</v>
      </c>
      <c r="P452" s="12" t="s">
        <v>82</v>
      </c>
      <c r="Q452" s="9" t="s">
        <v>83</v>
      </c>
      <c r="R452" s="9" t="s">
        <v>84</v>
      </c>
      <c r="S452" s="9"/>
      <c r="T452" s="18">
        <v>1</v>
      </c>
      <c r="U452" s="18">
        <v>1</v>
      </c>
      <c r="V452" s="9">
        <v>5.6</v>
      </c>
      <c r="Y452" s="9">
        <f t="shared" si="14"/>
        <v>209.07693331558633</v>
      </c>
      <c r="Z452" s="19" t="s">
        <v>73</v>
      </c>
      <c r="AA452" s="8" t="s">
        <v>192</v>
      </c>
      <c r="AB452" s="8" t="s">
        <v>75</v>
      </c>
      <c r="AC452" s="11" t="s">
        <v>76</v>
      </c>
      <c r="AD452" s="9" t="s">
        <v>85</v>
      </c>
      <c r="AE452" s="56">
        <f t="shared" si="15"/>
        <v>75.532201173333306</v>
      </c>
      <c r="AF452" s="14">
        <v>75.532201173333306</v>
      </c>
      <c r="AG452" s="13"/>
    </row>
    <row r="453" spans="1:41" x14ac:dyDescent="0.2">
      <c r="A453" s="5" t="s">
        <v>67</v>
      </c>
      <c r="B453" s="25">
        <v>43319</v>
      </c>
      <c r="C453" s="26">
        <v>0.70138888888888895</v>
      </c>
      <c r="D453" s="5" t="s">
        <v>189</v>
      </c>
      <c r="E453" s="5">
        <v>3</v>
      </c>
      <c r="F453" s="32">
        <v>62</v>
      </c>
      <c r="G453" s="9">
        <v>2</v>
      </c>
      <c r="H453" s="6">
        <v>3.2258064516129031E-2</v>
      </c>
      <c r="I453" s="7">
        <v>6.83E-2</v>
      </c>
      <c r="J453" s="9">
        <v>314.15899999999999</v>
      </c>
      <c r="K453" s="9">
        <v>0.75129999999999997</v>
      </c>
      <c r="L453" s="9">
        <v>11</v>
      </c>
      <c r="M453" s="14">
        <v>209.07693331558633</v>
      </c>
      <c r="N453" s="9">
        <v>1037</v>
      </c>
      <c r="O453" s="12" t="s">
        <v>86</v>
      </c>
      <c r="P453" s="12" t="s">
        <v>82</v>
      </c>
      <c r="Q453" s="9" t="s">
        <v>87</v>
      </c>
      <c r="R453" s="9" t="s">
        <v>84</v>
      </c>
      <c r="S453" s="9"/>
      <c r="T453" s="18">
        <v>21</v>
      </c>
      <c r="U453" s="18">
        <v>21</v>
      </c>
      <c r="V453" s="9">
        <v>2.8</v>
      </c>
      <c r="Y453" s="9">
        <f t="shared" si="14"/>
        <v>4390.6155996273128</v>
      </c>
      <c r="Z453" s="19" t="s">
        <v>73</v>
      </c>
      <c r="AA453" s="8" t="s">
        <v>192</v>
      </c>
      <c r="AB453" s="8" t="s">
        <v>75</v>
      </c>
      <c r="AC453" s="11" t="s">
        <v>76</v>
      </c>
      <c r="AD453" s="9" t="s">
        <v>85</v>
      </c>
      <c r="AE453" s="56">
        <f t="shared" si="15"/>
        <v>9.2027643066666673</v>
      </c>
      <c r="AF453" s="14">
        <v>9.2027643066666673</v>
      </c>
      <c r="AG453" s="13"/>
    </row>
    <row r="454" spans="1:41" x14ac:dyDescent="0.2">
      <c r="A454" s="5" t="s">
        <v>67</v>
      </c>
      <c r="B454" s="25">
        <v>43319</v>
      </c>
      <c r="C454" s="26">
        <v>0.70138888888888895</v>
      </c>
      <c r="D454" s="5" t="s">
        <v>189</v>
      </c>
      <c r="E454" s="5">
        <v>3</v>
      </c>
      <c r="F454" s="32">
        <v>62</v>
      </c>
      <c r="G454" s="9">
        <v>2</v>
      </c>
      <c r="H454" s="6">
        <v>3.2258064516129031E-2</v>
      </c>
      <c r="I454" s="7">
        <v>6.83E-2</v>
      </c>
      <c r="J454" s="9">
        <v>314.15899999999999</v>
      </c>
      <c r="K454" s="9">
        <v>0.75129999999999997</v>
      </c>
      <c r="L454" s="9">
        <v>11</v>
      </c>
      <c r="M454" s="14">
        <v>209.07693331558633</v>
      </c>
      <c r="N454" s="9">
        <v>1733</v>
      </c>
      <c r="O454" s="12" t="s">
        <v>92</v>
      </c>
      <c r="P454" s="12" t="s">
        <v>82</v>
      </c>
      <c r="Q454" s="9" t="s">
        <v>89</v>
      </c>
      <c r="R454" s="9" t="s">
        <v>93</v>
      </c>
      <c r="S454" s="9"/>
      <c r="T454" s="18">
        <v>2</v>
      </c>
      <c r="U454" s="18">
        <v>2</v>
      </c>
      <c r="V454" s="9">
        <v>7.4</v>
      </c>
      <c r="Y454" s="9">
        <f t="shared" si="14"/>
        <v>418.15386663117266</v>
      </c>
      <c r="Z454" s="19" t="s">
        <v>73</v>
      </c>
      <c r="AA454" s="8" t="s">
        <v>192</v>
      </c>
      <c r="AB454" s="8" t="s">
        <v>75</v>
      </c>
      <c r="AC454" s="11" t="s">
        <v>76</v>
      </c>
      <c r="AD454" s="9" t="s">
        <v>91</v>
      </c>
      <c r="AE454" s="56">
        <f t="shared" si="15"/>
        <v>166.29901945333336</v>
      </c>
      <c r="AF454" s="14">
        <v>166.29901945333336</v>
      </c>
      <c r="AG454" s="13"/>
    </row>
    <row r="455" spans="1:41" x14ac:dyDescent="0.2">
      <c r="A455" s="5" t="s">
        <v>67</v>
      </c>
      <c r="B455" s="25">
        <v>43319</v>
      </c>
      <c r="C455" s="26">
        <v>0.70138888888888895</v>
      </c>
      <c r="D455" s="5" t="s">
        <v>189</v>
      </c>
      <c r="E455" s="5">
        <v>3</v>
      </c>
      <c r="F455" s="32">
        <v>62</v>
      </c>
      <c r="G455" s="9">
        <v>2</v>
      </c>
      <c r="H455" s="6">
        <v>3.2258064516129031E-2</v>
      </c>
      <c r="I455" s="7">
        <v>6.83E-2</v>
      </c>
      <c r="J455" s="9">
        <v>314.15899999999999</v>
      </c>
      <c r="K455" s="9">
        <v>0.75129999999999997</v>
      </c>
      <c r="L455" s="9">
        <v>11</v>
      </c>
      <c r="M455" s="14">
        <v>209.07693331558633</v>
      </c>
      <c r="N455" s="9">
        <v>1419</v>
      </c>
      <c r="O455" s="12" t="s">
        <v>94</v>
      </c>
      <c r="P455" s="12" t="s">
        <v>82</v>
      </c>
      <c r="Q455" s="9" t="s">
        <v>95</v>
      </c>
      <c r="R455" s="9" t="s">
        <v>96</v>
      </c>
      <c r="S455" s="9"/>
      <c r="T455" s="18">
        <v>370</v>
      </c>
      <c r="U455" s="18">
        <v>744</v>
      </c>
      <c r="V455" s="9">
        <v>0.8</v>
      </c>
      <c r="W455" s="9">
        <v>0.8</v>
      </c>
      <c r="X455" s="9">
        <v>0.8</v>
      </c>
      <c r="Y455" s="9">
        <f t="shared" si="14"/>
        <v>77358.465326766935</v>
      </c>
      <c r="Z455" s="19" t="s">
        <v>97</v>
      </c>
      <c r="AA455" s="8" t="s">
        <v>192</v>
      </c>
      <c r="AB455" s="8" t="s">
        <v>75</v>
      </c>
      <c r="AC455" s="11" t="s">
        <v>76</v>
      </c>
      <c r="AD455" s="9" t="s">
        <v>85</v>
      </c>
      <c r="AE455" s="56">
        <f t="shared" si="15"/>
        <v>0.17999999999999997</v>
      </c>
      <c r="AF455" s="14">
        <v>0.18</v>
      </c>
      <c r="AG455" s="14">
        <v>0.18</v>
      </c>
      <c r="AH455" s="14">
        <v>0.18</v>
      </c>
      <c r="AI455" s="14">
        <v>0.18</v>
      </c>
      <c r="AJ455" s="14">
        <v>0.18</v>
      </c>
      <c r="AK455" s="14">
        <v>0.18</v>
      </c>
      <c r="AL455" s="14">
        <v>0.18</v>
      </c>
      <c r="AM455" s="14">
        <v>0.18</v>
      </c>
      <c r="AN455" s="14">
        <v>0.18</v>
      </c>
      <c r="AO455" s="14">
        <v>0.18</v>
      </c>
    </row>
    <row r="456" spans="1:41" x14ac:dyDescent="0.2">
      <c r="A456" s="5" t="s">
        <v>67</v>
      </c>
      <c r="B456" s="25">
        <v>43319</v>
      </c>
      <c r="C456" s="26">
        <v>0.70138888888888895</v>
      </c>
      <c r="D456" s="5" t="s">
        <v>189</v>
      </c>
      <c r="E456" s="5">
        <v>3</v>
      </c>
      <c r="F456" s="32">
        <v>62</v>
      </c>
      <c r="G456" s="9">
        <v>2</v>
      </c>
      <c r="H456" s="6">
        <v>3.2258064516129031E-2</v>
      </c>
      <c r="I456" s="7">
        <v>6.83E-2</v>
      </c>
      <c r="J456" s="9">
        <v>314.15899999999999</v>
      </c>
      <c r="K456" s="9">
        <v>0.75129999999999997</v>
      </c>
      <c r="L456" s="9">
        <v>11</v>
      </c>
      <c r="M456" s="14">
        <v>209.07693331558633</v>
      </c>
      <c r="N456" s="9">
        <v>1421</v>
      </c>
      <c r="O456" s="12" t="s">
        <v>130</v>
      </c>
      <c r="P456" s="12" t="s">
        <v>82</v>
      </c>
      <c r="Q456" s="9" t="s">
        <v>95</v>
      </c>
      <c r="R456" s="9" t="s">
        <v>131</v>
      </c>
      <c r="S456" s="9"/>
      <c r="T456" s="18">
        <v>5</v>
      </c>
      <c r="U456" s="18">
        <v>7</v>
      </c>
      <c r="V456" s="9">
        <v>5.6</v>
      </c>
      <c r="Y456" s="9">
        <f t="shared" si="14"/>
        <v>1045.3846665779317</v>
      </c>
      <c r="Z456" s="19" t="s">
        <v>97</v>
      </c>
      <c r="AA456" s="8" t="s">
        <v>192</v>
      </c>
      <c r="AB456" s="8" t="s">
        <v>75</v>
      </c>
      <c r="AC456" s="11" t="s">
        <v>76</v>
      </c>
      <c r="AD456" s="9" t="s">
        <v>85</v>
      </c>
      <c r="AE456" s="56">
        <f t="shared" si="15"/>
        <v>73.622114453333339</v>
      </c>
      <c r="AF456" s="14">
        <v>73.622114453333339</v>
      </c>
      <c r="AG456" s="13"/>
    </row>
    <row r="457" spans="1:41" x14ac:dyDescent="0.2">
      <c r="A457" s="5" t="s">
        <v>67</v>
      </c>
      <c r="B457" s="25">
        <v>43319</v>
      </c>
      <c r="C457" s="26">
        <v>0.72222222222222199</v>
      </c>
      <c r="D457" s="5" t="s">
        <v>170</v>
      </c>
      <c r="E457" s="5">
        <v>3</v>
      </c>
      <c r="F457" s="32">
        <v>57</v>
      </c>
      <c r="G457" s="9">
        <v>2</v>
      </c>
      <c r="H457" s="6">
        <v>3.5087719298245612E-2</v>
      </c>
      <c r="I457" s="7">
        <v>6.83E-2</v>
      </c>
      <c r="J457" s="9">
        <v>314.15899999999999</v>
      </c>
      <c r="K457" s="9">
        <v>0.5464</v>
      </c>
      <c r="L457" s="9">
        <v>8</v>
      </c>
      <c r="M457" s="14">
        <v>287.48078330893117</v>
      </c>
      <c r="N457" s="9">
        <v>190</v>
      </c>
      <c r="O457" s="12" t="s">
        <v>102</v>
      </c>
      <c r="P457" s="8" t="s">
        <v>70</v>
      </c>
      <c r="Q457" s="9" t="s">
        <v>103</v>
      </c>
      <c r="R457" s="9" t="s">
        <v>84</v>
      </c>
      <c r="S457" s="9"/>
      <c r="T457" s="18">
        <v>1</v>
      </c>
      <c r="U457" s="18">
        <v>1</v>
      </c>
      <c r="V457" s="9">
        <v>5.6</v>
      </c>
      <c r="Y457" s="9">
        <f t="shared" si="14"/>
        <v>287.48078330893117</v>
      </c>
      <c r="Z457" s="19" t="s">
        <v>73</v>
      </c>
      <c r="AA457" s="8" t="s">
        <v>171</v>
      </c>
      <c r="AB457" s="8" t="s">
        <v>75</v>
      </c>
      <c r="AC457" s="11" t="s">
        <v>160</v>
      </c>
      <c r="AD457" s="9" t="s">
        <v>104</v>
      </c>
      <c r="AE457" s="56">
        <f t="shared" si="15"/>
        <v>91.131242719999989</v>
      </c>
      <c r="AF457" s="14">
        <v>91.131242719999989</v>
      </c>
      <c r="AG457" s="13"/>
    </row>
    <row r="458" spans="1:41" x14ac:dyDescent="0.2">
      <c r="A458" s="5" t="s">
        <v>67</v>
      </c>
      <c r="B458" s="25">
        <v>43319</v>
      </c>
      <c r="C458" s="26">
        <v>0.72222222222222199</v>
      </c>
      <c r="D458" s="5" t="s">
        <v>170</v>
      </c>
      <c r="E458" s="5">
        <v>3</v>
      </c>
      <c r="F458" s="32">
        <v>57</v>
      </c>
      <c r="G458" s="9">
        <v>2</v>
      </c>
      <c r="H458" s="6">
        <v>3.5087719298245612E-2</v>
      </c>
      <c r="I458" s="7">
        <v>6.83E-2</v>
      </c>
      <c r="J458" s="9">
        <v>314.15899999999999</v>
      </c>
      <c r="K458" s="9">
        <v>0.5464</v>
      </c>
      <c r="L458" s="9">
        <v>8</v>
      </c>
      <c r="M458" s="14">
        <v>287.48078330893117</v>
      </c>
      <c r="N458" s="9">
        <v>1031</v>
      </c>
      <c r="O458" s="12" t="s">
        <v>172</v>
      </c>
      <c r="P458" s="12" t="s">
        <v>82</v>
      </c>
      <c r="Q458" s="9" t="s">
        <v>83</v>
      </c>
      <c r="R458" s="9" t="s">
        <v>84</v>
      </c>
      <c r="S458" s="9"/>
      <c r="T458" s="18">
        <v>1</v>
      </c>
      <c r="U458" s="18">
        <v>1</v>
      </c>
      <c r="V458" s="9">
        <v>4.5999999999999996</v>
      </c>
      <c r="Y458" s="9">
        <f t="shared" si="14"/>
        <v>287.48078330893117</v>
      </c>
      <c r="Z458" s="19" t="s">
        <v>73</v>
      </c>
      <c r="AA458" s="8" t="s">
        <v>171</v>
      </c>
      <c r="AB458" s="8" t="s">
        <v>75</v>
      </c>
      <c r="AC458" s="11" t="s">
        <v>160</v>
      </c>
      <c r="AD458" s="9" t="s">
        <v>85</v>
      </c>
      <c r="AE458" s="56">
        <f t="shared" si="15"/>
        <v>40.993560713333324</v>
      </c>
      <c r="AF458" s="14">
        <v>40.993560713333324</v>
      </c>
      <c r="AG458" s="13"/>
    </row>
    <row r="459" spans="1:41" x14ac:dyDescent="0.2">
      <c r="A459" s="5" t="s">
        <v>67</v>
      </c>
      <c r="B459" s="25">
        <v>43319</v>
      </c>
      <c r="C459" s="26">
        <v>0.72222222222222199</v>
      </c>
      <c r="D459" s="5" t="s">
        <v>170</v>
      </c>
      <c r="E459" s="5">
        <v>3</v>
      </c>
      <c r="F459" s="32">
        <v>57</v>
      </c>
      <c r="G459" s="9">
        <v>2</v>
      </c>
      <c r="H459" s="6">
        <v>3.5087719298245612E-2</v>
      </c>
      <c r="I459" s="7">
        <v>6.83E-2</v>
      </c>
      <c r="J459" s="9">
        <v>314.15899999999999</v>
      </c>
      <c r="K459" s="9">
        <v>0.5464</v>
      </c>
      <c r="L459" s="9">
        <v>8</v>
      </c>
      <c r="M459" s="14">
        <v>287.48078330893117</v>
      </c>
      <c r="N459" s="9">
        <v>1037</v>
      </c>
      <c r="O459" s="12" t="s">
        <v>86</v>
      </c>
      <c r="P459" s="12" t="s">
        <v>82</v>
      </c>
      <c r="Q459" s="9" t="s">
        <v>87</v>
      </c>
      <c r="R459" s="9" t="s">
        <v>84</v>
      </c>
      <c r="S459" s="9"/>
      <c r="T459" s="18">
        <v>21</v>
      </c>
      <c r="U459" s="18">
        <v>21</v>
      </c>
      <c r="V459" s="9">
        <v>3.7</v>
      </c>
      <c r="Y459" s="9">
        <f t="shared" si="14"/>
        <v>6037.0964494875552</v>
      </c>
      <c r="Z459" s="19" t="s">
        <v>73</v>
      </c>
      <c r="AA459" s="8" t="s">
        <v>171</v>
      </c>
      <c r="AB459" s="8" t="s">
        <v>75</v>
      </c>
      <c r="AC459" s="11" t="s">
        <v>160</v>
      </c>
      <c r="AD459" s="9" t="s">
        <v>85</v>
      </c>
      <c r="AE459" s="56">
        <f t="shared" si="15"/>
        <v>11.494030613333329</v>
      </c>
      <c r="AF459" s="14">
        <v>11.494030613333329</v>
      </c>
      <c r="AG459" s="13"/>
    </row>
    <row r="460" spans="1:41" x14ac:dyDescent="0.2">
      <c r="A460" s="5" t="s">
        <v>67</v>
      </c>
      <c r="B460" s="25">
        <v>43319</v>
      </c>
      <c r="C460" s="26">
        <v>0.72222222222222199</v>
      </c>
      <c r="D460" s="5" t="s">
        <v>170</v>
      </c>
      <c r="E460" s="5">
        <v>3</v>
      </c>
      <c r="F460" s="32">
        <v>57</v>
      </c>
      <c r="G460" s="9">
        <v>2</v>
      </c>
      <c r="H460" s="6">
        <v>3.5087719298245612E-2</v>
      </c>
      <c r="I460" s="7">
        <v>6.83E-2</v>
      </c>
      <c r="J460" s="9">
        <v>314.15899999999999</v>
      </c>
      <c r="K460" s="9">
        <v>0.5464</v>
      </c>
      <c r="L460" s="9">
        <v>8</v>
      </c>
      <c r="M460" s="14">
        <v>287.48078330893117</v>
      </c>
      <c r="N460" s="9">
        <v>1364</v>
      </c>
      <c r="O460" s="12" t="s">
        <v>88</v>
      </c>
      <c r="P460" s="12" t="s">
        <v>82</v>
      </c>
      <c r="Q460" s="9" t="s">
        <v>89</v>
      </c>
      <c r="R460" s="9" t="s">
        <v>90</v>
      </c>
      <c r="S460" s="9"/>
      <c r="T460" s="18">
        <v>1</v>
      </c>
      <c r="U460" s="18">
        <v>1</v>
      </c>
      <c r="V460" s="9">
        <v>9.3000000000000007</v>
      </c>
      <c r="Y460" s="9">
        <f t="shared" si="14"/>
        <v>287.48078330893117</v>
      </c>
      <c r="Z460" s="19" t="s">
        <v>73</v>
      </c>
      <c r="AA460" s="8" t="s">
        <v>171</v>
      </c>
      <c r="AB460" s="8" t="s">
        <v>75</v>
      </c>
      <c r="AC460" s="11" t="s">
        <v>160</v>
      </c>
      <c r="AD460" s="9" t="s">
        <v>91</v>
      </c>
      <c r="AE460" s="56">
        <f t="shared" si="15"/>
        <v>337.38084788249995</v>
      </c>
      <c r="AF460" s="14">
        <v>337.38084788249995</v>
      </c>
      <c r="AG460" s="13"/>
    </row>
    <row r="461" spans="1:41" x14ac:dyDescent="0.2">
      <c r="A461" s="5" t="s">
        <v>67</v>
      </c>
      <c r="B461" s="25">
        <v>43319</v>
      </c>
      <c r="C461" s="26">
        <v>0.72222222222222199</v>
      </c>
      <c r="D461" s="5" t="s">
        <v>170</v>
      </c>
      <c r="E461" s="5">
        <v>3</v>
      </c>
      <c r="F461" s="32">
        <v>57</v>
      </c>
      <c r="G461" s="9">
        <v>2</v>
      </c>
      <c r="H461" s="6">
        <v>3.5087719298245612E-2</v>
      </c>
      <c r="I461" s="7">
        <v>6.83E-2</v>
      </c>
      <c r="J461" s="9">
        <v>314.15899999999999</v>
      </c>
      <c r="K461" s="9">
        <v>0.5464</v>
      </c>
      <c r="L461" s="9">
        <v>8</v>
      </c>
      <c r="M461" s="14">
        <v>287.48078330893117</v>
      </c>
      <c r="N461" s="9">
        <v>1733</v>
      </c>
      <c r="O461" s="12" t="s">
        <v>92</v>
      </c>
      <c r="P461" s="12" t="s">
        <v>82</v>
      </c>
      <c r="Q461" s="9" t="s">
        <v>89</v>
      </c>
      <c r="R461" s="9" t="s">
        <v>93</v>
      </c>
      <c r="S461" s="9"/>
      <c r="T461" s="18">
        <v>2</v>
      </c>
      <c r="U461" s="18">
        <v>2</v>
      </c>
      <c r="V461" s="9">
        <v>7.4</v>
      </c>
      <c r="Y461" s="9">
        <f t="shared" si="14"/>
        <v>574.96156661786233</v>
      </c>
      <c r="Z461" s="19" t="s">
        <v>73</v>
      </c>
      <c r="AA461" s="8" t="s">
        <v>171</v>
      </c>
      <c r="AB461" s="8" t="s">
        <v>75</v>
      </c>
      <c r="AC461" s="11" t="s">
        <v>160</v>
      </c>
      <c r="AD461" s="9" t="s">
        <v>91</v>
      </c>
      <c r="AE461" s="56">
        <f t="shared" si="15"/>
        <v>137.2613030833333</v>
      </c>
      <c r="AF461" s="14">
        <v>137.2613030833333</v>
      </c>
      <c r="AG461" s="13"/>
    </row>
    <row r="462" spans="1:41" x14ac:dyDescent="0.2">
      <c r="A462" s="5" t="s">
        <v>67</v>
      </c>
      <c r="B462" s="25">
        <v>43319</v>
      </c>
      <c r="C462" s="26">
        <v>0.72222222222222199</v>
      </c>
      <c r="D462" s="5" t="s">
        <v>170</v>
      </c>
      <c r="E462" s="5">
        <v>3</v>
      </c>
      <c r="F462" s="32">
        <v>57</v>
      </c>
      <c r="G462" s="9">
        <v>2</v>
      </c>
      <c r="H462" s="6">
        <v>3.5087719298245612E-2</v>
      </c>
      <c r="I462" s="7">
        <v>6.83E-2</v>
      </c>
      <c r="J462" s="9">
        <v>314.15899999999999</v>
      </c>
      <c r="K462" s="9">
        <v>0.5464</v>
      </c>
      <c r="L462" s="9">
        <v>8</v>
      </c>
      <c r="M462" s="14">
        <v>287.48078330893117</v>
      </c>
      <c r="N462" s="9">
        <v>1419</v>
      </c>
      <c r="O462" s="12" t="s">
        <v>94</v>
      </c>
      <c r="P462" s="12" t="s">
        <v>82</v>
      </c>
      <c r="Q462" s="9" t="s">
        <v>95</v>
      </c>
      <c r="R462" s="9" t="s">
        <v>96</v>
      </c>
      <c r="S462" s="9"/>
      <c r="T462" s="18">
        <v>399</v>
      </c>
      <c r="U462" s="18">
        <v>799</v>
      </c>
      <c r="V462" s="9">
        <v>0.8</v>
      </c>
      <c r="W462" s="9">
        <v>0.8</v>
      </c>
      <c r="X462" s="9">
        <v>0.8</v>
      </c>
      <c r="Y462" s="9">
        <f t="shared" si="14"/>
        <v>114704.83254026354</v>
      </c>
      <c r="Z462" s="19" t="s">
        <v>97</v>
      </c>
      <c r="AA462" s="8" t="s">
        <v>171</v>
      </c>
      <c r="AB462" s="8" t="s">
        <v>75</v>
      </c>
      <c r="AC462" s="11" t="s">
        <v>160</v>
      </c>
      <c r="AD462" s="9" t="s">
        <v>85</v>
      </c>
      <c r="AE462" s="56">
        <f t="shared" si="15"/>
        <v>0.17999999999999997</v>
      </c>
      <c r="AF462" s="14">
        <v>0.18</v>
      </c>
      <c r="AG462" s="14">
        <v>0.18</v>
      </c>
      <c r="AH462" s="14">
        <v>0.18</v>
      </c>
      <c r="AI462" s="14">
        <v>0.18</v>
      </c>
      <c r="AJ462" s="14">
        <v>0.18</v>
      </c>
      <c r="AK462" s="14">
        <v>0.18</v>
      </c>
      <c r="AL462" s="14">
        <v>0.18</v>
      </c>
      <c r="AM462" s="14">
        <v>0.18</v>
      </c>
      <c r="AN462" s="14">
        <v>0.18</v>
      </c>
      <c r="AO462" s="14">
        <v>0.18</v>
      </c>
    </row>
    <row r="463" spans="1:41" x14ac:dyDescent="0.2">
      <c r="A463" s="5" t="s">
        <v>67</v>
      </c>
      <c r="B463" s="25">
        <v>43319</v>
      </c>
      <c r="C463" s="26">
        <v>0.73263888888888895</v>
      </c>
      <c r="D463" s="5" t="s">
        <v>173</v>
      </c>
      <c r="E463" s="5"/>
      <c r="F463" s="32">
        <v>61</v>
      </c>
      <c r="G463" s="9">
        <v>2</v>
      </c>
      <c r="H463" s="6">
        <v>3.2786885245901641E-2</v>
      </c>
      <c r="I463" s="7">
        <v>6.83E-2</v>
      </c>
      <c r="J463" s="9">
        <v>314.15899999999999</v>
      </c>
      <c r="K463" s="9">
        <v>1.0245</v>
      </c>
      <c r="L463" s="9">
        <v>15</v>
      </c>
      <c r="M463" s="14">
        <v>153.32308443142998</v>
      </c>
      <c r="N463" s="9">
        <v>145</v>
      </c>
      <c r="O463" s="12" t="s">
        <v>69</v>
      </c>
      <c r="P463" s="8" t="s">
        <v>70</v>
      </c>
      <c r="Q463" s="9" t="s">
        <v>71</v>
      </c>
      <c r="R463" s="9" t="s">
        <v>72</v>
      </c>
      <c r="S463" s="9"/>
      <c r="T463" s="18">
        <v>2</v>
      </c>
      <c r="U463" s="18">
        <v>2</v>
      </c>
      <c r="V463" s="9">
        <v>20.399999999999999</v>
      </c>
      <c r="Y463" s="9">
        <f t="shared" si="14"/>
        <v>306.64616886285995</v>
      </c>
      <c r="Z463" s="19" t="s">
        <v>73</v>
      </c>
      <c r="AA463" s="8" t="s">
        <v>174</v>
      </c>
      <c r="AB463" s="8" t="s">
        <v>75</v>
      </c>
      <c r="AC463" s="11" t="s">
        <v>175</v>
      </c>
      <c r="AD463" s="9" t="s">
        <v>77</v>
      </c>
      <c r="AE463" s="56">
        <f t="shared" si="15"/>
        <v>510.89793215999993</v>
      </c>
      <c r="AF463" s="14">
        <v>510.89793215999993</v>
      </c>
      <c r="AG463" s="13"/>
    </row>
    <row r="464" spans="1:41" x14ac:dyDescent="0.2">
      <c r="A464" s="5" t="s">
        <v>67</v>
      </c>
      <c r="B464" s="25">
        <v>43319</v>
      </c>
      <c r="C464" s="26">
        <v>0.73263888888888895</v>
      </c>
      <c r="D464" s="5" t="s">
        <v>173</v>
      </c>
      <c r="E464" s="5"/>
      <c r="F464" s="32">
        <v>61</v>
      </c>
      <c r="G464" s="9">
        <v>2</v>
      </c>
      <c r="H464" s="6">
        <v>3.2786885245901641E-2</v>
      </c>
      <c r="I464" s="7">
        <v>6.83E-2</v>
      </c>
      <c r="J464" s="9">
        <v>314.15899999999999</v>
      </c>
      <c r="K464" s="9">
        <v>1.0245</v>
      </c>
      <c r="L464" s="9">
        <v>15</v>
      </c>
      <c r="M464" s="14">
        <v>153.32308443142998</v>
      </c>
      <c r="N464" s="9">
        <v>1031</v>
      </c>
      <c r="O464" s="12" t="s">
        <v>81</v>
      </c>
      <c r="P464" s="12" t="s">
        <v>82</v>
      </c>
      <c r="Q464" s="9" t="s">
        <v>83</v>
      </c>
      <c r="R464" s="9" t="s">
        <v>84</v>
      </c>
      <c r="S464" s="9"/>
      <c r="T464" s="18">
        <v>2</v>
      </c>
      <c r="U464" s="18">
        <v>2</v>
      </c>
      <c r="V464" s="9">
        <v>7.4</v>
      </c>
      <c r="Y464" s="9">
        <f t="shared" si="14"/>
        <v>306.64616886285995</v>
      </c>
      <c r="Z464" s="19" t="s">
        <v>73</v>
      </c>
      <c r="AA464" s="8" t="s">
        <v>174</v>
      </c>
      <c r="AB464" s="8" t="s">
        <v>75</v>
      </c>
      <c r="AC464" s="11" t="s">
        <v>175</v>
      </c>
      <c r="AD464" s="9" t="s">
        <v>85</v>
      </c>
      <c r="AE464" s="56">
        <f t="shared" si="15"/>
        <v>88.592837999999986</v>
      </c>
      <c r="AF464" s="14">
        <v>88.592837999999986</v>
      </c>
      <c r="AG464" s="13"/>
    </row>
    <row r="465" spans="1:41" x14ac:dyDescent="0.2">
      <c r="A465" s="5" t="s">
        <v>67</v>
      </c>
      <c r="B465" s="25">
        <v>43319</v>
      </c>
      <c r="C465" s="26">
        <v>0.73263888888888895</v>
      </c>
      <c r="D465" s="5" t="s">
        <v>173</v>
      </c>
      <c r="E465" s="5"/>
      <c r="F465" s="32">
        <v>61</v>
      </c>
      <c r="G465" s="9">
        <v>2</v>
      </c>
      <c r="H465" s="6">
        <v>3.2786885245901641E-2</v>
      </c>
      <c r="I465" s="7">
        <v>6.83E-2</v>
      </c>
      <c r="J465" s="9">
        <v>314.15899999999999</v>
      </c>
      <c r="K465" s="9">
        <v>1.0245</v>
      </c>
      <c r="L465" s="9">
        <v>15</v>
      </c>
      <c r="M465" s="14">
        <v>153.32308443142998</v>
      </c>
      <c r="N465" s="9">
        <v>1037</v>
      </c>
      <c r="O465" s="12" t="s">
        <v>86</v>
      </c>
      <c r="P465" s="12" t="s">
        <v>82</v>
      </c>
      <c r="Q465" s="9" t="s">
        <v>87</v>
      </c>
      <c r="R465" s="9" t="s">
        <v>84</v>
      </c>
      <c r="S465" s="9"/>
      <c r="T465" s="18">
        <v>30</v>
      </c>
      <c r="U465" s="18">
        <v>30</v>
      </c>
      <c r="V465" s="9">
        <v>3.7</v>
      </c>
      <c r="Y465" s="9">
        <f t="shared" si="14"/>
        <v>4599.6925329428996</v>
      </c>
      <c r="Z465" s="19" t="s">
        <v>73</v>
      </c>
      <c r="AA465" s="8" t="s">
        <v>174</v>
      </c>
      <c r="AB465" s="8" t="s">
        <v>75</v>
      </c>
      <c r="AC465" s="11" t="s">
        <v>175</v>
      </c>
      <c r="AD465" s="9" t="s">
        <v>85</v>
      </c>
      <c r="AE465" s="56">
        <f t="shared" si="15"/>
        <v>7.2382233599999992</v>
      </c>
      <c r="AF465" s="14">
        <v>7.2382233599999992</v>
      </c>
      <c r="AG465" s="13"/>
    </row>
    <row r="466" spans="1:41" x14ac:dyDescent="0.2">
      <c r="A466" s="5" t="s">
        <v>67</v>
      </c>
      <c r="B466" s="25">
        <v>43319</v>
      </c>
      <c r="C466" s="26">
        <v>0.73263888888888895</v>
      </c>
      <c r="D466" s="5" t="s">
        <v>173</v>
      </c>
      <c r="E466" s="5"/>
      <c r="F466" s="32">
        <v>61</v>
      </c>
      <c r="G466" s="9">
        <v>2</v>
      </c>
      <c r="H466" s="6">
        <v>3.2786885245901641E-2</v>
      </c>
      <c r="I466" s="7">
        <v>6.83E-2</v>
      </c>
      <c r="J466" s="9">
        <v>314.15899999999999</v>
      </c>
      <c r="K466" s="9">
        <v>1.0245</v>
      </c>
      <c r="L466" s="9">
        <v>15</v>
      </c>
      <c r="M466" s="14">
        <v>153.32308443142998</v>
      </c>
      <c r="N466" s="9">
        <v>1246</v>
      </c>
      <c r="O466" s="8" t="s">
        <v>176</v>
      </c>
      <c r="P466" s="12" t="s">
        <v>82</v>
      </c>
      <c r="Q466" s="9" t="s">
        <v>177</v>
      </c>
      <c r="R466" s="9" t="s">
        <v>178</v>
      </c>
      <c r="S466" s="9"/>
      <c r="T466" s="18">
        <v>1</v>
      </c>
      <c r="U466" s="18">
        <v>4</v>
      </c>
      <c r="V466" s="9">
        <v>2.8</v>
      </c>
      <c r="Y466" s="9">
        <f t="shared" si="14"/>
        <v>153.32308443142998</v>
      </c>
      <c r="Z466" s="19" t="s">
        <v>97</v>
      </c>
      <c r="AA466" s="8" t="s">
        <v>174</v>
      </c>
      <c r="AB466" s="8" t="s">
        <v>75</v>
      </c>
      <c r="AC466" s="11" t="s">
        <v>175</v>
      </c>
      <c r="AD466" s="9" t="s">
        <v>85</v>
      </c>
      <c r="AE466" s="56">
        <f t="shared" si="15"/>
        <v>11.494030613333329</v>
      </c>
      <c r="AF466" s="14">
        <v>11.494030613333329</v>
      </c>
      <c r="AG466" s="13"/>
    </row>
    <row r="467" spans="1:41" x14ac:dyDescent="0.2">
      <c r="A467" s="5" t="s">
        <v>67</v>
      </c>
      <c r="B467" s="25">
        <v>43319</v>
      </c>
      <c r="C467" s="26">
        <v>0.73263888888888895</v>
      </c>
      <c r="D467" s="5" t="s">
        <v>173</v>
      </c>
      <c r="E467" s="5"/>
      <c r="F467" s="32">
        <v>61</v>
      </c>
      <c r="G467" s="9">
        <v>2</v>
      </c>
      <c r="H467" s="6">
        <v>3.2786885245901641E-2</v>
      </c>
      <c r="I467" s="7">
        <v>6.83E-2</v>
      </c>
      <c r="J467" s="9">
        <v>314.15899999999999</v>
      </c>
      <c r="K467" s="9">
        <v>1.0245</v>
      </c>
      <c r="L467" s="9">
        <v>15</v>
      </c>
      <c r="M467" s="14">
        <v>153.32308443142998</v>
      </c>
      <c r="N467" s="9">
        <v>1692</v>
      </c>
      <c r="O467" s="8" t="s">
        <v>179</v>
      </c>
      <c r="P467" s="12" t="s">
        <v>82</v>
      </c>
      <c r="Q467" s="9" t="s">
        <v>180</v>
      </c>
      <c r="R467" s="9" t="s">
        <v>84</v>
      </c>
      <c r="S467" s="9"/>
      <c r="T467" s="18">
        <v>1</v>
      </c>
      <c r="U467" s="18">
        <v>1</v>
      </c>
      <c r="V467" s="9">
        <v>6.5</v>
      </c>
      <c r="Y467" s="9">
        <f t="shared" si="14"/>
        <v>153.32308443142998</v>
      </c>
      <c r="Z467" s="19" t="s">
        <v>73</v>
      </c>
      <c r="AA467" s="8" t="s">
        <v>174</v>
      </c>
      <c r="AB467" s="8" t="s">
        <v>75</v>
      </c>
      <c r="AC467" s="11" t="s">
        <v>175</v>
      </c>
      <c r="AD467" s="9" t="s">
        <v>120</v>
      </c>
      <c r="AE467" s="56">
        <f t="shared" si="15"/>
        <v>106.73028426666664</v>
      </c>
      <c r="AF467" s="14">
        <v>106.73028426666664</v>
      </c>
      <c r="AG467" s="13"/>
    </row>
    <row r="468" spans="1:41" x14ac:dyDescent="0.2">
      <c r="A468" s="5" t="s">
        <v>67</v>
      </c>
      <c r="B468" s="25">
        <v>43319</v>
      </c>
      <c r="C468" s="26">
        <v>0.73263888888888895</v>
      </c>
      <c r="D468" s="5" t="s">
        <v>173</v>
      </c>
      <c r="E468" s="5"/>
      <c r="F468" s="32">
        <v>61</v>
      </c>
      <c r="G468" s="9">
        <v>2</v>
      </c>
      <c r="H468" s="6">
        <v>3.2786885245901641E-2</v>
      </c>
      <c r="I468" s="7">
        <v>6.83E-2</v>
      </c>
      <c r="J468" s="9">
        <v>314.15899999999999</v>
      </c>
      <c r="K468" s="9">
        <v>1.0245</v>
      </c>
      <c r="L468" s="9">
        <v>15</v>
      </c>
      <c r="M468" s="14">
        <v>153.32308443142998</v>
      </c>
      <c r="N468" s="9">
        <v>1364</v>
      </c>
      <c r="O468" s="12" t="s">
        <v>88</v>
      </c>
      <c r="P468" s="12" t="s">
        <v>82</v>
      </c>
      <c r="Q468" s="9" t="s">
        <v>89</v>
      </c>
      <c r="R468" s="9" t="s">
        <v>90</v>
      </c>
      <c r="S468" s="9"/>
      <c r="T468" s="18">
        <v>3</v>
      </c>
      <c r="U468" s="18">
        <v>3</v>
      </c>
      <c r="V468" s="9">
        <v>11.1</v>
      </c>
      <c r="Y468" s="9">
        <f t="shared" si="14"/>
        <v>459.9692532942899</v>
      </c>
      <c r="Z468" s="19" t="s">
        <v>73</v>
      </c>
      <c r="AA468" s="8" t="s">
        <v>174</v>
      </c>
      <c r="AB468" s="8" t="s">
        <v>75</v>
      </c>
      <c r="AC468" s="11" t="s">
        <v>175</v>
      </c>
      <c r="AD468" s="9" t="s">
        <v>91</v>
      </c>
      <c r="AE468" s="56">
        <f t="shared" si="15"/>
        <v>464.70006581249999</v>
      </c>
      <c r="AF468" s="14">
        <v>464.70006581249999</v>
      </c>
      <c r="AG468" s="13"/>
    </row>
    <row r="469" spans="1:41" x14ac:dyDescent="0.2">
      <c r="A469" s="5" t="s">
        <v>67</v>
      </c>
      <c r="B469" s="25">
        <v>43319</v>
      </c>
      <c r="C469" s="26">
        <v>0.73263888888888895</v>
      </c>
      <c r="D469" s="5" t="s">
        <v>173</v>
      </c>
      <c r="E469" s="5"/>
      <c r="F469" s="32">
        <v>61</v>
      </c>
      <c r="G469" s="9">
        <v>2</v>
      </c>
      <c r="H469" s="6">
        <v>3.2786885245901641E-2</v>
      </c>
      <c r="I469" s="7">
        <v>6.83E-2</v>
      </c>
      <c r="J469" s="9">
        <v>314.15899999999999</v>
      </c>
      <c r="K469" s="9">
        <v>1.0245</v>
      </c>
      <c r="L469" s="9">
        <v>15</v>
      </c>
      <c r="M469" s="14">
        <v>153.32308443142998</v>
      </c>
      <c r="N469" s="9">
        <v>1419</v>
      </c>
      <c r="O469" s="12" t="s">
        <v>94</v>
      </c>
      <c r="P469" s="12" t="s">
        <v>82</v>
      </c>
      <c r="Q469" s="9" t="s">
        <v>95</v>
      </c>
      <c r="R469" s="9" t="s">
        <v>96</v>
      </c>
      <c r="S469" s="9"/>
      <c r="T469" s="18">
        <v>363</v>
      </c>
      <c r="U469" s="18">
        <v>730</v>
      </c>
      <c r="V469" s="9">
        <v>0.8</v>
      </c>
      <c r="W469" s="9">
        <v>0.8</v>
      </c>
      <c r="X469" s="9">
        <v>0.8</v>
      </c>
      <c r="Y469" s="9">
        <f t="shared" si="14"/>
        <v>55656.279648609081</v>
      </c>
      <c r="Z469" s="19" t="s">
        <v>97</v>
      </c>
      <c r="AA469" s="8" t="s">
        <v>174</v>
      </c>
      <c r="AB469" s="8" t="s">
        <v>75</v>
      </c>
      <c r="AC469" s="11" t="s">
        <v>175</v>
      </c>
      <c r="AD469" s="9" t="s">
        <v>85</v>
      </c>
      <c r="AE469" s="56">
        <f t="shared" si="15"/>
        <v>0.17999999999999997</v>
      </c>
      <c r="AF469" s="14">
        <v>0.18</v>
      </c>
      <c r="AG469" s="14">
        <v>0.18</v>
      </c>
      <c r="AH469" s="14">
        <v>0.18</v>
      </c>
      <c r="AI469" s="14">
        <v>0.18</v>
      </c>
      <c r="AJ469" s="14">
        <v>0.18</v>
      </c>
      <c r="AK469" s="14">
        <v>0.18</v>
      </c>
      <c r="AL469" s="14">
        <v>0.18</v>
      </c>
      <c r="AM469" s="14">
        <v>0.18</v>
      </c>
      <c r="AN469" s="14">
        <v>0.18</v>
      </c>
      <c r="AO469" s="14">
        <v>0.18</v>
      </c>
    </row>
    <row r="470" spans="1:41" x14ac:dyDescent="0.2">
      <c r="A470" s="5" t="s">
        <v>67</v>
      </c>
      <c r="B470" s="25">
        <v>43319</v>
      </c>
      <c r="C470" s="26">
        <v>0.74305555555555503</v>
      </c>
      <c r="D470" s="5" t="s">
        <v>158</v>
      </c>
      <c r="E470" s="5"/>
      <c r="F470" s="32">
        <v>63.5</v>
      </c>
      <c r="G470" s="9">
        <v>2</v>
      </c>
      <c r="H470" s="6">
        <v>3.1496062992125984E-2</v>
      </c>
      <c r="I470" s="7">
        <v>6.83E-2</v>
      </c>
      <c r="J470" s="9">
        <v>314.15899999999999</v>
      </c>
      <c r="K470" s="9">
        <v>0.47809999999999997</v>
      </c>
      <c r="L470" s="9">
        <v>7</v>
      </c>
      <c r="M470" s="14">
        <v>328.54946663877848</v>
      </c>
      <c r="N470" s="9">
        <v>1031</v>
      </c>
      <c r="O470" s="12" t="s">
        <v>81</v>
      </c>
      <c r="P470" s="12" t="s">
        <v>82</v>
      </c>
      <c r="Q470" s="9" t="s">
        <v>83</v>
      </c>
      <c r="R470" s="9" t="s">
        <v>84</v>
      </c>
      <c r="S470" s="9"/>
      <c r="T470" s="18">
        <v>1</v>
      </c>
      <c r="U470" s="18">
        <v>1</v>
      </c>
      <c r="V470" s="9">
        <v>4.5999999999999996</v>
      </c>
      <c r="Y470" s="9">
        <f t="shared" si="14"/>
        <v>328.54946663877848</v>
      </c>
      <c r="Z470" s="19" t="s">
        <v>73</v>
      </c>
      <c r="AA470" s="8" t="s">
        <v>159</v>
      </c>
      <c r="AB470" s="8" t="s">
        <v>75</v>
      </c>
      <c r="AC470" s="11" t="s">
        <v>160</v>
      </c>
      <c r="AD470" s="9" t="s">
        <v>85</v>
      </c>
      <c r="AE470" s="56">
        <f t="shared" si="15"/>
        <v>32.973081443333328</v>
      </c>
      <c r="AF470" s="14">
        <v>32.973081443333328</v>
      </c>
      <c r="AG470" s="13"/>
    </row>
    <row r="471" spans="1:41" x14ac:dyDescent="0.2">
      <c r="A471" s="5" t="s">
        <v>67</v>
      </c>
      <c r="B471" s="25">
        <v>43319</v>
      </c>
      <c r="C471" s="26">
        <v>0.74305555555555503</v>
      </c>
      <c r="D471" s="5" t="s">
        <v>158</v>
      </c>
      <c r="E471" s="5"/>
      <c r="F471" s="32">
        <v>63.5</v>
      </c>
      <c r="G471" s="9">
        <v>2</v>
      </c>
      <c r="H471" s="6">
        <v>3.1496062992125984E-2</v>
      </c>
      <c r="I471" s="7">
        <v>6.83E-2</v>
      </c>
      <c r="J471" s="9">
        <v>314.15899999999999</v>
      </c>
      <c r="K471" s="9">
        <v>0.47809999999999997</v>
      </c>
      <c r="L471" s="9">
        <v>7</v>
      </c>
      <c r="M471" s="14">
        <v>328.54946663877848</v>
      </c>
      <c r="N471" s="9">
        <v>1037</v>
      </c>
      <c r="O471" s="12" t="s">
        <v>86</v>
      </c>
      <c r="P471" s="12" t="s">
        <v>82</v>
      </c>
      <c r="Q471" s="9" t="s">
        <v>87</v>
      </c>
      <c r="R471" s="9" t="s">
        <v>84</v>
      </c>
      <c r="S471" s="9"/>
      <c r="T471" s="18">
        <v>15</v>
      </c>
      <c r="U471" s="18">
        <v>15</v>
      </c>
      <c r="V471" s="9">
        <v>2.8</v>
      </c>
      <c r="Y471" s="9">
        <f t="shared" si="14"/>
        <v>4928.2419995816781</v>
      </c>
      <c r="Z471" s="19" t="s">
        <v>73</v>
      </c>
      <c r="AA471" s="8" t="s">
        <v>159</v>
      </c>
      <c r="AB471" s="8" t="s">
        <v>75</v>
      </c>
      <c r="AC471" s="11" t="s">
        <v>160</v>
      </c>
      <c r="AD471" s="9" t="s">
        <v>85</v>
      </c>
      <c r="AE471" s="56">
        <f t="shared" si="15"/>
        <v>7.2382233599999992</v>
      </c>
      <c r="AF471" s="14">
        <v>7.2382233599999992</v>
      </c>
      <c r="AG471" s="13"/>
    </row>
    <row r="472" spans="1:41" x14ac:dyDescent="0.2">
      <c r="A472" s="5" t="s">
        <v>67</v>
      </c>
      <c r="B472" s="25">
        <v>43319</v>
      </c>
      <c r="C472" s="26">
        <v>0.74305555555555503</v>
      </c>
      <c r="D472" s="5" t="s">
        <v>158</v>
      </c>
      <c r="E472" s="5"/>
      <c r="F472" s="32">
        <v>63.5</v>
      </c>
      <c r="G472" s="9">
        <v>2</v>
      </c>
      <c r="H472" s="6">
        <v>3.1496062992125984E-2</v>
      </c>
      <c r="I472" s="7">
        <v>6.83E-2</v>
      </c>
      <c r="J472" s="9">
        <v>314.15899999999999</v>
      </c>
      <c r="K472" s="9">
        <v>0.47809999999999997</v>
      </c>
      <c r="L472" s="9">
        <v>7</v>
      </c>
      <c r="M472" s="14">
        <v>328.54946663877848</v>
      </c>
      <c r="N472" s="9">
        <v>1301</v>
      </c>
      <c r="O472" s="36" t="s">
        <v>161</v>
      </c>
      <c r="P472" s="12" t="s">
        <v>82</v>
      </c>
      <c r="Q472" s="9" t="s">
        <v>162</v>
      </c>
      <c r="R472" s="9" t="s">
        <v>84</v>
      </c>
      <c r="S472" s="9"/>
      <c r="T472" s="18">
        <v>1</v>
      </c>
      <c r="U472" s="18">
        <v>18</v>
      </c>
      <c r="V472" s="9">
        <v>3.7</v>
      </c>
      <c r="Y472" s="9">
        <f t="shared" si="14"/>
        <v>328.54946663877848</v>
      </c>
      <c r="Z472" s="19" t="s">
        <v>97</v>
      </c>
      <c r="AA472" s="8" t="s">
        <v>159</v>
      </c>
      <c r="AB472" s="8" t="s">
        <v>75</v>
      </c>
      <c r="AC472" s="11" t="s">
        <v>160</v>
      </c>
      <c r="AD472" s="9" t="s">
        <v>85</v>
      </c>
      <c r="AE472" s="56">
        <f t="shared" si="15"/>
        <v>26.521826378333333</v>
      </c>
      <c r="AF472" s="14">
        <v>26.521826378333333</v>
      </c>
      <c r="AG472" s="13"/>
    </row>
    <row r="473" spans="1:41" x14ac:dyDescent="0.2">
      <c r="A473" s="5" t="s">
        <v>67</v>
      </c>
      <c r="B473" s="25">
        <v>43319</v>
      </c>
      <c r="C473" s="26">
        <v>0.74305555555555503</v>
      </c>
      <c r="D473" s="5" t="s">
        <v>158</v>
      </c>
      <c r="E473" s="5"/>
      <c r="F473" s="32">
        <v>63.5</v>
      </c>
      <c r="G473" s="9">
        <v>2</v>
      </c>
      <c r="H473" s="6">
        <v>3.1496062992125984E-2</v>
      </c>
      <c r="I473" s="7">
        <v>6.83E-2</v>
      </c>
      <c r="J473" s="9">
        <v>314.15899999999999</v>
      </c>
      <c r="K473" s="9">
        <v>0.47809999999999997</v>
      </c>
      <c r="L473" s="9">
        <v>7</v>
      </c>
      <c r="M473" s="14">
        <v>328.54946663877848</v>
      </c>
      <c r="N473" s="9">
        <v>1364</v>
      </c>
      <c r="O473" s="12" t="s">
        <v>88</v>
      </c>
      <c r="P473" s="12" t="s">
        <v>82</v>
      </c>
      <c r="Q473" s="9" t="s">
        <v>89</v>
      </c>
      <c r="R473" s="9" t="s">
        <v>90</v>
      </c>
      <c r="S473" s="9"/>
      <c r="T473" s="18">
        <v>1</v>
      </c>
      <c r="U473" s="18">
        <v>1</v>
      </c>
      <c r="V473" s="9">
        <v>11.1</v>
      </c>
      <c r="Y473" s="9">
        <f t="shared" si="14"/>
        <v>328.54946663877848</v>
      </c>
      <c r="Z473" s="19" t="s">
        <v>73</v>
      </c>
      <c r="AA473" s="8" t="s">
        <v>159</v>
      </c>
      <c r="AB473" s="8" t="s">
        <v>75</v>
      </c>
      <c r="AC473" s="11" t="s">
        <v>160</v>
      </c>
      <c r="AD473" s="9" t="s">
        <v>91</v>
      </c>
      <c r="AE473" s="56">
        <f t="shared" si="15"/>
        <v>538.67979792749986</v>
      </c>
      <c r="AF473" s="14">
        <v>538.67979792749986</v>
      </c>
      <c r="AG473" s="13"/>
    </row>
    <row r="474" spans="1:41" x14ac:dyDescent="0.2">
      <c r="A474" s="5" t="s">
        <v>67</v>
      </c>
      <c r="B474" s="25">
        <v>43319</v>
      </c>
      <c r="C474" s="26">
        <v>0.74305555555555503</v>
      </c>
      <c r="D474" s="5" t="s">
        <v>158</v>
      </c>
      <c r="E474" s="5"/>
      <c r="F474" s="32">
        <v>63.5</v>
      </c>
      <c r="G474" s="9">
        <v>2</v>
      </c>
      <c r="H474" s="6">
        <v>3.1496062992125984E-2</v>
      </c>
      <c r="I474" s="7">
        <v>6.83E-2</v>
      </c>
      <c r="J474" s="9">
        <v>314.15899999999999</v>
      </c>
      <c r="K474" s="9">
        <v>0.47809999999999997</v>
      </c>
      <c r="L474" s="9">
        <v>7</v>
      </c>
      <c r="M474" s="14">
        <v>328.54946663877848</v>
      </c>
      <c r="N474" s="9">
        <v>1733</v>
      </c>
      <c r="O474" s="12" t="s">
        <v>92</v>
      </c>
      <c r="P474" s="12" t="s">
        <v>82</v>
      </c>
      <c r="Q474" s="9" t="s">
        <v>89</v>
      </c>
      <c r="R474" s="9" t="s">
        <v>93</v>
      </c>
      <c r="S474" s="9"/>
      <c r="T474" s="18">
        <v>1</v>
      </c>
      <c r="U474" s="18">
        <v>1</v>
      </c>
      <c r="V474" s="9">
        <v>5.6</v>
      </c>
      <c r="Y474" s="9">
        <f t="shared" si="14"/>
        <v>328.54946663877848</v>
      </c>
      <c r="Z474" s="19" t="s">
        <v>73</v>
      </c>
      <c r="AA474" s="8" t="s">
        <v>159</v>
      </c>
      <c r="AB474" s="8" t="s">
        <v>75</v>
      </c>
      <c r="AC474" s="11" t="s">
        <v>160</v>
      </c>
      <c r="AD474" s="9" t="s">
        <v>91</v>
      </c>
      <c r="AE474" s="56">
        <f t="shared" si="15"/>
        <v>83.742223039999971</v>
      </c>
      <c r="AF474" s="14">
        <v>83.742223039999971</v>
      </c>
      <c r="AG474" s="13"/>
    </row>
    <row r="475" spans="1:41" x14ac:dyDescent="0.2">
      <c r="A475" s="5" t="s">
        <v>67</v>
      </c>
      <c r="B475" s="25">
        <v>43319</v>
      </c>
      <c r="C475" s="26">
        <v>0.74305555555555503</v>
      </c>
      <c r="D475" s="5" t="s">
        <v>158</v>
      </c>
      <c r="E475" s="5"/>
      <c r="F475" s="32">
        <v>63.5</v>
      </c>
      <c r="G475" s="9">
        <v>2</v>
      </c>
      <c r="H475" s="6">
        <v>3.1496062992125984E-2</v>
      </c>
      <c r="I475" s="7">
        <v>6.83E-2</v>
      </c>
      <c r="J475" s="9">
        <v>314.15899999999999</v>
      </c>
      <c r="K475" s="9">
        <v>0.47809999999999997</v>
      </c>
      <c r="L475" s="9">
        <v>7</v>
      </c>
      <c r="M475" s="14">
        <v>328.54946663877848</v>
      </c>
      <c r="N475" s="9">
        <v>1419</v>
      </c>
      <c r="O475" s="12" t="s">
        <v>94</v>
      </c>
      <c r="P475" s="12" t="s">
        <v>82</v>
      </c>
      <c r="Q475" s="9" t="s">
        <v>95</v>
      </c>
      <c r="R475" s="9" t="s">
        <v>96</v>
      </c>
      <c r="S475" s="9"/>
      <c r="T475" s="18">
        <v>394</v>
      </c>
      <c r="U475" s="18">
        <v>795</v>
      </c>
      <c r="V475" s="9">
        <v>0.8</v>
      </c>
      <c r="W475" s="9">
        <v>0.8</v>
      </c>
      <c r="X475" s="9">
        <v>0.8</v>
      </c>
      <c r="Y475" s="9">
        <f t="shared" si="14"/>
        <v>129448.48985567872</v>
      </c>
      <c r="Z475" s="19" t="s">
        <v>97</v>
      </c>
      <c r="AA475" s="8" t="s">
        <v>159</v>
      </c>
      <c r="AB475" s="8" t="s">
        <v>75</v>
      </c>
      <c r="AC475" s="11" t="s">
        <v>160</v>
      </c>
      <c r="AD475" s="9" t="s">
        <v>85</v>
      </c>
      <c r="AE475" s="56">
        <f t="shared" si="15"/>
        <v>0.17999999999999997</v>
      </c>
      <c r="AF475" s="14">
        <v>0.18</v>
      </c>
      <c r="AG475" s="14">
        <v>0.18</v>
      </c>
      <c r="AH475" s="14">
        <v>0.18</v>
      </c>
      <c r="AI475" s="14">
        <v>0.18</v>
      </c>
      <c r="AJ475" s="14">
        <v>0.18</v>
      </c>
      <c r="AK475" s="14">
        <v>0.18</v>
      </c>
      <c r="AL475" s="14">
        <v>0.18</v>
      </c>
      <c r="AM475" s="14">
        <v>0.18</v>
      </c>
      <c r="AN475" s="14">
        <v>0.18</v>
      </c>
      <c r="AO475" s="14">
        <v>0.18</v>
      </c>
    </row>
    <row r="476" spans="1:41" x14ac:dyDescent="0.2">
      <c r="A476" s="5" t="s">
        <v>67</v>
      </c>
      <c r="B476" s="25">
        <v>43319</v>
      </c>
      <c r="C476" s="26">
        <v>0.74305555555555503</v>
      </c>
      <c r="D476" s="5" t="s">
        <v>158</v>
      </c>
      <c r="E476" s="5"/>
      <c r="F476" s="32">
        <v>63.5</v>
      </c>
      <c r="G476" s="9">
        <v>2</v>
      </c>
      <c r="H476" s="6">
        <v>3.1496062992125984E-2</v>
      </c>
      <c r="I476" s="7">
        <v>6.83E-2</v>
      </c>
      <c r="J476" s="9">
        <v>314.15899999999999</v>
      </c>
      <c r="K476" s="9">
        <v>0.47809999999999997</v>
      </c>
      <c r="L476" s="9">
        <v>7</v>
      </c>
      <c r="M476" s="14">
        <v>328.54946663877848</v>
      </c>
      <c r="N476" s="9">
        <v>1423</v>
      </c>
      <c r="O476" s="12" t="s">
        <v>163</v>
      </c>
      <c r="P476" s="12" t="s">
        <v>82</v>
      </c>
      <c r="Q476" s="9" t="s">
        <v>95</v>
      </c>
      <c r="R476" s="9" t="s">
        <v>84</v>
      </c>
      <c r="S476" s="9"/>
      <c r="T476" s="18">
        <v>3</v>
      </c>
      <c r="U476" s="18">
        <v>10</v>
      </c>
      <c r="V476" s="9">
        <v>2.8</v>
      </c>
      <c r="Y476" s="9">
        <f t="shared" si="14"/>
        <v>985.64839991633551</v>
      </c>
      <c r="Z476" s="19" t="s">
        <v>97</v>
      </c>
      <c r="AA476" s="8" t="s">
        <v>159</v>
      </c>
      <c r="AB476" s="8" t="s">
        <v>75</v>
      </c>
      <c r="AC476" s="11" t="s">
        <v>160</v>
      </c>
      <c r="AD476" s="9" t="s">
        <v>85</v>
      </c>
      <c r="AE476" s="56">
        <f t="shared" si="15"/>
        <v>11.494030613333329</v>
      </c>
      <c r="AF476" s="14">
        <v>11.494030613333329</v>
      </c>
      <c r="AG476" s="13"/>
    </row>
    <row r="477" spans="1:41" x14ac:dyDescent="0.2">
      <c r="A477" s="5" t="s">
        <v>67</v>
      </c>
      <c r="B477" s="25">
        <v>43320</v>
      </c>
      <c r="C477" s="26">
        <v>0.62847222222222199</v>
      </c>
      <c r="D477" s="5" t="s">
        <v>236</v>
      </c>
      <c r="E477" s="5">
        <v>3</v>
      </c>
      <c r="F477" s="32">
        <v>60</v>
      </c>
      <c r="G477" s="9">
        <v>2</v>
      </c>
      <c r="H477" s="6">
        <v>3.3333333333333333E-2</v>
      </c>
      <c r="I477" s="7">
        <v>6.83E-2</v>
      </c>
      <c r="J477" s="9">
        <v>314.15899999999999</v>
      </c>
      <c r="K477" s="9">
        <v>0.5464</v>
      </c>
      <c r="L477" s="9">
        <v>8</v>
      </c>
      <c r="M477" s="14">
        <v>287.48078330893117</v>
      </c>
      <c r="N477" s="9">
        <v>91</v>
      </c>
      <c r="O477" s="12" t="s">
        <v>237</v>
      </c>
      <c r="P477" s="8" t="s">
        <v>70</v>
      </c>
      <c r="Q477" s="9" t="s">
        <v>238</v>
      </c>
      <c r="R477" s="9" t="s">
        <v>239</v>
      </c>
      <c r="S477" s="9"/>
      <c r="T477" s="18">
        <v>5</v>
      </c>
      <c r="U477" s="18">
        <v>5</v>
      </c>
      <c r="V477" s="9">
        <v>29.6</v>
      </c>
      <c r="Y477" s="9">
        <f t="shared" si="14"/>
        <v>1437.4039165446561</v>
      </c>
      <c r="Z477" s="19" t="s">
        <v>73</v>
      </c>
      <c r="AA477" s="8" t="s">
        <v>240</v>
      </c>
      <c r="AB477" s="8" t="s">
        <v>75</v>
      </c>
      <c r="AC477" s="11" t="s">
        <v>221</v>
      </c>
      <c r="AD477" s="9" t="s">
        <v>104</v>
      </c>
      <c r="AE477" s="56">
        <f t="shared" si="15"/>
        <v>5191.2363579674993</v>
      </c>
      <c r="AF477" s="14">
        <v>5191.2363579674993</v>
      </c>
      <c r="AG477" s="13"/>
    </row>
    <row r="478" spans="1:41" x14ac:dyDescent="0.2">
      <c r="A478" s="5" t="s">
        <v>67</v>
      </c>
      <c r="B478" s="25">
        <v>43320</v>
      </c>
      <c r="C478" s="26">
        <v>0.62847222222222199</v>
      </c>
      <c r="D478" s="5" t="s">
        <v>236</v>
      </c>
      <c r="E478" s="5">
        <v>3</v>
      </c>
      <c r="F478" s="32">
        <v>60</v>
      </c>
      <c r="G478" s="9">
        <v>2</v>
      </c>
      <c r="H478" s="6">
        <v>3.3333333333333333E-2</v>
      </c>
      <c r="I478" s="7">
        <v>6.83E-2</v>
      </c>
      <c r="J478" s="9">
        <v>314.15899999999999</v>
      </c>
      <c r="K478" s="9">
        <v>0.5464</v>
      </c>
      <c r="L478" s="9">
        <v>8</v>
      </c>
      <c r="M478" s="14">
        <v>287.48078330893117</v>
      </c>
      <c r="N478" s="9">
        <v>145</v>
      </c>
      <c r="O478" s="12" t="s">
        <v>69</v>
      </c>
      <c r="P478" s="8" t="s">
        <v>70</v>
      </c>
      <c r="Q478" s="9" t="s">
        <v>71</v>
      </c>
      <c r="R478" s="9" t="s">
        <v>72</v>
      </c>
      <c r="S478" s="9"/>
      <c r="T478" s="18">
        <v>2</v>
      </c>
      <c r="U478" s="18">
        <v>2</v>
      </c>
      <c r="V478" s="9">
        <v>16.7</v>
      </c>
      <c r="Y478" s="9">
        <f t="shared" si="14"/>
        <v>574.96156661786233</v>
      </c>
      <c r="Z478" s="19" t="s">
        <v>73</v>
      </c>
      <c r="AA478" s="8" t="s">
        <v>240</v>
      </c>
      <c r="AB478" s="8" t="s">
        <v>75</v>
      </c>
      <c r="AC478" s="11" t="s">
        <v>221</v>
      </c>
      <c r="AD478" s="9" t="s">
        <v>77</v>
      </c>
      <c r="AE478" s="56">
        <f t="shared" si="15"/>
        <v>261.19807578000001</v>
      </c>
      <c r="AF478" s="14">
        <v>261.19807578000001</v>
      </c>
      <c r="AG478" s="13"/>
    </row>
    <row r="479" spans="1:41" x14ac:dyDescent="0.2">
      <c r="A479" s="5" t="s">
        <v>67</v>
      </c>
      <c r="B479" s="25">
        <v>43320</v>
      </c>
      <c r="C479" s="26">
        <v>0.62847222222222199</v>
      </c>
      <c r="D479" s="5" t="s">
        <v>236</v>
      </c>
      <c r="E479" s="5">
        <v>3</v>
      </c>
      <c r="F479" s="32">
        <v>60</v>
      </c>
      <c r="G479" s="9">
        <v>2</v>
      </c>
      <c r="H479" s="6">
        <v>3.3333333333333333E-2</v>
      </c>
      <c r="I479" s="7">
        <v>6.83E-2</v>
      </c>
      <c r="J479" s="9">
        <v>314.15899999999999</v>
      </c>
      <c r="K479" s="9">
        <v>0.5464</v>
      </c>
      <c r="L479" s="9">
        <v>8</v>
      </c>
      <c r="M479" s="14">
        <v>287.48078330893117</v>
      </c>
      <c r="N479" s="9">
        <v>145</v>
      </c>
      <c r="O479" s="12" t="s">
        <v>69</v>
      </c>
      <c r="P479" s="8" t="s">
        <v>70</v>
      </c>
      <c r="Q479" s="9" t="s">
        <v>71</v>
      </c>
      <c r="R479" s="9" t="s">
        <v>72</v>
      </c>
      <c r="S479" s="9"/>
      <c r="T479" s="18">
        <v>1</v>
      </c>
      <c r="U479" s="18">
        <v>1</v>
      </c>
      <c r="V479" s="9">
        <v>18.5</v>
      </c>
      <c r="Y479" s="9">
        <f t="shared" si="14"/>
        <v>287.48078330893117</v>
      </c>
      <c r="Z479" s="19" t="s">
        <v>73</v>
      </c>
      <c r="AA479" s="8" t="s">
        <v>240</v>
      </c>
      <c r="AB479" s="8" t="s">
        <v>75</v>
      </c>
      <c r="AC479" s="11" t="s">
        <v>241</v>
      </c>
      <c r="AD479" s="9" t="s">
        <v>77</v>
      </c>
      <c r="AE479" s="56">
        <f t="shared" si="15"/>
        <v>596.7410935124999</v>
      </c>
      <c r="AF479" s="14">
        <v>596.7410935124999</v>
      </c>
      <c r="AG479" s="13"/>
    </row>
    <row r="480" spans="1:41" x14ac:dyDescent="0.2">
      <c r="A480" s="5" t="s">
        <v>67</v>
      </c>
      <c r="B480" s="25">
        <v>43320</v>
      </c>
      <c r="C480" s="26">
        <v>0.62847222222222199</v>
      </c>
      <c r="D480" s="5" t="s">
        <v>236</v>
      </c>
      <c r="E480" s="5">
        <v>3</v>
      </c>
      <c r="F480" s="32">
        <v>60</v>
      </c>
      <c r="G480" s="9">
        <v>2</v>
      </c>
      <c r="H480" s="6">
        <v>3.3333333333333333E-2</v>
      </c>
      <c r="I480" s="7">
        <v>6.83E-2</v>
      </c>
      <c r="J480" s="9">
        <v>314.15899999999999</v>
      </c>
      <c r="K480" s="9">
        <v>0.5464</v>
      </c>
      <c r="L480" s="9">
        <v>8</v>
      </c>
      <c r="M480" s="14">
        <v>287.48078330893117</v>
      </c>
      <c r="N480" s="9">
        <v>190</v>
      </c>
      <c r="O480" s="12" t="s">
        <v>102</v>
      </c>
      <c r="P480" s="8" t="s">
        <v>70</v>
      </c>
      <c r="Q480" s="9" t="s">
        <v>103</v>
      </c>
      <c r="R480" s="9" t="s">
        <v>84</v>
      </c>
      <c r="S480" s="9"/>
      <c r="T480" s="18">
        <v>3</v>
      </c>
      <c r="U480" s="18">
        <v>3</v>
      </c>
      <c r="V480" s="9">
        <v>7.4</v>
      </c>
      <c r="Y480" s="9">
        <f t="shared" si="14"/>
        <v>862.44234992679355</v>
      </c>
      <c r="Z480" s="19" t="s">
        <v>73</v>
      </c>
      <c r="AA480" s="8" t="s">
        <v>240</v>
      </c>
      <c r="AB480" s="8" t="s">
        <v>75</v>
      </c>
      <c r="AC480" s="11" t="s">
        <v>221</v>
      </c>
      <c r="AD480" s="9" t="s">
        <v>104</v>
      </c>
      <c r="AE480" s="56">
        <f t="shared" si="15"/>
        <v>129.81992357000001</v>
      </c>
      <c r="AF480" s="14">
        <v>129.81992357000001</v>
      </c>
      <c r="AG480" s="13"/>
    </row>
    <row r="481" spans="1:41" x14ac:dyDescent="0.2">
      <c r="A481" s="5" t="s">
        <v>67</v>
      </c>
      <c r="B481" s="25">
        <v>43320</v>
      </c>
      <c r="C481" s="26">
        <v>0.62847222222222199</v>
      </c>
      <c r="D481" s="5" t="s">
        <v>236</v>
      </c>
      <c r="E481" s="5">
        <v>3</v>
      </c>
      <c r="F481" s="32">
        <v>60</v>
      </c>
      <c r="G481" s="9">
        <v>2</v>
      </c>
      <c r="H481" s="6">
        <v>3.3333333333333333E-2</v>
      </c>
      <c r="I481" s="7">
        <v>6.83E-2</v>
      </c>
      <c r="J481" s="9">
        <v>314.15899999999999</v>
      </c>
      <c r="K481" s="9">
        <v>0.5464</v>
      </c>
      <c r="L481" s="9">
        <v>8</v>
      </c>
      <c r="M481" s="14">
        <v>287.48078330893117</v>
      </c>
      <c r="N481" s="9">
        <v>1037</v>
      </c>
      <c r="O481" s="12" t="s">
        <v>86</v>
      </c>
      <c r="P481" s="12" t="s">
        <v>82</v>
      </c>
      <c r="Q481" s="9" t="s">
        <v>87</v>
      </c>
      <c r="R481" s="9" t="s">
        <v>84</v>
      </c>
      <c r="S481" s="9"/>
      <c r="T481" s="18">
        <v>24</v>
      </c>
      <c r="U481" s="18">
        <v>24</v>
      </c>
      <c r="V481" s="9">
        <v>3.7</v>
      </c>
      <c r="Y481" s="9">
        <f t="shared" si="14"/>
        <v>6899.5387994143484</v>
      </c>
      <c r="Z481" s="19" t="s">
        <v>73</v>
      </c>
      <c r="AA481" s="8" t="s">
        <v>240</v>
      </c>
      <c r="AB481" s="8" t="s">
        <v>75</v>
      </c>
      <c r="AC481" s="11" t="s">
        <v>221</v>
      </c>
      <c r="AD481" s="9" t="s">
        <v>85</v>
      </c>
      <c r="AE481" s="56">
        <f t="shared" si="15"/>
        <v>9.2027643066666673</v>
      </c>
      <c r="AF481" s="14">
        <v>9.2027643066666673</v>
      </c>
      <c r="AG481" s="13"/>
    </row>
    <row r="482" spans="1:41" x14ac:dyDescent="0.2">
      <c r="A482" s="5" t="s">
        <v>67</v>
      </c>
      <c r="B482" s="25">
        <v>43320</v>
      </c>
      <c r="C482" s="26">
        <v>0.62847222222222199</v>
      </c>
      <c r="D482" s="5" t="s">
        <v>236</v>
      </c>
      <c r="E482" s="5">
        <v>3</v>
      </c>
      <c r="F482" s="32">
        <v>60</v>
      </c>
      <c r="G482" s="9">
        <v>2</v>
      </c>
      <c r="H482" s="6">
        <v>3.3333333333333333E-2</v>
      </c>
      <c r="I482" s="7">
        <v>6.83E-2</v>
      </c>
      <c r="J482" s="9">
        <v>314.15899999999999</v>
      </c>
      <c r="K482" s="9">
        <v>0.5464</v>
      </c>
      <c r="L482" s="9">
        <v>8</v>
      </c>
      <c r="M482" s="14">
        <v>287.48078330893117</v>
      </c>
      <c r="N482" s="9">
        <v>1352</v>
      </c>
      <c r="O482" s="12" t="s">
        <v>118</v>
      </c>
      <c r="P482" s="12" t="s">
        <v>82</v>
      </c>
      <c r="Q482" s="9" t="s">
        <v>119</v>
      </c>
      <c r="R482" s="9" t="s">
        <v>84</v>
      </c>
      <c r="S482" s="9"/>
      <c r="T482" s="18">
        <v>2</v>
      </c>
      <c r="U482" s="18">
        <v>2</v>
      </c>
      <c r="V482" s="9">
        <v>14.8</v>
      </c>
      <c r="Y482" s="9">
        <f t="shared" si="14"/>
        <v>574.96156661786233</v>
      </c>
      <c r="Z482" s="19" t="s">
        <v>73</v>
      </c>
      <c r="AA482" s="8" t="s">
        <v>240</v>
      </c>
      <c r="AB482" s="8" t="s">
        <v>75</v>
      </c>
      <c r="AC482" s="11" t="s">
        <v>221</v>
      </c>
      <c r="AD482" s="9" t="s">
        <v>120</v>
      </c>
      <c r="AE482" s="56">
        <f t="shared" si="15"/>
        <v>954.78574961999971</v>
      </c>
      <c r="AF482" s="14">
        <v>954.78574961999971</v>
      </c>
      <c r="AG482" s="13"/>
    </row>
    <row r="483" spans="1:41" x14ac:dyDescent="0.2">
      <c r="A483" s="5" t="s">
        <v>67</v>
      </c>
      <c r="B483" s="25">
        <v>43320</v>
      </c>
      <c r="C483" s="26">
        <v>0.62847222222222199</v>
      </c>
      <c r="D483" s="5" t="s">
        <v>236</v>
      </c>
      <c r="E483" s="5">
        <v>3</v>
      </c>
      <c r="F483" s="32">
        <v>60</v>
      </c>
      <c r="G483" s="9">
        <v>2</v>
      </c>
      <c r="H483" s="6">
        <v>3.3333333333333333E-2</v>
      </c>
      <c r="I483" s="7">
        <v>6.83E-2</v>
      </c>
      <c r="J483" s="9">
        <v>314.15899999999999</v>
      </c>
      <c r="K483" s="9">
        <v>0.5464</v>
      </c>
      <c r="L483" s="9">
        <v>8</v>
      </c>
      <c r="M483" s="14">
        <v>287.48078330893117</v>
      </c>
      <c r="N483" s="9">
        <v>1364</v>
      </c>
      <c r="O483" s="12" t="s">
        <v>88</v>
      </c>
      <c r="P483" s="12" t="s">
        <v>82</v>
      </c>
      <c r="Q483" s="9" t="s">
        <v>89</v>
      </c>
      <c r="R483" s="9" t="s">
        <v>90</v>
      </c>
      <c r="S483" s="9"/>
      <c r="T483" s="18">
        <v>2</v>
      </c>
      <c r="U483" s="18">
        <v>2</v>
      </c>
      <c r="V483" s="9">
        <v>11.1</v>
      </c>
      <c r="Y483" s="9">
        <f t="shared" si="14"/>
        <v>574.96156661786233</v>
      </c>
      <c r="Z483" s="19" t="s">
        <v>73</v>
      </c>
      <c r="AA483" s="8" t="s">
        <v>240</v>
      </c>
      <c r="AB483" s="8" t="s">
        <v>75</v>
      </c>
      <c r="AC483" s="11" t="s">
        <v>221</v>
      </c>
      <c r="AD483" s="9" t="s">
        <v>91</v>
      </c>
      <c r="AE483" s="56">
        <f t="shared" si="15"/>
        <v>430.35384773999982</v>
      </c>
      <c r="AF483" s="14">
        <v>430.35384773999982</v>
      </c>
      <c r="AG483" s="13"/>
    </row>
    <row r="484" spans="1:41" x14ac:dyDescent="0.2">
      <c r="A484" s="5" t="s">
        <v>67</v>
      </c>
      <c r="B484" s="25">
        <v>43320</v>
      </c>
      <c r="C484" s="26">
        <v>0.62847222222222199</v>
      </c>
      <c r="D484" s="5" t="s">
        <v>236</v>
      </c>
      <c r="E484" s="5">
        <v>3</v>
      </c>
      <c r="F484" s="32">
        <v>60</v>
      </c>
      <c r="G484" s="9">
        <v>2</v>
      </c>
      <c r="H484" s="6">
        <v>3.3333333333333333E-2</v>
      </c>
      <c r="I484" s="7">
        <v>6.83E-2</v>
      </c>
      <c r="J484" s="9">
        <v>314.15899999999999</v>
      </c>
      <c r="K484" s="9">
        <v>0.5464</v>
      </c>
      <c r="L484" s="9">
        <v>8</v>
      </c>
      <c r="M484" s="14">
        <v>287.48078330893117</v>
      </c>
      <c r="N484" s="9">
        <v>1733</v>
      </c>
      <c r="O484" s="12" t="s">
        <v>92</v>
      </c>
      <c r="P484" s="12" t="s">
        <v>82</v>
      </c>
      <c r="Q484" s="9" t="s">
        <v>89</v>
      </c>
      <c r="R484" s="9" t="s">
        <v>93</v>
      </c>
      <c r="S484" s="9"/>
      <c r="T484" s="18">
        <v>1</v>
      </c>
      <c r="U484" s="18">
        <v>1</v>
      </c>
      <c r="V484" s="9">
        <v>7.4</v>
      </c>
      <c r="Y484" s="9">
        <f t="shared" si="14"/>
        <v>287.48078330893117</v>
      </c>
      <c r="Z484" s="19" t="s">
        <v>73</v>
      </c>
      <c r="AA484" s="8" t="s">
        <v>240</v>
      </c>
      <c r="AB484" s="8" t="s">
        <v>75</v>
      </c>
      <c r="AC484" s="11" t="s">
        <v>221</v>
      </c>
      <c r="AD484" s="9" t="s">
        <v>91</v>
      </c>
      <c r="AE484" s="56">
        <f t="shared" si="15"/>
        <v>172.0334684</v>
      </c>
      <c r="AF484" s="14">
        <v>172.0334684</v>
      </c>
      <c r="AG484" s="13"/>
    </row>
    <row r="485" spans="1:41" x14ac:dyDescent="0.2">
      <c r="A485" s="5" t="s">
        <v>67</v>
      </c>
      <c r="B485" s="25">
        <v>43320</v>
      </c>
      <c r="C485" s="26">
        <v>0.62847222222222199</v>
      </c>
      <c r="D485" s="5" t="s">
        <v>236</v>
      </c>
      <c r="E485" s="5">
        <v>3</v>
      </c>
      <c r="F485" s="32">
        <v>60</v>
      </c>
      <c r="G485" s="9">
        <v>2</v>
      </c>
      <c r="H485" s="6">
        <v>3.3333333333333333E-2</v>
      </c>
      <c r="I485" s="7">
        <v>6.83E-2</v>
      </c>
      <c r="J485" s="9">
        <v>314.15899999999999</v>
      </c>
      <c r="K485" s="9">
        <v>0.5464</v>
      </c>
      <c r="L485" s="9">
        <v>8</v>
      </c>
      <c r="M485" s="14">
        <v>287.48078330893117</v>
      </c>
      <c r="N485" s="9">
        <v>1419</v>
      </c>
      <c r="O485" s="12" t="s">
        <v>94</v>
      </c>
      <c r="P485" s="12" t="s">
        <v>82</v>
      </c>
      <c r="Q485" s="9" t="s">
        <v>95</v>
      </c>
      <c r="R485" s="9" t="s">
        <v>96</v>
      </c>
      <c r="S485" s="9"/>
      <c r="T485" s="18">
        <v>368</v>
      </c>
      <c r="U485" s="18">
        <v>741</v>
      </c>
      <c r="V485" s="9">
        <v>0.8</v>
      </c>
      <c r="W485" s="9">
        <v>0.8</v>
      </c>
      <c r="X485" s="9">
        <v>0.8</v>
      </c>
      <c r="Y485" s="9">
        <f t="shared" si="14"/>
        <v>105792.92825768668</v>
      </c>
      <c r="Z485" s="19" t="s">
        <v>97</v>
      </c>
      <c r="AA485" s="8" t="s">
        <v>240</v>
      </c>
      <c r="AB485" s="8" t="s">
        <v>75</v>
      </c>
      <c r="AC485" s="11" t="s">
        <v>221</v>
      </c>
      <c r="AD485" s="9" t="s">
        <v>85</v>
      </c>
      <c r="AE485" s="56">
        <f t="shared" si="15"/>
        <v>0.17999999999999997</v>
      </c>
      <c r="AF485" s="14">
        <v>0.18</v>
      </c>
      <c r="AG485" s="14">
        <v>0.18</v>
      </c>
      <c r="AH485" s="14">
        <v>0.18</v>
      </c>
      <c r="AI485" s="14">
        <v>0.18</v>
      </c>
      <c r="AJ485" s="14">
        <v>0.18</v>
      </c>
      <c r="AK485" s="14">
        <v>0.18</v>
      </c>
      <c r="AL485" s="14">
        <v>0.18</v>
      </c>
      <c r="AM485" s="14">
        <v>0.18</v>
      </c>
      <c r="AN485" s="14">
        <v>0.18</v>
      </c>
      <c r="AO485" s="14">
        <v>0.18</v>
      </c>
    </row>
    <row r="486" spans="1:41" x14ac:dyDescent="0.2">
      <c r="A486" s="5" t="s">
        <v>67</v>
      </c>
      <c r="B486" s="25">
        <v>43320</v>
      </c>
      <c r="C486" s="26">
        <v>0.62847222222222199</v>
      </c>
      <c r="D486" s="5" t="s">
        <v>236</v>
      </c>
      <c r="E486" s="5">
        <v>3</v>
      </c>
      <c r="F486" s="32">
        <v>60</v>
      </c>
      <c r="G486" s="9">
        <v>2</v>
      </c>
      <c r="H486" s="6">
        <v>3.3333333333333333E-2</v>
      </c>
      <c r="I486" s="7">
        <v>6.83E-2</v>
      </c>
      <c r="J486" s="9">
        <v>314.15899999999999</v>
      </c>
      <c r="K486" s="9">
        <v>0.5464</v>
      </c>
      <c r="L486" s="9">
        <v>8</v>
      </c>
      <c r="M486" s="14">
        <v>287.48078330893117</v>
      </c>
      <c r="N486" s="9">
        <v>1421</v>
      </c>
      <c r="O486" s="12" t="s">
        <v>130</v>
      </c>
      <c r="P486" s="12" t="s">
        <v>82</v>
      </c>
      <c r="Q486" s="9" t="s">
        <v>95</v>
      </c>
      <c r="R486" s="9" t="s">
        <v>131</v>
      </c>
      <c r="S486" s="9"/>
      <c r="T486" s="18">
        <v>2</v>
      </c>
      <c r="U486" s="18">
        <v>2</v>
      </c>
      <c r="V486" s="9">
        <v>4.5999999999999996</v>
      </c>
      <c r="Y486" s="9">
        <f t="shared" si="14"/>
        <v>574.96156661786233</v>
      </c>
      <c r="Z486" s="19" t="s">
        <v>73</v>
      </c>
      <c r="AA486" s="8" t="s">
        <v>240</v>
      </c>
      <c r="AB486" s="8" t="s">
        <v>75</v>
      </c>
      <c r="AC486" s="11" t="s">
        <v>221</v>
      </c>
      <c r="AD486" s="9" t="s">
        <v>85</v>
      </c>
      <c r="AE486" s="56">
        <f t="shared" si="15"/>
        <v>50.964967373333316</v>
      </c>
      <c r="AF486" s="14">
        <v>50.964967373333316</v>
      </c>
      <c r="AG486" s="13"/>
    </row>
    <row r="487" spans="1:41" x14ac:dyDescent="0.2">
      <c r="A487" s="5" t="s">
        <v>67</v>
      </c>
      <c r="B487" s="25">
        <v>43320</v>
      </c>
      <c r="C487" s="26">
        <v>0.62847222222222199</v>
      </c>
      <c r="D487" s="5" t="s">
        <v>236</v>
      </c>
      <c r="E487" s="5">
        <v>3</v>
      </c>
      <c r="F487" s="32">
        <v>60</v>
      </c>
      <c r="G487" s="9">
        <v>2</v>
      </c>
      <c r="H487" s="6">
        <v>3.3333333333333333E-2</v>
      </c>
      <c r="I487" s="7">
        <v>6.83E-2</v>
      </c>
      <c r="J487" s="9">
        <v>314.15899999999999</v>
      </c>
      <c r="K487" s="9">
        <v>0.5464</v>
      </c>
      <c r="L487" s="9">
        <v>8</v>
      </c>
      <c r="M487" s="14">
        <v>287.48078330893117</v>
      </c>
      <c r="N487" s="9">
        <v>1423</v>
      </c>
      <c r="O487" s="12" t="s">
        <v>163</v>
      </c>
      <c r="P487" s="12" t="s">
        <v>82</v>
      </c>
      <c r="Q487" s="9" t="s">
        <v>95</v>
      </c>
      <c r="R487" s="9" t="s">
        <v>84</v>
      </c>
      <c r="S487" s="9"/>
      <c r="T487" s="18">
        <v>1</v>
      </c>
      <c r="U487" s="18">
        <v>2</v>
      </c>
      <c r="V487" s="9">
        <v>2.8</v>
      </c>
      <c r="Y487" s="9">
        <f t="shared" si="14"/>
        <v>287.48078330893117</v>
      </c>
      <c r="Z487" s="19" t="s">
        <v>97</v>
      </c>
      <c r="AA487" s="8" t="s">
        <v>240</v>
      </c>
      <c r="AB487" s="8" t="s">
        <v>75</v>
      </c>
      <c r="AC487" s="11" t="s">
        <v>221</v>
      </c>
      <c r="AD487" s="9" t="s">
        <v>85</v>
      </c>
      <c r="AE487" s="56">
        <f t="shared" si="15"/>
        <v>11.494030613333329</v>
      </c>
      <c r="AF487" s="14">
        <v>11.494030613333329</v>
      </c>
      <c r="AG487" s="13"/>
    </row>
    <row r="488" spans="1:41" x14ac:dyDescent="0.2">
      <c r="A488" s="5" t="s">
        <v>67</v>
      </c>
      <c r="B488" s="25">
        <v>43320</v>
      </c>
      <c r="C488" s="26">
        <v>0.64791666666666703</v>
      </c>
      <c r="D488" s="5" t="s">
        <v>200</v>
      </c>
      <c r="E488" s="5">
        <v>3</v>
      </c>
      <c r="F488" s="32">
        <v>61.5</v>
      </c>
      <c r="G488" s="9">
        <v>2</v>
      </c>
      <c r="H488" s="6">
        <v>3.2520325203252036E-2</v>
      </c>
      <c r="I488" s="7">
        <v>6.83E-2</v>
      </c>
      <c r="J488" s="9">
        <v>314.15899999999999</v>
      </c>
      <c r="K488" s="9">
        <v>0.4098</v>
      </c>
      <c r="L488" s="9">
        <v>6</v>
      </c>
      <c r="M488" s="14">
        <v>383.30771107857493</v>
      </c>
      <c r="N488" s="9">
        <v>190</v>
      </c>
      <c r="O488" s="12" t="s">
        <v>102</v>
      </c>
      <c r="P488" s="8" t="s">
        <v>70</v>
      </c>
      <c r="Q488" s="9" t="s">
        <v>103</v>
      </c>
      <c r="R488" s="9" t="s">
        <v>84</v>
      </c>
      <c r="S488" s="9"/>
      <c r="T488" s="18">
        <v>1</v>
      </c>
      <c r="U488" s="18">
        <v>1</v>
      </c>
      <c r="V488" s="9">
        <v>5.6</v>
      </c>
      <c r="Y488" s="9">
        <f t="shared" si="14"/>
        <v>383.30771107857493</v>
      </c>
      <c r="Z488" s="19" t="s">
        <v>73</v>
      </c>
      <c r="AA488" s="8" t="s">
        <v>230</v>
      </c>
      <c r="AB488" s="8" t="s">
        <v>75</v>
      </c>
      <c r="AC488" s="11" t="s">
        <v>76</v>
      </c>
      <c r="AD488" s="9" t="s">
        <v>104</v>
      </c>
      <c r="AE488" s="56">
        <f t="shared" si="15"/>
        <v>68.964183679999977</v>
      </c>
      <c r="AF488" s="14">
        <v>68.964183679999977</v>
      </c>
      <c r="AG488" s="13"/>
    </row>
    <row r="489" spans="1:41" x14ac:dyDescent="0.2">
      <c r="A489" s="5" t="s">
        <v>67</v>
      </c>
      <c r="B489" s="25">
        <v>43320</v>
      </c>
      <c r="C489" s="26">
        <v>0.64791666666666703</v>
      </c>
      <c r="D489" s="5" t="s">
        <v>200</v>
      </c>
      <c r="E489" s="5">
        <v>3</v>
      </c>
      <c r="F489" s="32">
        <v>61.5</v>
      </c>
      <c r="G489" s="9">
        <v>2</v>
      </c>
      <c r="H489" s="6">
        <v>3.2520325203252036E-2</v>
      </c>
      <c r="I489" s="7">
        <v>6.83E-2</v>
      </c>
      <c r="J489" s="9">
        <v>314.15899999999999</v>
      </c>
      <c r="K489" s="9">
        <v>0.4098</v>
      </c>
      <c r="L489" s="9">
        <v>6</v>
      </c>
      <c r="M489" s="14">
        <v>383.30771107857493</v>
      </c>
      <c r="N489" s="9">
        <v>1037</v>
      </c>
      <c r="O489" s="12" t="s">
        <v>86</v>
      </c>
      <c r="P489" s="12" t="s">
        <v>82</v>
      </c>
      <c r="Q489" s="9" t="s">
        <v>87</v>
      </c>
      <c r="R489" s="9" t="s">
        <v>84</v>
      </c>
      <c r="S489" s="9"/>
      <c r="T489" s="18">
        <v>9</v>
      </c>
      <c r="U489" s="18">
        <v>9</v>
      </c>
      <c r="V489" s="9">
        <v>2.8</v>
      </c>
      <c r="Y489" s="9">
        <f t="shared" si="14"/>
        <v>3449.7693997071742</v>
      </c>
      <c r="Z489" s="19" t="s">
        <v>73</v>
      </c>
      <c r="AA489" s="8" t="s">
        <v>230</v>
      </c>
      <c r="AB489" s="8" t="s">
        <v>75</v>
      </c>
      <c r="AC489" s="11" t="s">
        <v>76</v>
      </c>
      <c r="AD489" s="9" t="s">
        <v>85</v>
      </c>
      <c r="AE489" s="56">
        <f t="shared" si="15"/>
        <v>9.2027643066666673</v>
      </c>
      <c r="AF489" s="14">
        <v>9.2027643066666673</v>
      </c>
      <c r="AG489" s="13"/>
    </row>
    <row r="490" spans="1:41" x14ac:dyDescent="0.2">
      <c r="A490" s="5" t="s">
        <v>67</v>
      </c>
      <c r="B490" s="25">
        <v>43320</v>
      </c>
      <c r="C490" s="26">
        <v>0.64791666666666703</v>
      </c>
      <c r="D490" s="5" t="s">
        <v>200</v>
      </c>
      <c r="E490" s="5">
        <v>3</v>
      </c>
      <c r="F490" s="32">
        <v>61.5</v>
      </c>
      <c r="G490" s="9">
        <v>2</v>
      </c>
      <c r="H490" s="6">
        <v>3.2520325203252036E-2</v>
      </c>
      <c r="I490" s="7">
        <v>6.83E-2</v>
      </c>
      <c r="J490" s="9">
        <v>314.15899999999999</v>
      </c>
      <c r="K490" s="9">
        <v>0.4098</v>
      </c>
      <c r="L490" s="9">
        <v>6</v>
      </c>
      <c r="M490" s="14">
        <v>383.30771107857493</v>
      </c>
      <c r="N490" s="9">
        <v>1352</v>
      </c>
      <c r="O490" s="12" t="s">
        <v>118</v>
      </c>
      <c r="P490" s="12" t="s">
        <v>82</v>
      </c>
      <c r="Q490" s="9" t="s">
        <v>119</v>
      </c>
      <c r="R490" s="9" t="s">
        <v>84</v>
      </c>
      <c r="S490" s="9"/>
      <c r="T490" s="18">
        <v>1</v>
      </c>
      <c r="U490" s="18">
        <v>1</v>
      </c>
      <c r="V490" s="9">
        <v>18.5</v>
      </c>
      <c r="Y490" s="9">
        <f t="shared" si="14"/>
        <v>383.30771107857493</v>
      </c>
      <c r="Z490" s="19" t="s">
        <v>73</v>
      </c>
      <c r="AA490" s="8" t="s">
        <v>230</v>
      </c>
      <c r="AB490" s="8" t="s">
        <v>75</v>
      </c>
      <c r="AC490" s="11" t="s">
        <v>76</v>
      </c>
      <c r="AD490" s="9" t="s">
        <v>120</v>
      </c>
      <c r="AE490" s="56">
        <f t="shared" si="15"/>
        <v>1193.4821870249996</v>
      </c>
      <c r="AF490" s="14">
        <v>1193.4821870249996</v>
      </c>
      <c r="AG490" s="13"/>
    </row>
    <row r="491" spans="1:41" x14ac:dyDescent="0.2">
      <c r="A491" s="5" t="s">
        <v>67</v>
      </c>
      <c r="B491" s="25">
        <v>43320</v>
      </c>
      <c r="C491" s="26">
        <v>0.64791666666666703</v>
      </c>
      <c r="D491" s="5" t="s">
        <v>200</v>
      </c>
      <c r="E491" s="5">
        <v>3</v>
      </c>
      <c r="F491" s="32">
        <v>61.5</v>
      </c>
      <c r="G491" s="9">
        <v>2</v>
      </c>
      <c r="H491" s="6">
        <v>3.2520325203252036E-2</v>
      </c>
      <c r="I491" s="7">
        <v>6.83E-2</v>
      </c>
      <c r="J491" s="9">
        <v>314.15899999999999</v>
      </c>
      <c r="K491" s="9">
        <v>0.4098</v>
      </c>
      <c r="L491" s="9">
        <v>6</v>
      </c>
      <c r="M491" s="14">
        <v>383.30771107857493</v>
      </c>
      <c r="N491" s="9">
        <v>1419</v>
      </c>
      <c r="O491" s="12" t="s">
        <v>94</v>
      </c>
      <c r="P491" s="12" t="s">
        <v>82</v>
      </c>
      <c r="Q491" s="9" t="s">
        <v>95</v>
      </c>
      <c r="R491" s="9" t="s">
        <v>96</v>
      </c>
      <c r="S491" s="9"/>
      <c r="T491" s="18">
        <v>390</v>
      </c>
      <c r="U491" s="18">
        <v>781</v>
      </c>
      <c r="V491" s="9">
        <v>0.8</v>
      </c>
      <c r="W491" s="9">
        <v>0.8</v>
      </c>
      <c r="X491" s="9">
        <v>0.8</v>
      </c>
      <c r="Y491" s="9">
        <f t="shared" si="14"/>
        <v>149490.00732064422</v>
      </c>
      <c r="Z491" s="19" t="s">
        <v>97</v>
      </c>
      <c r="AA491" s="8" t="s">
        <v>230</v>
      </c>
      <c r="AB491" s="8" t="s">
        <v>75</v>
      </c>
      <c r="AC491" s="11" t="s">
        <v>76</v>
      </c>
      <c r="AD491" s="9" t="s">
        <v>85</v>
      </c>
      <c r="AE491" s="56">
        <f t="shared" si="15"/>
        <v>0.17999999999999997</v>
      </c>
      <c r="AF491" s="14">
        <v>0.18</v>
      </c>
      <c r="AG491" s="14">
        <v>0.18</v>
      </c>
      <c r="AH491" s="14">
        <v>0.18</v>
      </c>
      <c r="AI491" s="14">
        <v>0.18</v>
      </c>
      <c r="AJ491" s="14">
        <v>0.18</v>
      </c>
      <c r="AK491" s="14">
        <v>0.18</v>
      </c>
      <c r="AL491" s="14">
        <v>0.18</v>
      </c>
      <c r="AM491" s="14">
        <v>0.18</v>
      </c>
      <c r="AN491" s="14">
        <v>0.18</v>
      </c>
      <c r="AO491" s="14">
        <v>0.18</v>
      </c>
    </row>
    <row r="492" spans="1:41" x14ac:dyDescent="0.2">
      <c r="A492" s="5" t="s">
        <v>67</v>
      </c>
      <c r="B492" s="25">
        <v>43320</v>
      </c>
      <c r="C492" s="26">
        <v>0.64791666666666703</v>
      </c>
      <c r="D492" s="5" t="s">
        <v>200</v>
      </c>
      <c r="E492" s="5">
        <v>3</v>
      </c>
      <c r="F492" s="32">
        <v>61.5</v>
      </c>
      <c r="G492" s="9">
        <v>2</v>
      </c>
      <c r="H492" s="6">
        <v>3.2520325203252036E-2</v>
      </c>
      <c r="I492" s="7">
        <v>6.83E-2</v>
      </c>
      <c r="J492" s="9">
        <v>314.15899999999999</v>
      </c>
      <c r="K492" s="9">
        <v>0.4098</v>
      </c>
      <c r="L492" s="9">
        <v>6</v>
      </c>
      <c r="M492" s="14">
        <v>383.30771107857493</v>
      </c>
      <c r="N492" s="9">
        <v>1421</v>
      </c>
      <c r="O492" s="12" t="s">
        <v>130</v>
      </c>
      <c r="P492" s="12" t="s">
        <v>82</v>
      </c>
      <c r="Q492" s="9" t="s">
        <v>95</v>
      </c>
      <c r="R492" s="9" t="s">
        <v>131</v>
      </c>
      <c r="S492" s="9"/>
      <c r="T492" s="18">
        <v>2</v>
      </c>
      <c r="U492" s="18">
        <v>3</v>
      </c>
      <c r="V492" s="9">
        <v>5.6</v>
      </c>
      <c r="Y492" s="9">
        <f t="shared" si="14"/>
        <v>766.61542215714985</v>
      </c>
      <c r="Z492" s="19" t="s">
        <v>97</v>
      </c>
      <c r="AA492" s="8" t="s">
        <v>230</v>
      </c>
      <c r="AB492" s="8" t="s">
        <v>75</v>
      </c>
      <c r="AC492" s="11" t="s">
        <v>76</v>
      </c>
      <c r="AD492" s="9" t="s">
        <v>85</v>
      </c>
      <c r="AE492" s="56">
        <f t="shared" si="15"/>
        <v>61.600820318333341</v>
      </c>
      <c r="AF492" s="14">
        <v>61.600820318333341</v>
      </c>
      <c r="AG492" s="13"/>
    </row>
    <row r="493" spans="1:41" x14ac:dyDescent="0.2">
      <c r="A493" s="5" t="s">
        <v>67</v>
      </c>
      <c r="B493" s="25">
        <v>43320</v>
      </c>
      <c r="C493" s="26">
        <v>0.65625</v>
      </c>
      <c r="D493" s="5" t="s">
        <v>135</v>
      </c>
      <c r="E493" s="5"/>
      <c r="F493" s="32">
        <v>60.5</v>
      </c>
      <c r="G493" s="9">
        <v>2</v>
      </c>
      <c r="H493" s="6">
        <v>3.3057851239669422E-2</v>
      </c>
      <c r="I493" s="7">
        <v>6.83E-2</v>
      </c>
      <c r="J493" s="9">
        <v>314.15899999999999</v>
      </c>
      <c r="K493" s="9">
        <v>0.47809999999999997</v>
      </c>
      <c r="L493" s="9">
        <v>7</v>
      </c>
      <c r="M493" s="14">
        <v>328.54946663877848</v>
      </c>
      <c r="N493" s="9">
        <v>1031</v>
      </c>
      <c r="O493" s="12" t="s">
        <v>81</v>
      </c>
      <c r="P493" s="12" t="s">
        <v>82</v>
      </c>
      <c r="Q493" s="9" t="s">
        <v>83</v>
      </c>
      <c r="R493" s="9" t="s">
        <v>84</v>
      </c>
      <c r="S493" s="9"/>
      <c r="T493" s="18">
        <v>1</v>
      </c>
      <c r="U493" s="18">
        <v>1</v>
      </c>
      <c r="V493" s="9">
        <v>4.5999999999999996</v>
      </c>
      <c r="Y493" s="9">
        <f t="shared" si="14"/>
        <v>328.54946663877848</v>
      </c>
      <c r="Z493" s="19" t="s">
        <v>73</v>
      </c>
      <c r="AA493" s="8" t="s">
        <v>231</v>
      </c>
      <c r="AB493" s="8" t="s">
        <v>75</v>
      </c>
      <c r="AC493" s="11" t="s">
        <v>76</v>
      </c>
      <c r="AD493" s="9" t="s">
        <v>85</v>
      </c>
      <c r="AE493" s="56">
        <f t="shared" si="15"/>
        <v>40.993560713333324</v>
      </c>
      <c r="AF493" s="14">
        <v>40.993560713333324</v>
      </c>
      <c r="AG493" s="13"/>
    </row>
    <row r="494" spans="1:41" x14ac:dyDescent="0.2">
      <c r="A494" s="5" t="s">
        <v>67</v>
      </c>
      <c r="B494" s="25">
        <v>43320</v>
      </c>
      <c r="C494" s="26">
        <v>0.65625</v>
      </c>
      <c r="D494" s="5" t="s">
        <v>135</v>
      </c>
      <c r="E494" s="5"/>
      <c r="F494" s="32">
        <v>60.5</v>
      </c>
      <c r="G494" s="9">
        <v>2</v>
      </c>
      <c r="H494" s="6">
        <v>3.3057851239669422E-2</v>
      </c>
      <c r="I494" s="7">
        <v>6.83E-2</v>
      </c>
      <c r="J494" s="9">
        <v>314.15899999999999</v>
      </c>
      <c r="K494" s="9">
        <v>0.47809999999999997</v>
      </c>
      <c r="L494" s="9">
        <v>7</v>
      </c>
      <c r="M494" s="14">
        <v>328.54946663877848</v>
      </c>
      <c r="N494" s="9">
        <v>1037</v>
      </c>
      <c r="O494" s="12" t="s">
        <v>86</v>
      </c>
      <c r="P494" s="12" t="s">
        <v>82</v>
      </c>
      <c r="Q494" s="9" t="s">
        <v>87</v>
      </c>
      <c r="R494" s="9" t="s">
        <v>84</v>
      </c>
      <c r="S494" s="9"/>
      <c r="T494" s="18">
        <v>39</v>
      </c>
      <c r="U494" s="18">
        <v>39</v>
      </c>
      <c r="V494" s="9">
        <v>3.7</v>
      </c>
      <c r="Y494" s="9">
        <f t="shared" si="14"/>
        <v>12813.429198912361</v>
      </c>
      <c r="Z494" s="19" t="s">
        <v>73</v>
      </c>
      <c r="AA494" s="8" t="s">
        <v>231</v>
      </c>
      <c r="AB494" s="8" t="s">
        <v>75</v>
      </c>
      <c r="AC494" s="11" t="s">
        <v>76</v>
      </c>
      <c r="AD494" s="9" t="s">
        <v>85</v>
      </c>
      <c r="AE494" s="56">
        <f t="shared" si="15"/>
        <v>9.2027643066666673</v>
      </c>
      <c r="AF494" s="14">
        <v>9.2027643066666673</v>
      </c>
      <c r="AG494" s="13"/>
    </row>
    <row r="495" spans="1:41" x14ac:dyDescent="0.2">
      <c r="A495" s="5" t="s">
        <v>67</v>
      </c>
      <c r="B495" s="25">
        <v>43320</v>
      </c>
      <c r="C495" s="26">
        <v>0.65625</v>
      </c>
      <c r="D495" s="5" t="s">
        <v>135</v>
      </c>
      <c r="E495" s="5"/>
      <c r="F495" s="32">
        <v>60.5</v>
      </c>
      <c r="G495" s="9">
        <v>2</v>
      </c>
      <c r="H495" s="6">
        <v>3.3057851239669422E-2</v>
      </c>
      <c r="I495" s="7">
        <v>6.83E-2</v>
      </c>
      <c r="J495" s="9">
        <v>314.15899999999999</v>
      </c>
      <c r="K495" s="9">
        <v>0.47809999999999997</v>
      </c>
      <c r="L495" s="9">
        <v>7</v>
      </c>
      <c r="M495" s="14">
        <v>328.54946663877848</v>
      </c>
      <c r="N495" s="9">
        <v>1119</v>
      </c>
      <c r="O495" s="8" t="s">
        <v>197</v>
      </c>
      <c r="P495" s="12" t="s">
        <v>82</v>
      </c>
      <c r="Q495" s="9" t="s">
        <v>198</v>
      </c>
      <c r="R495" s="9" t="s">
        <v>199</v>
      </c>
      <c r="S495" s="9"/>
      <c r="T495" s="18">
        <v>2</v>
      </c>
      <c r="U495" s="18">
        <v>2</v>
      </c>
      <c r="V495" s="9">
        <v>5.6</v>
      </c>
      <c r="Y495" s="9">
        <f t="shared" si="14"/>
        <v>657.09893327755697</v>
      </c>
      <c r="Z495" s="19" t="s">
        <v>73</v>
      </c>
      <c r="AA495" s="8" t="s">
        <v>231</v>
      </c>
      <c r="AB495" s="8" t="s">
        <v>75</v>
      </c>
      <c r="AC495" s="11" t="s">
        <v>76</v>
      </c>
      <c r="AD495" s="9" t="s">
        <v>150</v>
      </c>
      <c r="AE495" s="56">
        <f t="shared" si="15"/>
        <v>30.377080906666663</v>
      </c>
      <c r="AF495" s="14">
        <v>30.377080906666663</v>
      </c>
      <c r="AG495" s="13"/>
    </row>
    <row r="496" spans="1:41" x14ac:dyDescent="0.2">
      <c r="A496" s="5" t="s">
        <v>67</v>
      </c>
      <c r="B496" s="25">
        <v>43320</v>
      </c>
      <c r="C496" s="26">
        <v>0.65625</v>
      </c>
      <c r="D496" s="5" t="s">
        <v>135</v>
      </c>
      <c r="E496" s="5"/>
      <c r="F496" s="32">
        <v>60.5</v>
      </c>
      <c r="G496" s="9">
        <v>2</v>
      </c>
      <c r="H496" s="6">
        <v>3.3057851239669422E-2</v>
      </c>
      <c r="I496" s="7">
        <v>6.83E-2</v>
      </c>
      <c r="J496" s="9">
        <v>314.15899999999999</v>
      </c>
      <c r="K496" s="9">
        <v>0.47809999999999997</v>
      </c>
      <c r="L496" s="9">
        <v>7</v>
      </c>
      <c r="M496" s="14">
        <v>328.54946663877848</v>
      </c>
      <c r="N496" s="9">
        <v>1692</v>
      </c>
      <c r="O496" s="8" t="s">
        <v>179</v>
      </c>
      <c r="P496" s="12" t="s">
        <v>82</v>
      </c>
      <c r="Q496" s="9" t="s">
        <v>180</v>
      </c>
      <c r="R496" s="9" t="s">
        <v>84</v>
      </c>
      <c r="S496" s="9"/>
      <c r="T496" s="18">
        <v>1</v>
      </c>
      <c r="U496" s="18">
        <v>1</v>
      </c>
      <c r="V496" s="9">
        <v>7.4</v>
      </c>
      <c r="Y496" s="9">
        <f t="shared" si="14"/>
        <v>328.54946663877848</v>
      </c>
      <c r="Z496" s="19" t="s">
        <v>73</v>
      </c>
      <c r="AA496" s="8" t="s">
        <v>231</v>
      </c>
      <c r="AB496" s="8" t="s">
        <v>75</v>
      </c>
      <c r="AC496" s="11" t="s">
        <v>76</v>
      </c>
      <c r="AD496" s="9" t="s">
        <v>120</v>
      </c>
      <c r="AE496" s="56">
        <f t="shared" si="15"/>
        <v>121.50832362666665</v>
      </c>
      <c r="AF496" s="14">
        <v>121.50832362666665</v>
      </c>
      <c r="AG496" s="13"/>
    </row>
    <row r="497" spans="1:41" x14ac:dyDescent="0.2">
      <c r="A497" s="5" t="s">
        <v>67</v>
      </c>
      <c r="B497" s="25">
        <v>43320</v>
      </c>
      <c r="C497" s="26">
        <v>0.65625</v>
      </c>
      <c r="D497" s="5" t="s">
        <v>135</v>
      </c>
      <c r="E497" s="5"/>
      <c r="F497" s="32">
        <v>60.5</v>
      </c>
      <c r="G497" s="9">
        <v>2</v>
      </c>
      <c r="H497" s="6">
        <v>3.3057851239669422E-2</v>
      </c>
      <c r="I497" s="7">
        <v>6.83E-2</v>
      </c>
      <c r="J497" s="9">
        <v>314.15899999999999</v>
      </c>
      <c r="K497" s="9">
        <v>0.47809999999999997</v>
      </c>
      <c r="L497" s="9">
        <v>7</v>
      </c>
      <c r="M497" s="14">
        <v>328.54946663877848</v>
      </c>
      <c r="N497" s="9">
        <v>1324</v>
      </c>
      <c r="O497" s="12" t="s">
        <v>232</v>
      </c>
      <c r="P497" s="12" t="s">
        <v>82</v>
      </c>
      <c r="Q497" s="9" t="s">
        <v>233</v>
      </c>
      <c r="R497" s="9" t="s">
        <v>84</v>
      </c>
      <c r="S497" s="9"/>
      <c r="T497" s="18">
        <v>1</v>
      </c>
      <c r="U497" s="18">
        <v>1</v>
      </c>
      <c r="V497" s="9">
        <v>9.3000000000000007</v>
      </c>
      <c r="Y497" s="9">
        <f t="shared" si="14"/>
        <v>328.54946663877848</v>
      </c>
      <c r="Z497" s="19" t="s">
        <v>73</v>
      </c>
      <c r="AA497" s="8" t="s">
        <v>231</v>
      </c>
      <c r="AB497" s="8" t="s">
        <v>75</v>
      </c>
      <c r="AC497" s="11" t="s">
        <v>76</v>
      </c>
      <c r="AD497" s="9" t="s">
        <v>91</v>
      </c>
      <c r="AE497" s="56">
        <f t="shared" si="15"/>
        <v>421.15998460499998</v>
      </c>
      <c r="AF497" s="14">
        <v>421.15998460499998</v>
      </c>
      <c r="AG497" s="13"/>
    </row>
    <row r="498" spans="1:41" x14ac:dyDescent="0.2">
      <c r="A498" s="5" t="s">
        <v>67</v>
      </c>
      <c r="B498" s="25">
        <v>43320</v>
      </c>
      <c r="C498" s="26">
        <v>0.65625</v>
      </c>
      <c r="D498" s="5" t="s">
        <v>135</v>
      </c>
      <c r="E498" s="5"/>
      <c r="F498" s="32">
        <v>60.5</v>
      </c>
      <c r="G498" s="9">
        <v>2</v>
      </c>
      <c r="H498" s="6">
        <v>3.3057851239669422E-2</v>
      </c>
      <c r="I498" s="7">
        <v>6.83E-2</v>
      </c>
      <c r="J498" s="9">
        <v>314.15899999999999</v>
      </c>
      <c r="K498" s="9">
        <v>0.47809999999999997</v>
      </c>
      <c r="L498" s="9">
        <v>7</v>
      </c>
      <c r="M498" s="14">
        <v>328.54946663877848</v>
      </c>
      <c r="N498" s="9">
        <v>1352</v>
      </c>
      <c r="O498" s="12" t="s">
        <v>118</v>
      </c>
      <c r="P498" s="12" t="s">
        <v>82</v>
      </c>
      <c r="Q498" s="9" t="s">
        <v>119</v>
      </c>
      <c r="R498" s="9" t="s">
        <v>84</v>
      </c>
      <c r="S498" s="9"/>
      <c r="T498" s="18">
        <v>3</v>
      </c>
      <c r="U498" s="18">
        <v>3</v>
      </c>
      <c r="V498" s="9">
        <v>18.5</v>
      </c>
      <c r="Y498" s="9">
        <f t="shared" si="14"/>
        <v>985.64839991633551</v>
      </c>
      <c r="Z498" s="19" t="s">
        <v>73</v>
      </c>
      <c r="AA498" s="8" t="s">
        <v>231</v>
      </c>
      <c r="AB498" s="8" t="s">
        <v>75</v>
      </c>
      <c r="AC498" s="11" t="s">
        <v>76</v>
      </c>
      <c r="AD498" s="9" t="s">
        <v>120</v>
      </c>
      <c r="AE498" s="56">
        <f t="shared" si="15"/>
        <v>923.62745999999993</v>
      </c>
      <c r="AF498" s="14">
        <v>923.62745999999993</v>
      </c>
      <c r="AG498" s="13"/>
    </row>
    <row r="499" spans="1:41" x14ac:dyDescent="0.2">
      <c r="A499" s="5" t="s">
        <v>67</v>
      </c>
      <c r="B499" s="25">
        <v>43320</v>
      </c>
      <c r="C499" s="26">
        <v>0.65625</v>
      </c>
      <c r="D499" s="5" t="s">
        <v>135</v>
      </c>
      <c r="E499" s="5"/>
      <c r="F499" s="32">
        <v>60.5</v>
      </c>
      <c r="G499" s="9">
        <v>2</v>
      </c>
      <c r="H499" s="6">
        <v>3.3057851239669422E-2</v>
      </c>
      <c r="I499" s="7">
        <v>6.83E-2</v>
      </c>
      <c r="J499" s="9">
        <v>314.15899999999999</v>
      </c>
      <c r="K499" s="9">
        <v>0.47809999999999997</v>
      </c>
      <c r="L499" s="9">
        <v>7</v>
      </c>
      <c r="M499" s="14">
        <v>328.54946663877848</v>
      </c>
      <c r="N499" s="9">
        <v>1365</v>
      </c>
      <c r="O499" s="8" t="s">
        <v>121</v>
      </c>
      <c r="P499" s="12" t="s">
        <v>82</v>
      </c>
      <c r="Q499" s="9" t="s">
        <v>122</v>
      </c>
      <c r="R499" s="9" t="s">
        <v>123</v>
      </c>
      <c r="S499" s="9"/>
      <c r="T499" s="18">
        <v>1</v>
      </c>
      <c r="U499" s="18">
        <v>1</v>
      </c>
      <c r="V499" s="9">
        <v>13</v>
      </c>
      <c r="Y499" s="9">
        <f t="shared" si="14"/>
        <v>328.54946663877848</v>
      </c>
      <c r="Z499" s="19" t="s">
        <v>73</v>
      </c>
      <c r="AA499" s="8" t="s">
        <v>231</v>
      </c>
      <c r="AB499" s="8" t="s">
        <v>75</v>
      </c>
      <c r="AC499" s="11" t="s">
        <v>76</v>
      </c>
      <c r="AD499" s="9" t="s">
        <v>91</v>
      </c>
      <c r="AE499" s="56">
        <f t="shared" si="15"/>
        <v>902.57880699999998</v>
      </c>
      <c r="AF499" s="14">
        <v>902.57880699999998</v>
      </c>
      <c r="AG499" s="13"/>
    </row>
    <row r="500" spans="1:41" x14ac:dyDescent="0.2">
      <c r="A500" s="5" t="s">
        <v>67</v>
      </c>
      <c r="B500" s="25">
        <v>43320</v>
      </c>
      <c r="C500" s="26">
        <v>0.65625</v>
      </c>
      <c r="D500" s="5" t="s">
        <v>135</v>
      </c>
      <c r="E500" s="5"/>
      <c r="F500" s="32">
        <v>60.5</v>
      </c>
      <c r="G500" s="9">
        <v>2</v>
      </c>
      <c r="H500" s="6">
        <v>3.3057851239669422E-2</v>
      </c>
      <c r="I500" s="7">
        <v>6.83E-2</v>
      </c>
      <c r="J500" s="9">
        <v>314.15899999999999</v>
      </c>
      <c r="K500" s="9">
        <v>0.47809999999999997</v>
      </c>
      <c r="L500" s="9">
        <v>7</v>
      </c>
      <c r="M500" s="14">
        <v>328.54946663877848</v>
      </c>
      <c r="N500" s="9">
        <v>1419</v>
      </c>
      <c r="O500" s="12" t="s">
        <v>94</v>
      </c>
      <c r="P500" s="12" t="s">
        <v>82</v>
      </c>
      <c r="Q500" s="9" t="s">
        <v>95</v>
      </c>
      <c r="R500" s="9" t="s">
        <v>96</v>
      </c>
      <c r="S500" s="9"/>
      <c r="T500" s="18">
        <v>355</v>
      </c>
      <c r="U500" s="18">
        <v>718</v>
      </c>
      <c r="V500" s="9">
        <v>0.8</v>
      </c>
      <c r="W500" s="9">
        <v>0.8</v>
      </c>
      <c r="X500" s="9">
        <v>0.8</v>
      </c>
      <c r="Y500" s="9">
        <f t="shared" si="14"/>
        <v>116635.06065676636</v>
      </c>
      <c r="Z500" s="19" t="s">
        <v>97</v>
      </c>
      <c r="AA500" s="8" t="s">
        <v>231</v>
      </c>
      <c r="AB500" s="8" t="s">
        <v>75</v>
      </c>
      <c r="AC500" s="11" t="s">
        <v>76</v>
      </c>
      <c r="AD500" s="9" t="s">
        <v>85</v>
      </c>
      <c r="AE500" s="56">
        <f t="shared" si="15"/>
        <v>0.17999999999999997</v>
      </c>
      <c r="AF500" s="14">
        <v>0.18</v>
      </c>
      <c r="AG500" s="14">
        <v>0.18</v>
      </c>
      <c r="AH500" s="14">
        <v>0.18</v>
      </c>
      <c r="AI500" s="14">
        <v>0.18</v>
      </c>
      <c r="AJ500" s="14">
        <v>0.18</v>
      </c>
      <c r="AK500" s="14">
        <v>0.18</v>
      </c>
      <c r="AL500" s="14">
        <v>0.18</v>
      </c>
      <c r="AM500" s="14">
        <v>0.18</v>
      </c>
      <c r="AN500" s="14">
        <v>0.18</v>
      </c>
      <c r="AO500" s="14">
        <v>0.18</v>
      </c>
    </row>
    <row r="501" spans="1:41" x14ac:dyDescent="0.2">
      <c r="A501" s="5" t="s">
        <v>67</v>
      </c>
      <c r="B501" s="25">
        <v>43320</v>
      </c>
      <c r="C501" s="26">
        <v>0.65625</v>
      </c>
      <c r="D501" s="5" t="s">
        <v>135</v>
      </c>
      <c r="E501" s="5"/>
      <c r="F501" s="32">
        <v>60.5</v>
      </c>
      <c r="G501" s="9">
        <v>2</v>
      </c>
      <c r="H501" s="6">
        <v>3.3057851239669422E-2</v>
      </c>
      <c r="I501" s="7">
        <v>6.83E-2</v>
      </c>
      <c r="J501" s="9">
        <v>314.15899999999999</v>
      </c>
      <c r="K501" s="9">
        <v>0.47809999999999997</v>
      </c>
      <c r="L501" s="9">
        <v>7</v>
      </c>
      <c r="M501" s="14">
        <v>328.54946663877848</v>
      </c>
      <c r="N501" s="9">
        <v>1420</v>
      </c>
      <c r="O501" s="12" t="s">
        <v>98</v>
      </c>
      <c r="P501" s="12" t="s">
        <v>82</v>
      </c>
      <c r="Q501" s="9" t="s">
        <v>95</v>
      </c>
      <c r="R501" s="9" t="s">
        <v>99</v>
      </c>
      <c r="S501" s="9"/>
      <c r="T501" s="18">
        <v>4</v>
      </c>
      <c r="U501" s="18">
        <v>8</v>
      </c>
      <c r="V501" s="9">
        <v>2.8</v>
      </c>
      <c r="Y501" s="9">
        <f t="shared" si="14"/>
        <v>1314.1978665551139</v>
      </c>
      <c r="Z501" s="19" t="s">
        <v>97</v>
      </c>
      <c r="AA501" s="8" t="s">
        <v>231</v>
      </c>
      <c r="AB501" s="8" t="s">
        <v>75</v>
      </c>
      <c r="AC501" s="11" t="s">
        <v>76</v>
      </c>
      <c r="AD501" s="9" t="s">
        <v>85</v>
      </c>
      <c r="AE501" s="56">
        <f t="shared" si="15"/>
        <v>11.494030613333329</v>
      </c>
      <c r="AF501" s="14">
        <v>11.494030613333329</v>
      </c>
      <c r="AG501" s="13"/>
    </row>
    <row r="502" spans="1:41" x14ac:dyDescent="0.2">
      <c r="A502" s="5" t="s">
        <v>67</v>
      </c>
      <c r="B502" s="25">
        <v>43320</v>
      </c>
      <c r="C502" s="26">
        <v>0.65625</v>
      </c>
      <c r="D502" s="5" t="s">
        <v>135</v>
      </c>
      <c r="E502" s="5"/>
      <c r="F502" s="32">
        <v>60.5</v>
      </c>
      <c r="G502" s="9">
        <v>2</v>
      </c>
      <c r="H502" s="6">
        <v>3.3057851239669422E-2</v>
      </c>
      <c r="I502" s="7">
        <v>6.83E-2</v>
      </c>
      <c r="J502" s="9">
        <v>314.15899999999999</v>
      </c>
      <c r="K502" s="9">
        <v>0.47809999999999997</v>
      </c>
      <c r="L502" s="9">
        <v>7</v>
      </c>
      <c r="M502" s="14">
        <v>328.54946663877848</v>
      </c>
      <c r="N502" s="9">
        <v>1421</v>
      </c>
      <c r="O502" s="12" t="s">
        <v>130</v>
      </c>
      <c r="P502" s="12" t="s">
        <v>82</v>
      </c>
      <c r="Q502" s="9" t="s">
        <v>95</v>
      </c>
      <c r="R502" s="9" t="s">
        <v>131</v>
      </c>
      <c r="S502" s="9"/>
      <c r="T502" s="18">
        <v>7</v>
      </c>
      <c r="U502" s="18">
        <v>11</v>
      </c>
      <c r="V502" s="9">
        <v>5.6</v>
      </c>
      <c r="Y502" s="9">
        <f t="shared" si="14"/>
        <v>2299.8462664714493</v>
      </c>
      <c r="Z502" s="19" t="s">
        <v>97</v>
      </c>
      <c r="AA502" s="8" t="s">
        <v>231</v>
      </c>
      <c r="AB502" s="8" t="s">
        <v>75</v>
      </c>
      <c r="AC502" s="11" t="s">
        <v>76</v>
      </c>
      <c r="AD502" s="9" t="s">
        <v>85</v>
      </c>
      <c r="AE502" s="56">
        <f t="shared" si="15"/>
        <v>57.905786879999994</v>
      </c>
      <c r="AF502" s="14">
        <v>57.905786879999994</v>
      </c>
      <c r="AG502" s="13"/>
    </row>
    <row r="503" spans="1:41" x14ac:dyDescent="0.2">
      <c r="A503" s="5" t="s">
        <v>67</v>
      </c>
      <c r="B503" s="25">
        <v>43320</v>
      </c>
      <c r="C503" s="26">
        <v>0.65625</v>
      </c>
      <c r="D503" s="5" t="s">
        <v>135</v>
      </c>
      <c r="E503" s="5"/>
      <c r="F503" s="32">
        <v>60.5</v>
      </c>
      <c r="G503" s="9">
        <v>2</v>
      </c>
      <c r="H503" s="6">
        <v>3.3057851239669422E-2</v>
      </c>
      <c r="I503" s="7">
        <v>6.83E-2</v>
      </c>
      <c r="J503" s="9">
        <v>314.15899999999999</v>
      </c>
      <c r="K503" s="9">
        <v>0.47809999999999997</v>
      </c>
      <c r="L503" s="9">
        <v>7</v>
      </c>
      <c r="M503" s="14">
        <v>328.54946663877848</v>
      </c>
      <c r="N503" s="9">
        <v>1709</v>
      </c>
      <c r="O503" s="12" t="s">
        <v>234</v>
      </c>
      <c r="P503" s="12" t="s">
        <v>82</v>
      </c>
      <c r="Q503" s="9" t="s">
        <v>235</v>
      </c>
      <c r="R503" s="9" t="s">
        <v>84</v>
      </c>
      <c r="S503" s="9"/>
      <c r="T503" s="18">
        <v>1</v>
      </c>
      <c r="U503" s="18">
        <v>50</v>
      </c>
      <c r="V503" s="9">
        <v>0.9</v>
      </c>
      <c r="Y503" s="9">
        <f t="shared" si="14"/>
        <v>328.54946663877848</v>
      </c>
      <c r="Z503" s="19" t="s">
        <v>134</v>
      </c>
      <c r="AA503" s="8" t="s">
        <v>231</v>
      </c>
      <c r="AB503" s="8" t="s">
        <v>75</v>
      </c>
      <c r="AC503" s="11" t="s">
        <v>76</v>
      </c>
      <c r="AD503" s="9" t="s">
        <v>104</v>
      </c>
      <c r="AE503" s="56">
        <f t="shared" si="15"/>
        <v>0.57255477750000006</v>
      </c>
      <c r="AF503" s="14">
        <v>0.57255477750000006</v>
      </c>
      <c r="AG503" s="13"/>
    </row>
    <row r="504" spans="1:41" x14ac:dyDescent="0.2">
      <c r="A504" s="5" t="s">
        <v>67</v>
      </c>
      <c r="B504" s="25">
        <v>43320</v>
      </c>
      <c r="C504" s="26">
        <v>0.66944444444444395</v>
      </c>
      <c r="D504" s="5" t="s">
        <v>116</v>
      </c>
      <c r="E504" s="5"/>
      <c r="F504" s="32">
        <v>61</v>
      </c>
      <c r="G504" s="9">
        <v>2</v>
      </c>
      <c r="H504" s="6">
        <v>3.2786885245901641E-2</v>
      </c>
      <c r="I504" s="7">
        <v>6.83E-2</v>
      </c>
      <c r="J504" s="9">
        <v>314.15899999999999</v>
      </c>
      <c r="K504" s="9">
        <v>0.61470000000000002</v>
      </c>
      <c r="L504" s="9">
        <v>9</v>
      </c>
      <c r="M504" s="14">
        <v>255.53847405238326</v>
      </c>
      <c r="N504" s="9">
        <v>190</v>
      </c>
      <c r="O504" s="12" t="s">
        <v>102</v>
      </c>
      <c r="P504" s="8" t="s">
        <v>70</v>
      </c>
      <c r="Q504" s="9" t="s">
        <v>103</v>
      </c>
      <c r="R504" s="9" t="s">
        <v>84</v>
      </c>
      <c r="S504" s="9"/>
      <c r="T504" s="18">
        <v>1</v>
      </c>
      <c r="U504" s="18">
        <v>1</v>
      </c>
      <c r="V504" s="9">
        <v>7.4</v>
      </c>
      <c r="Y504" s="9">
        <f t="shared" si="14"/>
        <v>255.53847405238326</v>
      </c>
      <c r="Z504" s="19" t="s">
        <v>73</v>
      </c>
      <c r="AA504" s="8" t="s">
        <v>228</v>
      </c>
      <c r="AB504" s="8" t="s">
        <v>75</v>
      </c>
      <c r="AC504" s="11" t="s">
        <v>76</v>
      </c>
      <c r="AD504" s="9" t="s">
        <v>104</v>
      </c>
      <c r="AE504" s="56">
        <f t="shared" si="15"/>
        <v>159.13095827000001</v>
      </c>
      <c r="AF504" s="14">
        <v>159.13095827000001</v>
      </c>
      <c r="AG504" s="13"/>
    </row>
    <row r="505" spans="1:41" x14ac:dyDescent="0.2">
      <c r="A505" s="5" t="s">
        <v>67</v>
      </c>
      <c r="B505" s="25">
        <v>43320</v>
      </c>
      <c r="C505" s="26">
        <v>0.66944444444444395</v>
      </c>
      <c r="D505" s="5" t="s">
        <v>116</v>
      </c>
      <c r="E505" s="5"/>
      <c r="F505" s="32">
        <v>61</v>
      </c>
      <c r="G505" s="9">
        <v>2</v>
      </c>
      <c r="H505" s="6">
        <v>3.2786885245901641E-2</v>
      </c>
      <c r="I505" s="7">
        <v>6.83E-2</v>
      </c>
      <c r="J505" s="9">
        <v>314.15899999999999</v>
      </c>
      <c r="K505" s="9">
        <v>0.61470000000000002</v>
      </c>
      <c r="L505" s="9">
        <v>9</v>
      </c>
      <c r="M505" s="14">
        <v>255.53847405238326</v>
      </c>
      <c r="N505" s="9">
        <v>895</v>
      </c>
      <c r="O505" s="8" t="s">
        <v>229</v>
      </c>
      <c r="P505" s="8" t="s">
        <v>70</v>
      </c>
      <c r="Q505" s="9" t="s">
        <v>138</v>
      </c>
      <c r="R505" s="9" t="s">
        <v>84</v>
      </c>
      <c r="S505" s="9"/>
      <c r="T505" s="18">
        <v>3</v>
      </c>
      <c r="U505" s="18">
        <v>3</v>
      </c>
      <c r="V505" s="9">
        <v>5.6</v>
      </c>
      <c r="Y505" s="9">
        <f t="shared" si="14"/>
        <v>766.61542215714974</v>
      </c>
      <c r="Z505" s="19" t="s">
        <v>73</v>
      </c>
      <c r="AA505" s="8" t="s">
        <v>228</v>
      </c>
      <c r="AB505" s="8" t="s">
        <v>75</v>
      </c>
      <c r="AC505" s="11" t="s">
        <v>76</v>
      </c>
      <c r="AD505" s="9" t="s">
        <v>140</v>
      </c>
      <c r="AE505" s="56">
        <f t="shared" si="15"/>
        <v>56.986086407499997</v>
      </c>
      <c r="AF505" s="14">
        <v>56.986086407499997</v>
      </c>
      <c r="AG505" s="13"/>
    </row>
    <row r="506" spans="1:41" x14ac:dyDescent="0.2">
      <c r="A506" s="5" t="s">
        <v>67</v>
      </c>
      <c r="B506" s="25">
        <v>43320</v>
      </c>
      <c r="C506" s="26">
        <v>0.66944444444444395</v>
      </c>
      <c r="D506" s="5" t="s">
        <v>116</v>
      </c>
      <c r="E506" s="5"/>
      <c r="F506" s="32">
        <v>61</v>
      </c>
      <c r="G506" s="9">
        <v>2</v>
      </c>
      <c r="H506" s="6">
        <v>3.2786885245901641E-2</v>
      </c>
      <c r="I506" s="7">
        <v>6.83E-2</v>
      </c>
      <c r="J506" s="9">
        <v>314.15899999999999</v>
      </c>
      <c r="K506" s="9">
        <v>0.61470000000000002</v>
      </c>
      <c r="L506" s="9">
        <v>9</v>
      </c>
      <c r="M506" s="14">
        <v>255.53847405238326</v>
      </c>
      <c r="N506" s="9">
        <v>1037</v>
      </c>
      <c r="O506" s="12" t="s">
        <v>86</v>
      </c>
      <c r="P506" s="12" t="s">
        <v>82</v>
      </c>
      <c r="Q506" s="9" t="s">
        <v>87</v>
      </c>
      <c r="R506" s="9" t="s">
        <v>84</v>
      </c>
      <c r="S506" s="9"/>
      <c r="T506" s="18">
        <v>39</v>
      </c>
      <c r="U506" s="18">
        <v>39</v>
      </c>
      <c r="V506" s="9">
        <v>2.8</v>
      </c>
      <c r="Y506" s="9">
        <f t="shared" si="14"/>
        <v>9966.000488042946</v>
      </c>
      <c r="Z506" s="19" t="s">
        <v>73</v>
      </c>
      <c r="AA506" s="8" t="s">
        <v>228</v>
      </c>
      <c r="AB506" s="8" t="s">
        <v>75</v>
      </c>
      <c r="AC506" s="11" t="s">
        <v>76</v>
      </c>
      <c r="AD506" s="9" t="s">
        <v>85</v>
      </c>
      <c r="AE506" s="56">
        <f t="shared" si="15"/>
        <v>9.2027643066666673</v>
      </c>
      <c r="AF506" s="14">
        <v>9.2027643066666673</v>
      </c>
      <c r="AG506" s="13"/>
    </row>
    <row r="507" spans="1:41" x14ac:dyDescent="0.2">
      <c r="A507" s="5" t="s">
        <v>67</v>
      </c>
      <c r="B507" s="25">
        <v>43320</v>
      </c>
      <c r="C507" s="26">
        <v>0.66944444444444395</v>
      </c>
      <c r="D507" s="5" t="s">
        <v>116</v>
      </c>
      <c r="E507" s="5"/>
      <c r="F507" s="32">
        <v>61</v>
      </c>
      <c r="G507" s="9">
        <v>2</v>
      </c>
      <c r="H507" s="6">
        <v>3.2786885245901641E-2</v>
      </c>
      <c r="I507" s="7">
        <v>6.83E-2</v>
      </c>
      <c r="J507" s="9">
        <v>314.15899999999999</v>
      </c>
      <c r="K507" s="9">
        <v>0.61470000000000002</v>
      </c>
      <c r="L507" s="9">
        <v>9</v>
      </c>
      <c r="M507" s="14">
        <v>255.53847405238326</v>
      </c>
      <c r="N507" s="9">
        <v>1352</v>
      </c>
      <c r="O507" s="12" t="s">
        <v>118</v>
      </c>
      <c r="P507" s="12" t="s">
        <v>82</v>
      </c>
      <c r="Q507" s="9" t="s">
        <v>119</v>
      </c>
      <c r="R507" s="9" t="s">
        <v>84</v>
      </c>
      <c r="S507" s="9"/>
      <c r="T507" s="18">
        <v>2</v>
      </c>
      <c r="U507" s="18">
        <v>2</v>
      </c>
      <c r="V507" s="9">
        <v>22.2</v>
      </c>
      <c r="Y507" s="9">
        <f t="shared" si="14"/>
        <v>511.07694810476653</v>
      </c>
      <c r="Z507" s="19" t="s">
        <v>73</v>
      </c>
      <c r="AA507" s="8" t="s">
        <v>228</v>
      </c>
      <c r="AB507" s="8" t="s">
        <v>75</v>
      </c>
      <c r="AC507" s="11" t="s">
        <v>76</v>
      </c>
      <c r="AD507" s="9" t="s">
        <v>120</v>
      </c>
      <c r="AE507" s="56">
        <f t="shared" si="15"/>
        <v>1418.2105916916664</v>
      </c>
      <c r="AF507" s="14">
        <v>1418.2105916916664</v>
      </c>
      <c r="AG507" s="13"/>
    </row>
    <row r="508" spans="1:41" x14ac:dyDescent="0.2">
      <c r="A508" s="5" t="s">
        <v>67</v>
      </c>
      <c r="B508" s="25">
        <v>43320</v>
      </c>
      <c r="C508" s="26">
        <v>0.66944444444444395</v>
      </c>
      <c r="D508" s="5" t="s">
        <v>116</v>
      </c>
      <c r="E508" s="5"/>
      <c r="F508" s="32">
        <v>61</v>
      </c>
      <c r="G508" s="9">
        <v>2</v>
      </c>
      <c r="H508" s="6">
        <v>3.2786885245901641E-2</v>
      </c>
      <c r="I508" s="7">
        <v>6.83E-2</v>
      </c>
      <c r="J508" s="9">
        <v>314.15899999999999</v>
      </c>
      <c r="K508" s="9">
        <v>0.61470000000000002</v>
      </c>
      <c r="L508" s="9">
        <v>9</v>
      </c>
      <c r="M508" s="14">
        <v>255.53847405238326</v>
      </c>
      <c r="N508" s="9">
        <v>1733</v>
      </c>
      <c r="O508" s="12" t="s">
        <v>92</v>
      </c>
      <c r="P508" s="12" t="s">
        <v>82</v>
      </c>
      <c r="Q508" s="9" t="s">
        <v>89</v>
      </c>
      <c r="R508" s="9" t="s">
        <v>93</v>
      </c>
      <c r="S508" s="9"/>
      <c r="T508" s="18">
        <v>1</v>
      </c>
      <c r="U508" s="18">
        <v>1</v>
      </c>
      <c r="V508" s="9">
        <v>6.5</v>
      </c>
      <c r="Y508" s="9">
        <f t="shared" si="14"/>
        <v>255.53847405238326</v>
      </c>
      <c r="Z508" s="19" t="s">
        <v>73</v>
      </c>
      <c r="AA508" s="8" t="s">
        <v>228</v>
      </c>
      <c r="AB508" s="8" t="s">
        <v>75</v>
      </c>
      <c r="AC508" s="11" t="s">
        <v>76</v>
      </c>
      <c r="AD508" s="9" t="s">
        <v>91</v>
      </c>
      <c r="AE508" s="56">
        <f t="shared" si="15"/>
        <v>122.77726418749999</v>
      </c>
      <c r="AF508" s="14">
        <v>122.77726418749999</v>
      </c>
      <c r="AG508" s="13"/>
    </row>
    <row r="509" spans="1:41" x14ac:dyDescent="0.2">
      <c r="A509" s="5" t="s">
        <v>67</v>
      </c>
      <c r="B509" s="25">
        <v>43320</v>
      </c>
      <c r="C509" s="26">
        <v>0.66944444444444395</v>
      </c>
      <c r="D509" s="5" t="s">
        <v>116</v>
      </c>
      <c r="E509" s="5"/>
      <c r="F509" s="32">
        <v>61</v>
      </c>
      <c r="G509" s="9">
        <v>2</v>
      </c>
      <c r="H509" s="6">
        <v>3.2786885245901641E-2</v>
      </c>
      <c r="I509" s="7">
        <v>6.83E-2</v>
      </c>
      <c r="J509" s="9">
        <v>314.15899999999999</v>
      </c>
      <c r="K509" s="9">
        <v>0.61470000000000002</v>
      </c>
      <c r="L509" s="9">
        <v>9</v>
      </c>
      <c r="M509" s="14">
        <v>255.53847405238326</v>
      </c>
      <c r="N509" s="9">
        <v>1419</v>
      </c>
      <c r="O509" s="12" t="s">
        <v>94</v>
      </c>
      <c r="P509" s="12" t="s">
        <v>82</v>
      </c>
      <c r="Q509" s="9" t="s">
        <v>95</v>
      </c>
      <c r="R509" s="9" t="s">
        <v>96</v>
      </c>
      <c r="S509" s="9"/>
      <c r="T509" s="18">
        <v>382</v>
      </c>
      <c r="U509" s="18">
        <v>766</v>
      </c>
      <c r="V509" s="9">
        <v>0.8</v>
      </c>
      <c r="W509" s="9">
        <v>0.8</v>
      </c>
      <c r="X509" s="9">
        <v>0.8</v>
      </c>
      <c r="Y509" s="9">
        <f t="shared" si="14"/>
        <v>97615.697088010405</v>
      </c>
      <c r="Z509" s="19" t="s">
        <v>97</v>
      </c>
      <c r="AA509" s="8" t="s">
        <v>228</v>
      </c>
      <c r="AB509" s="8" t="s">
        <v>75</v>
      </c>
      <c r="AC509" s="11" t="s">
        <v>76</v>
      </c>
      <c r="AD509" s="9" t="s">
        <v>85</v>
      </c>
      <c r="AE509" s="56">
        <f t="shared" si="15"/>
        <v>0.17999999999999997</v>
      </c>
      <c r="AF509" s="14">
        <v>0.18</v>
      </c>
      <c r="AG509" s="14">
        <v>0.18</v>
      </c>
      <c r="AH509" s="14">
        <v>0.18</v>
      </c>
      <c r="AI509" s="14">
        <v>0.18</v>
      </c>
      <c r="AJ509" s="14">
        <v>0.18</v>
      </c>
      <c r="AK509" s="14">
        <v>0.18</v>
      </c>
      <c r="AL509" s="14">
        <v>0.18</v>
      </c>
      <c r="AM509" s="14">
        <v>0.18</v>
      </c>
      <c r="AN509" s="14">
        <v>0.18</v>
      </c>
      <c r="AO509" s="14">
        <v>0.18</v>
      </c>
    </row>
    <row r="510" spans="1:41" x14ac:dyDescent="0.2">
      <c r="A510" s="5" t="s">
        <v>67</v>
      </c>
      <c r="B510" s="25">
        <v>43320</v>
      </c>
      <c r="C510" s="26">
        <v>0.66944444444444395</v>
      </c>
      <c r="D510" s="5" t="s">
        <v>116</v>
      </c>
      <c r="E510" s="5"/>
      <c r="F510" s="32">
        <v>61</v>
      </c>
      <c r="G510" s="9">
        <v>2</v>
      </c>
      <c r="H510" s="6">
        <v>3.2786885245901641E-2</v>
      </c>
      <c r="I510" s="7">
        <v>6.83E-2</v>
      </c>
      <c r="J510" s="9">
        <v>314.15899999999999</v>
      </c>
      <c r="K510" s="9">
        <v>0.61470000000000002</v>
      </c>
      <c r="L510" s="9">
        <v>9</v>
      </c>
      <c r="M510" s="14">
        <v>255.53847405238326</v>
      </c>
      <c r="N510" s="9">
        <v>1421</v>
      </c>
      <c r="O510" s="12" t="s">
        <v>130</v>
      </c>
      <c r="P510" s="12" t="s">
        <v>82</v>
      </c>
      <c r="Q510" s="9" t="s">
        <v>95</v>
      </c>
      <c r="R510" s="9" t="s">
        <v>131</v>
      </c>
      <c r="S510" s="9"/>
      <c r="T510" s="18">
        <v>2</v>
      </c>
      <c r="U510" s="18">
        <v>2</v>
      </c>
      <c r="V510" s="9">
        <v>5.6</v>
      </c>
      <c r="Y510" s="9">
        <f t="shared" si="14"/>
        <v>511.07694810476653</v>
      </c>
      <c r="Z510" s="19" t="s">
        <v>73</v>
      </c>
      <c r="AA510" s="8" t="s">
        <v>228</v>
      </c>
      <c r="AB510" s="8" t="s">
        <v>75</v>
      </c>
      <c r="AC510" s="11" t="s">
        <v>76</v>
      </c>
      <c r="AD510" s="9" t="s">
        <v>85</v>
      </c>
      <c r="AE510" s="56">
        <f t="shared" si="15"/>
        <v>91.952244906666635</v>
      </c>
      <c r="AF510" s="14">
        <v>91.952244906666635</v>
      </c>
      <c r="AG510" s="13"/>
    </row>
    <row r="511" spans="1:41" x14ac:dyDescent="0.2">
      <c r="A511" s="5" t="s">
        <v>67</v>
      </c>
      <c r="B511" s="25">
        <v>43320</v>
      </c>
      <c r="C511" s="26">
        <v>0.69444444444444497</v>
      </c>
      <c r="D511" s="5" t="s">
        <v>226</v>
      </c>
      <c r="E511" s="5">
        <v>3</v>
      </c>
      <c r="F511" s="32">
        <v>62</v>
      </c>
      <c r="G511" s="9">
        <v>2</v>
      </c>
      <c r="H511" s="6">
        <v>3.2258064516129031E-2</v>
      </c>
      <c r="I511" s="7">
        <v>6.83E-2</v>
      </c>
      <c r="J511" s="9">
        <v>314.15899999999999</v>
      </c>
      <c r="K511" s="9">
        <v>0.47809999999999997</v>
      </c>
      <c r="L511" s="9">
        <v>7</v>
      </c>
      <c r="M511" s="14">
        <v>328.54946663877848</v>
      </c>
      <c r="N511" s="9">
        <v>46</v>
      </c>
      <c r="O511" s="12" t="s">
        <v>109</v>
      </c>
      <c r="P511" s="8" t="s">
        <v>70</v>
      </c>
      <c r="Q511" s="9" t="s">
        <v>110</v>
      </c>
      <c r="R511" s="9" t="s">
        <v>84</v>
      </c>
      <c r="S511" s="9"/>
      <c r="T511" s="18">
        <v>1</v>
      </c>
      <c r="U511" s="18">
        <v>1</v>
      </c>
      <c r="V511" s="9">
        <v>9.3000000000000007</v>
      </c>
      <c r="Y511" s="9">
        <f t="shared" si="14"/>
        <v>328.54946663877848</v>
      </c>
      <c r="Z511" s="19" t="s">
        <v>73</v>
      </c>
      <c r="AA511" s="8" t="s">
        <v>227</v>
      </c>
      <c r="AB511" s="8" t="s">
        <v>75</v>
      </c>
      <c r="AC511" s="11" t="s">
        <v>76</v>
      </c>
      <c r="AD511" s="9" t="s">
        <v>77</v>
      </c>
      <c r="AE511" s="56">
        <f t="shared" si="15"/>
        <v>75.671478329999999</v>
      </c>
      <c r="AF511" s="14">
        <v>75.671478329999999</v>
      </c>
      <c r="AG511" s="13"/>
    </row>
    <row r="512" spans="1:41" x14ac:dyDescent="0.2">
      <c r="A512" s="5" t="s">
        <v>67</v>
      </c>
      <c r="B512" s="25">
        <v>43320</v>
      </c>
      <c r="C512" s="26">
        <v>0.69444444444444497</v>
      </c>
      <c r="D512" s="5" t="s">
        <v>226</v>
      </c>
      <c r="E512" s="5">
        <v>3</v>
      </c>
      <c r="F512" s="32">
        <v>62</v>
      </c>
      <c r="G512" s="9">
        <v>2</v>
      </c>
      <c r="H512" s="6">
        <v>3.2258064516129031E-2</v>
      </c>
      <c r="I512" s="7">
        <v>6.83E-2</v>
      </c>
      <c r="J512" s="9">
        <v>314.15899999999999</v>
      </c>
      <c r="K512" s="9">
        <v>0.47809999999999997</v>
      </c>
      <c r="L512" s="9">
        <v>7</v>
      </c>
      <c r="M512" s="14">
        <v>328.54946663877848</v>
      </c>
      <c r="N512" s="9">
        <v>1031</v>
      </c>
      <c r="O512" s="12" t="s">
        <v>81</v>
      </c>
      <c r="P512" s="12" t="s">
        <v>82</v>
      </c>
      <c r="Q512" s="9" t="s">
        <v>83</v>
      </c>
      <c r="R512" s="9" t="s">
        <v>84</v>
      </c>
      <c r="S512" s="9"/>
      <c r="T512" s="18">
        <v>1</v>
      </c>
      <c r="U512" s="18">
        <v>1</v>
      </c>
      <c r="V512" s="9">
        <v>5.6</v>
      </c>
      <c r="Y512" s="9">
        <f t="shared" si="14"/>
        <v>328.54946663877848</v>
      </c>
      <c r="Z512" s="19" t="s">
        <v>73</v>
      </c>
      <c r="AA512" s="8" t="s">
        <v>227</v>
      </c>
      <c r="AB512" s="8" t="s">
        <v>75</v>
      </c>
      <c r="AC512" s="11" t="s">
        <v>76</v>
      </c>
      <c r="AD512" s="9" t="s">
        <v>85</v>
      </c>
      <c r="AE512" s="56">
        <f t="shared" si="15"/>
        <v>49.905204346666665</v>
      </c>
      <c r="AF512" s="14">
        <v>49.905204346666665</v>
      </c>
      <c r="AG512" s="13"/>
    </row>
    <row r="513" spans="1:41" x14ac:dyDescent="0.2">
      <c r="A513" s="5" t="s">
        <v>67</v>
      </c>
      <c r="B513" s="25">
        <v>43320</v>
      </c>
      <c r="C513" s="26">
        <v>0.69444444444444497</v>
      </c>
      <c r="D513" s="5" t="s">
        <v>226</v>
      </c>
      <c r="E513" s="5">
        <v>3</v>
      </c>
      <c r="F513" s="32">
        <v>62</v>
      </c>
      <c r="G513" s="9">
        <v>2</v>
      </c>
      <c r="H513" s="6">
        <v>3.2258064516129031E-2</v>
      </c>
      <c r="I513" s="7">
        <v>6.83E-2</v>
      </c>
      <c r="J513" s="9">
        <v>314.15899999999999</v>
      </c>
      <c r="K513" s="9">
        <v>0.47809999999999997</v>
      </c>
      <c r="L513" s="9">
        <v>7</v>
      </c>
      <c r="M513" s="14">
        <v>328.54946663877848</v>
      </c>
      <c r="N513" s="9">
        <v>1037</v>
      </c>
      <c r="O513" s="12" t="s">
        <v>86</v>
      </c>
      <c r="P513" s="12" t="s">
        <v>82</v>
      </c>
      <c r="Q513" s="9" t="s">
        <v>87</v>
      </c>
      <c r="R513" s="9" t="s">
        <v>84</v>
      </c>
      <c r="S513" s="9"/>
      <c r="T513" s="18">
        <v>15</v>
      </c>
      <c r="U513" s="18">
        <v>15</v>
      </c>
      <c r="V513" s="9">
        <v>2.8</v>
      </c>
      <c r="Y513" s="9">
        <f t="shared" si="14"/>
        <v>4928.2419995816781</v>
      </c>
      <c r="Z513" s="19" t="s">
        <v>73</v>
      </c>
      <c r="AA513" s="8" t="s">
        <v>227</v>
      </c>
      <c r="AB513" s="8" t="s">
        <v>75</v>
      </c>
      <c r="AC513" s="11" t="s">
        <v>76</v>
      </c>
      <c r="AD513" s="9" t="s">
        <v>85</v>
      </c>
      <c r="AE513" s="56">
        <f t="shared" si="15"/>
        <v>6.3706209216666645</v>
      </c>
      <c r="AF513" s="14">
        <v>6.3706209216666645</v>
      </c>
      <c r="AG513" s="13"/>
    </row>
    <row r="514" spans="1:41" x14ac:dyDescent="0.2">
      <c r="A514" s="5" t="s">
        <v>67</v>
      </c>
      <c r="B514" s="25">
        <v>43320</v>
      </c>
      <c r="C514" s="26">
        <v>0.69444444444444497</v>
      </c>
      <c r="D514" s="5" t="s">
        <v>226</v>
      </c>
      <c r="E514" s="5">
        <v>3</v>
      </c>
      <c r="F514" s="32">
        <v>62</v>
      </c>
      <c r="G514" s="9">
        <v>2</v>
      </c>
      <c r="H514" s="6">
        <v>3.2258064516129031E-2</v>
      </c>
      <c r="I514" s="7">
        <v>6.83E-2</v>
      </c>
      <c r="J514" s="9">
        <v>314.15899999999999</v>
      </c>
      <c r="K514" s="9">
        <v>0.47809999999999997</v>
      </c>
      <c r="L514" s="9">
        <v>7</v>
      </c>
      <c r="M514" s="14">
        <v>328.54946663877848</v>
      </c>
      <c r="N514" s="9">
        <v>1733</v>
      </c>
      <c r="O514" s="12" t="s">
        <v>92</v>
      </c>
      <c r="P514" s="12" t="s">
        <v>82</v>
      </c>
      <c r="Q514" s="9" t="s">
        <v>89</v>
      </c>
      <c r="R514" s="9" t="s">
        <v>93</v>
      </c>
      <c r="S514" s="9"/>
      <c r="T514" s="18">
        <v>4</v>
      </c>
      <c r="U514" s="18">
        <v>4</v>
      </c>
      <c r="V514" s="9">
        <v>7.4</v>
      </c>
      <c r="Y514" s="9">
        <f t="shared" si="14"/>
        <v>1314.1978665551139</v>
      </c>
      <c r="Z514" s="19" t="s">
        <v>73</v>
      </c>
      <c r="AA514" s="8" t="s">
        <v>227</v>
      </c>
      <c r="AB514" s="8" t="s">
        <v>75</v>
      </c>
      <c r="AC514" s="11" t="s">
        <v>76</v>
      </c>
      <c r="AD514" s="9" t="s">
        <v>91</v>
      </c>
      <c r="AE514" s="56">
        <f t="shared" si="15"/>
        <v>112.822350875</v>
      </c>
      <c r="AF514" s="14">
        <v>112.822350875</v>
      </c>
      <c r="AG514" s="13"/>
    </row>
    <row r="515" spans="1:41" x14ac:dyDescent="0.2">
      <c r="A515" s="5" t="s">
        <v>67</v>
      </c>
      <c r="B515" s="25">
        <v>43320</v>
      </c>
      <c r="C515" s="26">
        <v>0.69444444444444497</v>
      </c>
      <c r="D515" s="5" t="s">
        <v>226</v>
      </c>
      <c r="E515" s="5">
        <v>3</v>
      </c>
      <c r="F515" s="32">
        <v>62</v>
      </c>
      <c r="G515" s="9">
        <v>2</v>
      </c>
      <c r="H515" s="6">
        <v>3.2258064516129031E-2</v>
      </c>
      <c r="I515" s="7">
        <v>6.83E-2</v>
      </c>
      <c r="J515" s="9">
        <v>314.15899999999999</v>
      </c>
      <c r="K515" s="9">
        <v>0.47809999999999997</v>
      </c>
      <c r="L515" s="9">
        <v>7</v>
      </c>
      <c r="M515" s="14">
        <v>328.54946663877848</v>
      </c>
      <c r="N515" s="9">
        <v>1419</v>
      </c>
      <c r="O515" s="12" t="s">
        <v>94</v>
      </c>
      <c r="P515" s="12" t="s">
        <v>82</v>
      </c>
      <c r="Q515" s="9" t="s">
        <v>95</v>
      </c>
      <c r="R515" s="9" t="s">
        <v>96</v>
      </c>
      <c r="S515" s="9"/>
      <c r="T515" s="18">
        <v>425</v>
      </c>
      <c r="U515" s="18">
        <v>854</v>
      </c>
      <c r="V515" s="9">
        <v>0.8</v>
      </c>
      <c r="W515" s="9">
        <v>0.8</v>
      </c>
      <c r="X515" s="9">
        <v>0.8</v>
      </c>
      <c r="Y515" s="9">
        <f t="shared" ref="Y515:Y578" si="16">(T515*J515)/(G515*I515*L515)</f>
        <v>139633.52332148084</v>
      </c>
      <c r="Z515" s="19" t="s">
        <v>97</v>
      </c>
      <c r="AA515" s="8" t="s">
        <v>227</v>
      </c>
      <c r="AB515" s="8" t="s">
        <v>75</v>
      </c>
      <c r="AC515" s="11" t="s">
        <v>76</v>
      </c>
      <c r="AD515" s="9" t="s">
        <v>85</v>
      </c>
      <c r="AE515" s="56">
        <f t="shared" ref="AE515:AE578" si="17">AVERAGE(AF515:AO515)</f>
        <v>0.17999999999999997</v>
      </c>
      <c r="AF515" s="14">
        <v>0.18</v>
      </c>
      <c r="AG515" s="14">
        <v>0.18</v>
      </c>
      <c r="AH515" s="14">
        <v>0.18</v>
      </c>
      <c r="AI515" s="14">
        <v>0.18</v>
      </c>
      <c r="AJ515" s="14">
        <v>0.18</v>
      </c>
      <c r="AK515" s="14">
        <v>0.18</v>
      </c>
      <c r="AL515" s="14">
        <v>0.18</v>
      </c>
      <c r="AM515" s="14">
        <v>0.18</v>
      </c>
      <c r="AN515" s="14">
        <v>0.18</v>
      </c>
      <c r="AO515" s="14">
        <v>0.18</v>
      </c>
    </row>
    <row r="516" spans="1:41" x14ac:dyDescent="0.2">
      <c r="A516" s="5" t="s">
        <v>67</v>
      </c>
      <c r="B516" s="25">
        <v>43320</v>
      </c>
      <c r="C516" s="26">
        <v>0.72013888888888899</v>
      </c>
      <c r="D516" s="5" t="s">
        <v>222</v>
      </c>
      <c r="E516" s="5">
        <v>3</v>
      </c>
      <c r="F516" s="32">
        <v>61.5</v>
      </c>
      <c r="G516" s="9">
        <v>2</v>
      </c>
      <c r="H516" s="6">
        <v>3.2520325203252036E-2</v>
      </c>
      <c r="I516" s="7">
        <v>6.83E-2</v>
      </c>
      <c r="J516" s="9">
        <v>314.15899999999999</v>
      </c>
      <c r="K516" s="9">
        <v>0.47809999999999997</v>
      </c>
      <c r="L516" s="9">
        <v>7</v>
      </c>
      <c r="M516" s="14">
        <v>328.54946663877848</v>
      </c>
      <c r="N516" s="9">
        <v>190</v>
      </c>
      <c r="O516" s="12" t="s">
        <v>102</v>
      </c>
      <c r="P516" s="8" t="s">
        <v>70</v>
      </c>
      <c r="Q516" s="9" t="s">
        <v>103</v>
      </c>
      <c r="R516" s="9" t="s">
        <v>84</v>
      </c>
      <c r="S516" s="9"/>
      <c r="T516" s="18">
        <v>5</v>
      </c>
      <c r="U516" s="18">
        <v>5</v>
      </c>
      <c r="V516" s="9">
        <v>5.6</v>
      </c>
      <c r="Y516" s="9">
        <f t="shared" si="16"/>
        <v>1642.7473331938927</v>
      </c>
      <c r="Z516" s="19" t="s">
        <v>73</v>
      </c>
      <c r="AA516" s="8" t="s">
        <v>223</v>
      </c>
      <c r="AB516" s="8" t="s">
        <v>75</v>
      </c>
      <c r="AC516" s="11" t="s">
        <v>76</v>
      </c>
      <c r="AD516" s="9" t="s">
        <v>104</v>
      </c>
      <c r="AE516" s="56">
        <f t="shared" si="17"/>
        <v>50.177475479999998</v>
      </c>
      <c r="AF516" s="14">
        <v>50.177475479999998</v>
      </c>
      <c r="AG516" s="13"/>
    </row>
    <row r="517" spans="1:41" x14ac:dyDescent="0.2">
      <c r="A517" s="5" t="s">
        <v>67</v>
      </c>
      <c r="B517" s="25">
        <v>43320</v>
      </c>
      <c r="C517" s="26">
        <v>0.72013888888888899</v>
      </c>
      <c r="D517" s="5" t="s">
        <v>222</v>
      </c>
      <c r="E517" s="5">
        <v>3</v>
      </c>
      <c r="F517" s="32">
        <v>61.5</v>
      </c>
      <c r="G517" s="9">
        <v>2</v>
      </c>
      <c r="H517" s="6">
        <v>3.2520325203252036E-2</v>
      </c>
      <c r="I517" s="7">
        <v>6.83E-2</v>
      </c>
      <c r="J517" s="9">
        <v>314.15899999999999</v>
      </c>
      <c r="K517" s="9">
        <v>0.47809999999999997</v>
      </c>
      <c r="L517" s="9">
        <v>7</v>
      </c>
      <c r="M517" s="14">
        <v>328.54946663877848</v>
      </c>
      <c r="N517" s="9">
        <v>1037</v>
      </c>
      <c r="O517" s="12" t="s">
        <v>86</v>
      </c>
      <c r="P517" s="12" t="s">
        <v>82</v>
      </c>
      <c r="Q517" s="9" t="s">
        <v>87</v>
      </c>
      <c r="R517" s="9" t="s">
        <v>84</v>
      </c>
      <c r="S517" s="9"/>
      <c r="T517" s="18">
        <v>19</v>
      </c>
      <c r="U517" s="18">
        <v>19</v>
      </c>
      <c r="V517" s="9">
        <v>3.7</v>
      </c>
      <c r="Y517" s="9">
        <f t="shared" si="16"/>
        <v>6242.4398661367914</v>
      </c>
      <c r="Z517" s="19" t="s">
        <v>73</v>
      </c>
      <c r="AA517" s="8" t="s">
        <v>223</v>
      </c>
      <c r="AB517" s="8" t="s">
        <v>75</v>
      </c>
      <c r="AC517" s="11" t="s">
        <v>76</v>
      </c>
      <c r="AD517" s="9" t="s">
        <v>85</v>
      </c>
      <c r="AE517" s="56">
        <f t="shared" si="17"/>
        <v>11.494030613333329</v>
      </c>
      <c r="AF517" s="14">
        <v>11.494030613333329</v>
      </c>
      <c r="AG517" s="13"/>
    </row>
    <row r="518" spans="1:41" x14ac:dyDescent="0.2">
      <c r="A518" s="5" t="s">
        <v>67</v>
      </c>
      <c r="B518" s="25">
        <v>43320</v>
      </c>
      <c r="C518" s="26">
        <v>0.72013888888888899</v>
      </c>
      <c r="D518" s="5" t="s">
        <v>222</v>
      </c>
      <c r="E518" s="5">
        <v>3</v>
      </c>
      <c r="F518" s="32">
        <v>61.5</v>
      </c>
      <c r="G518" s="9">
        <v>2</v>
      </c>
      <c r="H518" s="6">
        <v>3.2520325203252036E-2</v>
      </c>
      <c r="I518" s="7">
        <v>6.83E-2</v>
      </c>
      <c r="J518" s="9">
        <v>314.15899999999999</v>
      </c>
      <c r="K518" s="9">
        <v>0.47809999999999997</v>
      </c>
      <c r="L518" s="9">
        <v>7</v>
      </c>
      <c r="M518" s="14">
        <v>328.54946663877848</v>
      </c>
      <c r="N518" s="9">
        <v>1364</v>
      </c>
      <c r="O518" s="12" t="s">
        <v>88</v>
      </c>
      <c r="P518" s="12" t="s">
        <v>82</v>
      </c>
      <c r="Q518" s="9" t="s">
        <v>89</v>
      </c>
      <c r="R518" s="9" t="s">
        <v>90</v>
      </c>
      <c r="S518" s="9"/>
      <c r="T518" s="18">
        <v>1</v>
      </c>
      <c r="U518" s="18">
        <v>1</v>
      </c>
      <c r="V518" s="9">
        <v>11.1</v>
      </c>
      <c r="Y518" s="9">
        <f t="shared" si="16"/>
        <v>328.54946663877848</v>
      </c>
      <c r="Z518" s="19" t="s">
        <v>73</v>
      </c>
      <c r="AA518" s="8" t="s">
        <v>223</v>
      </c>
      <c r="AB518" s="8" t="s">
        <v>75</v>
      </c>
      <c r="AC518" s="11" t="s">
        <v>76</v>
      </c>
      <c r="AD518" s="9" t="s">
        <v>91</v>
      </c>
      <c r="AE518" s="56">
        <f t="shared" si="17"/>
        <v>538.67979792749986</v>
      </c>
      <c r="AF518" s="14">
        <v>538.67979792749986</v>
      </c>
      <c r="AG518" s="13"/>
    </row>
    <row r="519" spans="1:41" x14ac:dyDescent="0.2">
      <c r="A519" s="5" t="s">
        <v>67</v>
      </c>
      <c r="B519" s="25">
        <v>43320</v>
      </c>
      <c r="C519" s="26">
        <v>0.72013888888888899</v>
      </c>
      <c r="D519" s="5" t="s">
        <v>222</v>
      </c>
      <c r="E519" s="5">
        <v>3</v>
      </c>
      <c r="F519" s="32">
        <v>61.5</v>
      </c>
      <c r="G519" s="9">
        <v>2</v>
      </c>
      <c r="H519" s="6">
        <v>3.2520325203252036E-2</v>
      </c>
      <c r="I519" s="7">
        <v>6.83E-2</v>
      </c>
      <c r="J519" s="9">
        <v>314.15899999999999</v>
      </c>
      <c r="K519" s="9">
        <v>0.47809999999999997</v>
      </c>
      <c r="L519" s="9">
        <v>7</v>
      </c>
      <c r="M519" s="14">
        <v>328.54946663877848</v>
      </c>
      <c r="N519" s="9">
        <v>1733</v>
      </c>
      <c r="O519" s="12" t="s">
        <v>92</v>
      </c>
      <c r="P519" s="12" t="s">
        <v>82</v>
      </c>
      <c r="Q519" s="9" t="s">
        <v>89</v>
      </c>
      <c r="R519" s="9" t="s">
        <v>93</v>
      </c>
      <c r="S519" s="9"/>
      <c r="T519" s="18">
        <v>1</v>
      </c>
      <c r="U519" s="18">
        <v>1</v>
      </c>
      <c r="V519" s="9">
        <v>5.6</v>
      </c>
      <c r="Y519" s="9">
        <f t="shared" si="16"/>
        <v>328.54946663877848</v>
      </c>
      <c r="Z519" s="19" t="s">
        <v>73</v>
      </c>
      <c r="AA519" s="8" t="s">
        <v>223</v>
      </c>
      <c r="AB519" s="8" t="s">
        <v>75</v>
      </c>
      <c r="AC519" s="11" t="s">
        <v>76</v>
      </c>
      <c r="AD519" s="9" t="s">
        <v>91</v>
      </c>
      <c r="AE519" s="56">
        <f t="shared" si="17"/>
        <v>76.353203359999995</v>
      </c>
      <c r="AF519" s="14">
        <v>76.353203359999995</v>
      </c>
      <c r="AG519" s="13"/>
    </row>
    <row r="520" spans="1:41" x14ac:dyDescent="0.2">
      <c r="A520" s="5" t="s">
        <v>67</v>
      </c>
      <c r="B520" s="25">
        <v>43320</v>
      </c>
      <c r="C520" s="26">
        <v>0.72013888888888899</v>
      </c>
      <c r="D520" s="5" t="s">
        <v>222</v>
      </c>
      <c r="E520" s="5">
        <v>3</v>
      </c>
      <c r="F520" s="32">
        <v>61.5</v>
      </c>
      <c r="G520" s="9">
        <v>2</v>
      </c>
      <c r="H520" s="6">
        <v>3.2520325203252036E-2</v>
      </c>
      <c r="I520" s="7">
        <v>6.83E-2</v>
      </c>
      <c r="J520" s="9">
        <v>314.15899999999999</v>
      </c>
      <c r="K520" s="9">
        <v>0.47809999999999997</v>
      </c>
      <c r="L520" s="9">
        <v>7</v>
      </c>
      <c r="M520" s="14">
        <v>328.54946663877848</v>
      </c>
      <c r="N520" s="9">
        <v>1419</v>
      </c>
      <c r="O520" s="12" t="s">
        <v>94</v>
      </c>
      <c r="P520" s="12" t="s">
        <v>82</v>
      </c>
      <c r="Q520" s="9" t="s">
        <v>95</v>
      </c>
      <c r="R520" s="9" t="s">
        <v>96</v>
      </c>
      <c r="S520" s="9"/>
      <c r="T520" s="18">
        <v>395</v>
      </c>
      <c r="U520" s="18">
        <v>797</v>
      </c>
      <c r="V520" s="9">
        <v>0.8</v>
      </c>
      <c r="W520" s="9">
        <v>0.8</v>
      </c>
      <c r="X520" s="9">
        <v>0.8</v>
      </c>
      <c r="Y520" s="9">
        <f t="shared" si="16"/>
        <v>129777.03932231751</v>
      </c>
      <c r="Z520" s="19" t="s">
        <v>97</v>
      </c>
      <c r="AA520" s="8" t="s">
        <v>223</v>
      </c>
      <c r="AB520" s="8" t="s">
        <v>75</v>
      </c>
      <c r="AC520" s="11" t="s">
        <v>76</v>
      </c>
      <c r="AD520" s="9" t="s">
        <v>85</v>
      </c>
      <c r="AE520" s="56">
        <f t="shared" si="17"/>
        <v>0.17999999999999997</v>
      </c>
      <c r="AF520" s="14">
        <v>0.18</v>
      </c>
      <c r="AG520" s="14">
        <v>0.18</v>
      </c>
      <c r="AH520" s="14">
        <v>0.18</v>
      </c>
      <c r="AI520" s="14">
        <v>0.18</v>
      </c>
      <c r="AJ520" s="14">
        <v>0.18</v>
      </c>
      <c r="AK520" s="14">
        <v>0.18</v>
      </c>
      <c r="AL520" s="14">
        <v>0.18</v>
      </c>
      <c r="AM520" s="14">
        <v>0.18</v>
      </c>
      <c r="AN520" s="14">
        <v>0.18</v>
      </c>
      <c r="AO520" s="14">
        <v>0.18</v>
      </c>
    </row>
    <row r="521" spans="1:41" x14ac:dyDescent="0.2">
      <c r="A521" s="5" t="s">
        <v>67</v>
      </c>
      <c r="B521" s="25">
        <v>43320</v>
      </c>
      <c r="C521" s="26">
        <v>0.72013888888888899</v>
      </c>
      <c r="D521" s="5" t="s">
        <v>222</v>
      </c>
      <c r="E521" s="5">
        <v>3</v>
      </c>
      <c r="F521" s="32">
        <v>61.5</v>
      </c>
      <c r="G521" s="9">
        <v>2</v>
      </c>
      <c r="H521" s="6">
        <v>3.2520325203252036E-2</v>
      </c>
      <c r="I521" s="7">
        <v>6.83E-2</v>
      </c>
      <c r="J521" s="9">
        <v>314.15899999999999</v>
      </c>
      <c r="K521" s="9">
        <v>0.47809999999999997</v>
      </c>
      <c r="L521" s="9">
        <v>7</v>
      </c>
      <c r="M521" s="14">
        <v>328.54946663877848</v>
      </c>
      <c r="N521" s="9">
        <v>1420</v>
      </c>
      <c r="O521" s="12" t="s">
        <v>98</v>
      </c>
      <c r="P521" s="12" t="s">
        <v>82</v>
      </c>
      <c r="Q521" s="9" t="s">
        <v>95</v>
      </c>
      <c r="R521" s="9" t="s">
        <v>99</v>
      </c>
      <c r="S521" s="9"/>
      <c r="T521" s="18">
        <v>1</v>
      </c>
      <c r="U521" s="18">
        <v>2</v>
      </c>
      <c r="V521" s="9">
        <v>1.9</v>
      </c>
      <c r="Y521" s="9">
        <f t="shared" si="16"/>
        <v>328.54946663877848</v>
      </c>
      <c r="Z521" s="19" t="s">
        <v>97</v>
      </c>
      <c r="AA521" s="8" t="s">
        <v>223</v>
      </c>
      <c r="AB521" s="8" t="s">
        <v>75</v>
      </c>
      <c r="AC521" s="11" t="s">
        <v>76</v>
      </c>
      <c r="AD521" s="9" t="s">
        <v>85</v>
      </c>
      <c r="AE521" s="56">
        <f t="shared" si="17"/>
        <v>3.5913609683333325</v>
      </c>
      <c r="AF521" s="14">
        <v>3.5913609683333325</v>
      </c>
      <c r="AG521" s="13"/>
    </row>
    <row r="522" spans="1:41" x14ac:dyDescent="0.2">
      <c r="A522" s="5" t="s">
        <v>67</v>
      </c>
      <c r="B522" s="25">
        <v>43320</v>
      </c>
      <c r="C522" s="26">
        <v>0.73333333333333295</v>
      </c>
      <c r="D522" s="5" t="s">
        <v>224</v>
      </c>
      <c r="E522" s="5"/>
      <c r="F522" s="32">
        <v>62</v>
      </c>
      <c r="G522" s="9">
        <v>2</v>
      </c>
      <c r="H522" s="6">
        <v>3.2258064516129031E-2</v>
      </c>
      <c r="I522" s="7">
        <v>6.83E-2</v>
      </c>
      <c r="J522" s="9">
        <v>314.15899999999999</v>
      </c>
      <c r="K522" s="9">
        <v>0.47809999999999997</v>
      </c>
      <c r="L522" s="9">
        <v>7</v>
      </c>
      <c r="M522" s="14">
        <v>328.54946663877848</v>
      </c>
      <c r="N522" s="9">
        <v>749</v>
      </c>
      <c r="O522" s="12" t="s">
        <v>190</v>
      </c>
      <c r="P522" s="8" t="s">
        <v>70</v>
      </c>
      <c r="Q522" s="9" t="s">
        <v>191</v>
      </c>
      <c r="R522" s="9" t="s">
        <v>84</v>
      </c>
      <c r="S522" s="9"/>
      <c r="T522" s="18">
        <v>2</v>
      </c>
      <c r="U522" s="18">
        <v>2</v>
      </c>
      <c r="V522" s="9">
        <v>22.2</v>
      </c>
      <c r="Y522" s="9">
        <f t="shared" si="16"/>
        <v>657.09893327755697</v>
      </c>
      <c r="Z522" s="19" t="s">
        <v>73</v>
      </c>
      <c r="AA522" s="8" t="s">
        <v>225</v>
      </c>
      <c r="AB522" s="8" t="s">
        <v>75</v>
      </c>
      <c r="AC522" s="11" t="s">
        <v>76</v>
      </c>
      <c r="AD522" s="9" t="s">
        <v>193</v>
      </c>
      <c r="AE522" s="56">
        <f t="shared" si="17"/>
        <v>102.56399999999998</v>
      </c>
      <c r="AF522" s="14">
        <v>102.56399999999998</v>
      </c>
      <c r="AG522" s="13"/>
    </row>
    <row r="523" spans="1:41" x14ac:dyDescent="0.2">
      <c r="A523" s="5" t="s">
        <v>67</v>
      </c>
      <c r="B523" s="25">
        <v>43320</v>
      </c>
      <c r="C523" s="26">
        <v>0.73333333333333295</v>
      </c>
      <c r="D523" s="5" t="s">
        <v>224</v>
      </c>
      <c r="E523" s="5"/>
      <c r="F523" s="32">
        <v>62</v>
      </c>
      <c r="G523" s="9">
        <v>2</v>
      </c>
      <c r="H523" s="6">
        <v>3.2258064516129031E-2</v>
      </c>
      <c r="I523" s="7">
        <v>6.83E-2</v>
      </c>
      <c r="J523" s="9">
        <v>314.15899999999999</v>
      </c>
      <c r="K523" s="9">
        <v>0.47809999999999997</v>
      </c>
      <c r="L523" s="9">
        <v>7</v>
      </c>
      <c r="M523" s="14">
        <v>328.54946663877848</v>
      </c>
      <c r="N523" s="9">
        <v>1031</v>
      </c>
      <c r="O523" s="12" t="s">
        <v>172</v>
      </c>
      <c r="P523" s="12" t="s">
        <v>82</v>
      </c>
      <c r="Q523" s="9" t="s">
        <v>83</v>
      </c>
      <c r="R523" s="9" t="s">
        <v>84</v>
      </c>
      <c r="S523" s="9"/>
      <c r="T523" s="18">
        <v>1</v>
      </c>
      <c r="U523" s="18">
        <v>1</v>
      </c>
      <c r="V523" s="9">
        <v>9.3000000000000007</v>
      </c>
      <c r="Y523" s="9">
        <f t="shared" si="16"/>
        <v>328.54946663877848</v>
      </c>
      <c r="Z523" s="19" t="s">
        <v>73</v>
      </c>
      <c r="AA523" s="8" t="s">
        <v>225</v>
      </c>
      <c r="AB523" s="8" t="s">
        <v>75</v>
      </c>
      <c r="AC523" s="11" t="s">
        <v>76</v>
      </c>
      <c r="AD523" s="9" t="s">
        <v>85</v>
      </c>
      <c r="AE523" s="56">
        <f t="shared" si="17"/>
        <v>201.79060887999995</v>
      </c>
      <c r="AF523" s="14">
        <v>201.79060887999995</v>
      </c>
      <c r="AG523" s="13"/>
    </row>
    <row r="524" spans="1:41" x14ac:dyDescent="0.2">
      <c r="A524" s="5" t="s">
        <v>67</v>
      </c>
      <c r="B524" s="25">
        <v>43320</v>
      </c>
      <c r="C524" s="26">
        <v>0.73333333333333295</v>
      </c>
      <c r="D524" s="5" t="s">
        <v>224</v>
      </c>
      <c r="E524" s="5"/>
      <c r="F524" s="32">
        <v>62</v>
      </c>
      <c r="G524" s="9">
        <v>2</v>
      </c>
      <c r="H524" s="6">
        <v>3.2258064516129031E-2</v>
      </c>
      <c r="I524" s="7">
        <v>6.83E-2</v>
      </c>
      <c r="J524" s="9">
        <v>314.15899999999999</v>
      </c>
      <c r="K524" s="9">
        <v>0.47809999999999997</v>
      </c>
      <c r="L524" s="9">
        <v>7</v>
      </c>
      <c r="M524" s="14">
        <v>328.54946663877848</v>
      </c>
      <c r="N524" s="9">
        <v>1037</v>
      </c>
      <c r="O524" s="12" t="s">
        <v>86</v>
      </c>
      <c r="P524" s="12" t="s">
        <v>82</v>
      </c>
      <c r="Q524" s="9" t="s">
        <v>87</v>
      </c>
      <c r="R524" s="9" t="s">
        <v>84</v>
      </c>
      <c r="S524" s="9"/>
      <c r="T524" s="18">
        <v>9</v>
      </c>
      <c r="U524" s="18">
        <v>9</v>
      </c>
      <c r="V524" s="9">
        <v>2.8</v>
      </c>
      <c r="Y524" s="9">
        <f t="shared" si="16"/>
        <v>2956.9451997490069</v>
      </c>
      <c r="Z524" s="19" t="s">
        <v>73</v>
      </c>
      <c r="AA524" s="8" t="s">
        <v>225</v>
      </c>
      <c r="AB524" s="8" t="s">
        <v>75</v>
      </c>
      <c r="AC524" s="11" t="s">
        <v>76</v>
      </c>
      <c r="AD524" s="9" t="s">
        <v>85</v>
      </c>
      <c r="AE524" s="56">
        <f t="shared" si="17"/>
        <v>9.2027643066666673</v>
      </c>
      <c r="AF524" s="14">
        <v>9.2027643066666673</v>
      </c>
      <c r="AG524" s="13"/>
    </row>
    <row r="525" spans="1:41" x14ac:dyDescent="0.2">
      <c r="A525" s="5" t="s">
        <v>67</v>
      </c>
      <c r="B525" s="25">
        <v>43320</v>
      </c>
      <c r="C525" s="26">
        <v>0.73333333333333295</v>
      </c>
      <c r="D525" s="5" t="s">
        <v>224</v>
      </c>
      <c r="E525" s="5"/>
      <c r="F525" s="32">
        <v>62</v>
      </c>
      <c r="G525" s="9">
        <v>2</v>
      </c>
      <c r="H525" s="6">
        <v>3.2258064516129031E-2</v>
      </c>
      <c r="I525" s="7">
        <v>6.83E-2</v>
      </c>
      <c r="J525" s="9">
        <v>314.15899999999999</v>
      </c>
      <c r="K525" s="9">
        <v>0.47809999999999997</v>
      </c>
      <c r="L525" s="9">
        <v>7</v>
      </c>
      <c r="M525" s="14">
        <v>328.54946663877848</v>
      </c>
      <c r="N525" s="9">
        <v>1419</v>
      </c>
      <c r="O525" s="12" t="s">
        <v>94</v>
      </c>
      <c r="P525" s="12" t="s">
        <v>82</v>
      </c>
      <c r="Q525" s="9" t="s">
        <v>95</v>
      </c>
      <c r="R525" s="9" t="s">
        <v>96</v>
      </c>
      <c r="S525" s="9"/>
      <c r="T525" s="18">
        <v>441</v>
      </c>
      <c r="U525" s="18">
        <v>882</v>
      </c>
      <c r="V525" s="9">
        <v>0.8</v>
      </c>
      <c r="W525" s="9">
        <v>0.8</v>
      </c>
      <c r="X525" s="9">
        <v>0.8</v>
      </c>
      <c r="Y525" s="9">
        <f t="shared" si="16"/>
        <v>144890.31478770133</v>
      </c>
      <c r="Z525" s="19" t="s">
        <v>97</v>
      </c>
      <c r="AA525" s="8" t="s">
        <v>225</v>
      </c>
      <c r="AB525" s="8" t="s">
        <v>75</v>
      </c>
      <c r="AC525" s="11" t="s">
        <v>76</v>
      </c>
      <c r="AD525" s="9" t="s">
        <v>85</v>
      </c>
      <c r="AE525" s="56">
        <f t="shared" si="17"/>
        <v>0.17999999999999997</v>
      </c>
      <c r="AF525" s="14">
        <v>0.18</v>
      </c>
      <c r="AG525" s="14">
        <v>0.18</v>
      </c>
      <c r="AH525" s="14">
        <v>0.18</v>
      </c>
      <c r="AI525" s="14">
        <v>0.18</v>
      </c>
      <c r="AJ525" s="14">
        <v>0.18</v>
      </c>
      <c r="AK525" s="14">
        <v>0.18</v>
      </c>
      <c r="AL525" s="14">
        <v>0.18</v>
      </c>
      <c r="AM525" s="14">
        <v>0.18</v>
      </c>
      <c r="AN525" s="14">
        <v>0.18</v>
      </c>
      <c r="AO525" s="14">
        <v>0.18</v>
      </c>
    </row>
    <row r="526" spans="1:41" x14ac:dyDescent="0.2">
      <c r="A526" s="5" t="s">
        <v>67</v>
      </c>
      <c r="B526" s="25">
        <v>43320</v>
      </c>
      <c r="C526" s="26">
        <v>0.73333333333333295</v>
      </c>
      <c r="D526" s="5" t="s">
        <v>224</v>
      </c>
      <c r="E526" s="5"/>
      <c r="F526" s="32">
        <v>62</v>
      </c>
      <c r="G526" s="9">
        <v>2</v>
      </c>
      <c r="H526" s="6">
        <v>3.2258064516129031E-2</v>
      </c>
      <c r="I526" s="7">
        <v>6.83E-2</v>
      </c>
      <c r="J526" s="9">
        <v>314.15899999999999</v>
      </c>
      <c r="K526" s="9">
        <v>0.47809999999999997</v>
      </c>
      <c r="L526" s="9">
        <v>7</v>
      </c>
      <c r="M526" s="14">
        <v>328.54946663877848</v>
      </c>
      <c r="N526" s="9">
        <v>1420</v>
      </c>
      <c r="O526" s="12" t="s">
        <v>98</v>
      </c>
      <c r="P526" s="12" t="s">
        <v>82</v>
      </c>
      <c r="Q526" s="9" t="s">
        <v>95</v>
      </c>
      <c r="R526" s="9" t="s">
        <v>99</v>
      </c>
      <c r="S526" s="9"/>
      <c r="T526" s="18">
        <v>1</v>
      </c>
      <c r="U526" s="18">
        <v>2</v>
      </c>
      <c r="V526" s="9">
        <v>1.9</v>
      </c>
      <c r="Y526" s="9">
        <f t="shared" si="16"/>
        <v>328.54946663877848</v>
      </c>
      <c r="Z526" s="19" t="s">
        <v>97</v>
      </c>
      <c r="AA526" s="8" t="s">
        <v>225</v>
      </c>
      <c r="AB526" s="8" t="s">
        <v>75</v>
      </c>
      <c r="AC526" s="11" t="s">
        <v>76</v>
      </c>
      <c r="AD526" s="9" t="s">
        <v>85</v>
      </c>
      <c r="AE526" s="56">
        <f t="shared" si="17"/>
        <v>3.5913609683333325</v>
      </c>
      <c r="AF526" s="14">
        <v>3.5913609683333325</v>
      </c>
      <c r="AG526" s="13"/>
    </row>
    <row r="527" spans="1:41" x14ac:dyDescent="0.2">
      <c r="A527" s="5" t="s">
        <v>67</v>
      </c>
      <c r="B527" s="25">
        <v>43320</v>
      </c>
      <c r="C527" s="26">
        <v>0.74305555555555503</v>
      </c>
      <c r="D527" s="5" t="s">
        <v>219</v>
      </c>
      <c r="E527" s="5"/>
      <c r="F527" s="32">
        <v>64.5</v>
      </c>
      <c r="G527" s="9">
        <v>2</v>
      </c>
      <c r="H527" s="6">
        <v>3.1007751937984496E-2</v>
      </c>
      <c r="I527" s="7">
        <v>6.83E-2</v>
      </c>
      <c r="J527" s="9">
        <v>314.15899999999999</v>
      </c>
      <c r="K527" s="9">
        <v>0.4098</v>
      </c>
      <c r="L527" s="9">
        <v>6</v>
      </c>
      <c r="M527" s="14">
        <v>383.30771107857493</v>
      </c>
      <c r="N527" s="9">
        <v>190</v>
      </c>
      <c r="O527" s="12" t="s">
        <v>102</v>
      </c>
      <c r="P527" s="8" t="s">
        <v>70</v>
      </c>
      <c r="Q527" s="9" t="s">
        <v>103</v>
      </c>
      <c r="R527" s="9" t="s">
        <v>84</v>
      </c>
      <c r="S527" s="9"/>
      <c r="T527" s="18">
        <v>1</v>
      </c>
      <c r="U527" s="18">
        <v>1</v>
      </c>
      <c r="V527" s="9">
        <v>3.7</v>
      </c>
      <c r="Y527" s="9">
        <f t="shared" si="16"/>
        <v>383.30771107857493</v>
      </c>
      <c r="Z527" s="19" t="s">
        <v>73</v>
      </c>
      <c r="AA527" s="8" t="s">
        <v>220</v>
      </c>
      <c r="AB527" s="8" t="s">
        <v>75</v>
      </c>
      <c r="AC527" s="11" t="s">
        <v>221</v>
      </c>
      <c r="AD527" s="9" t="s">
        <v>104</v>
      </c>
      <c r="AE527" s="56">
        <f t="shared" si="17"/>
        <v>39.782739567500002</v>
      </c>
      <c r="AF527" s="14">
        <v>39.782739567500002</v>
      </c>
      <c r="AG527" s="13"/>
    </row>
    <row r="528" spans="1:41" x14ac:dyDescent="0.2">
      <c r="A528" s="5" t="s">
        <v>67</v>
      </c>
      <c r="B528" s="25">
        <v>43320</v>
      </c>
      <c r="C528" s="26">
        <v>0.74305555555555503</v>
      </c>
      <c r="D528" s="5" t="s">
        <v>219</v>
      </c>
      <c r="E528" s="5"/>
      <c r="F528" s="32">
        <v>64.5</v>
      </c>
      <c r="G528" s="9">
        <v>2</v>
      </c>
      <c r="H528" s="6">
        <v>3.1007751937984496E-2</v>
      </c>
      <c r="I528" s="7">
        <v>6.83E-2</v>
      </c>
      <c r="J528" s="9">
        <v>314.15899999999999</v>
      </c>
      <c r="K528" s="9">
        <v>0.4098</v>
      </c>
      <c r="L528" s="9">
        <v>6</v>
      </c>
      <c r="M528" s="14">
        <v>383.30771107857493</v>
      </c>
      <c r="N528" s="9">
        <v>1037</v>
      </c>
      <c r="O528" s="12" t="s">
        <v>86</v>
      </c>
      <c r="P528" s="12" t="s">
        <v>82</v>
      </c>
      <c r="Q528" s="9" t="s">
        <v>87</v>
      </c>
      <c r="R528" s="9" t="s">
        <v>84</v>
      </c>
      <c r="S528" s="9"/>
      <c r="T528" s="18">
        <v>17</v>
      </c>
      <c r="U528" s="18">
        <v>17</v>
      </c>
      <c r="V528" s="9">
        <v>2.8</v>
      </c>
      <c r="Y528" s="9">
        <f t="shared" si="16"/>
        <v>6516.2310883357732</v>
      </c>
      <c r="Z528" s="19" t="s">
        <v>73</v>
      </c>
      <c r="AA528" s="8" t="s">
        <v>220</v>
      </c>
      <c r="AB528" s="8" t="s">
        <v>75</v>
      </c>
      <c r="AC528" s="11" t="s">
        <v>221</v>
      </c>
      <c r="AD528" s="9" t="s">
        <v>85</v>
      </c>
      <c r="AE528" s="56">
        <f t="shared" si="17"/>
        <v>6.3706209216666645</v>
      </c>
      <c r="AF528" s="14">
        <v>6.3706209216666645</v>
      </c>
      <c r="AG528" s="13"/>
    </row>
    <row r="529" spans="1:41" x14ac:dyDescent="0.2">
      <c r="A529" s="5" t="s">
        <v>67</v>
      </c>
      <c r="B529" s="25">
        <v>43320</v>
      </c>
      <c r="C529" s="26">
        <v>0.74305555555555503</v>
      </c>
      <c r="D529" s="5" t="s">
        <v>219</v>
      </c>
      <c r="E529" s="5"/>
      <c r="F529" s="32">
        <v>64.5</v>
      </c>
      <c r="G529" s="9">
        <v>2</v>
      </c>
      <c r="H529" s="6">
        <v>3.1007751937984496E-2</v>
      </c>
      <c r="I529" s="7">
        <v>6.83E-2</v>
      </c>
      <c r="J529" s="9">
        <v>314.15899999999999</v>
      </c>
      <c r="K529" s="9">
        <v>0.4098</v>
      </c>
      <c r="L529" s="9">
        <v>6</v>
      </c>
      <c r="M529" s="14">
        <v>383.30771107857493</v>
      </c>
      <c r="N529" s="9">
        <v>1364</v>
      </c>
      <c r="O529" s="12" t="s">
        <v>88</v>
      </c>
      <c r="P529" s="12" t="s">
        <v>82</v>
      </c>
      <c r="Q529" s="9" t="s">
        <v>89</v>
      </c>
      <c r="R529" s="9" t="s">
        <v>90</v>
      </c>
      <c r="S529" s="9"/>
      <c r="T529" s="18">
        <v>1</v>
      </c>
      <c r="U529" s="18">
        <v>1</v>
      </c>
      <c r="V529" s="9">
        <v>8.1999999999999993</v>
      </c>
      <c r="Y529" s="9">
        <f t="shared" si="16"/>
        <v>383.30771107857493</v>
      </c>
      <c r="Z529" s="19" t="s">
        <v>73</v>
      </c>
      <c r="AA529" s="8" t="s">
        <v>220</v>
      </c>
      <c r="AB529" s="8" t="s">
        <v>75</v>
      </c>
      <c r="AC529" s="11" t="s">
        <v>221</v>
      </c>
      <c r="AD529" s="9" t="s">
        <v>91</v>
      </c>
      <c r="AE529" s="56">
        <f t="shared" si="17"/>
        <v>242.92658833999991</v>
      </c>
      <c r="AF529" s="14">
        <v>242.92658833999991</v>
      </c>
      <c r="AG529" s="13"/>
    </row>
    <row r="530" spans="1:41" x14ac:dyDescent="0.2">
      <c r="A530" s="5" t="s">
        <v>67</v>
      </c>
      <c r="B530" s="25">
        <v>43320</v>
      </c>
      <c r="C530" s="26">
        <v>0.74305555555555503</v>
      </c>
      <c r="D530" s="5" t="s">
        <v>219</v>
      </c>
      <c r="E530" s="5"/>
      <c r="F530" s="32">
        <v>64.5</v>
      </c>
      <c r="G530" s="9">
        <v>2</v>
      </c>
      <c r="H530" s="6">
        <v>3.1007751937984496E-2</v>
      </c>
      <c r="I530" s="7">
        <v>6.83E-2</v>
      </c>
      <c r="J530" s="9">
        <v>314.15899999999999</v>
      </c>
      <c r="K530" s="9">
        <v>0.4098</v>
      </c>
      <c r="L530" s="9">
        <v>6</v>
      </c>
      <c r="M530" s="14">
        <v>383.30771107857493</v>
      </c>
      <c r="N530" s="9">
        <v>1733</v>
      </c>
      <c r="O530" s="12" t="s">
        <v>92</v>
      </c>
      <c r="P530" s="12" t="s">
        <v>82</v>
      </c>
      <c r="Q530" s="9" t="s">
        <v>89</v>
      </c>
      <c r="R530" s="9" t="s">
        <v>93</v>
      </c>
      <c r="S530" s="9"/>
      <c r="T530" s="18">
        <v>1</v>
      </c>
      <c r="U530" s="18">
        <v>1</v>
      </c>
      <c r="V530" s="9">
        <v>6.5</v>
      </c>
      <c r="Y530" s="9">
        <f t="shared" si="16"/>
        <v>383.30771107857493</v>
      </c>
      <c r="Z530" s="19" t="s">
        <v>73</v>
      </c>
      <c r="AA530" s="8" t="s">
        <v>220</v>
      </c>
      <c r="AB530" s="8" t="s">
        <v>75</v>
      </c>
      <c r="AC530" s="11" t="s">
        <v>221</v>
      </c>
      <c r="AD530" s="9" t="s">
        <v>91</v>
      </c>
      <c r="AE530" s="56">
        <f t="shared" si="17"/>
        <v>112.822350875</v>
      </c>
      <c r="AF530" s="14">
        <v>112.822350875</v>
      </c>
      <c r="AG530" s="13"/>
    </row>
    <row r="531" spans="1:41" x14ac:dyDescent="0.2">
      <c r="A531" s="5" t="s">
        <v>67</v>
      </c>
      <c r="B531" s="25">
        <v>43320</v>
      </c>
      <c r="C531" s="26">
        <v>0.74305555555555503</v>
      </c>
      <c r="D531" s="5" t="s">
        <v>219</v>
      </c>
      <c r="E531" s="5"/>
      <c r="F531" s="32">
        <v>64.5</v>
      </c>
      <c r="G531" s="9">
        <v>2</v>
      </c>
      <c r="H531" s="6">
        <v>3.1007751937984496E-2</v>
      </c>
      <c r="I531" s="7">
        <v>6.83E-2</v>
      </c>
      <c r="J531" s="9">
        <v>314.15899999999999</v>
      </c>
      <c r="K531" s="9">
        <v>0.4098</v>
      </c>
      <c r="L531" s="9">
        <v>6</v>
      </c>
      <c r="M531" s="14">
        <v>383.30771107857493</v>
      </c>
      <c r="N531" s="9">
        <v>1419</v>
      </c>
      <c r="O531" s="12" t="s">
        <v>94</v>
      </c>
      <c r="P531" s="12" t="s">
        <v>82</v>
      </c>
      <c r="Q531" s="9" t="s">
        <v>95</v>
      </c>
      <c r="R531" s="9" t="s">
        <v>96</v>
      </c>
      <c r="S531" s="9"/>
      <c r="T531" s="18">
        <v>430</v>
      </c>
      <c r="U531" s="18">
        <v>865</v>
      </c>
      <c r="V531" s="9">
        <v>0.8</v>
      </c>
      <c r="W531" s="9">
        <v>0.8</v>
      </c>
      <c r="X531" s="9">
        <v>0.8</v>
      </c>
      <c r="Y531" s="9">
        <f t="shared" si="16"/>
        <v>164822.31576378722</v>
      </c>
      <c r="Z531" s="19" t="s">
        <v>97</v>
      </c>
      <c r="AA531" s="8" t="s">
        <v>220</v>
      </c>
      <c r="AB531" s="8" t="s">
        <v>75</v>
      </c>
      <c r="AC531" s="11" t="s">
        <v>221</v>
      </c>
      <c r="AD531" s="9" t="s">
        <v>85</v>
      </c>
      <c r="AE531" s="56">
        <f t="shared" si="17"/>
        <v>0.17999999999999997</v>
      </c>
      <c r="AF531" s="14">
        <v>0.18</v>
      </c>
      <c r="AG531" s="14">
        <v>0.18</v>
      </c>
      <c r="AH531" s="14">
        <v>0.18</v>
      </c>
      <c r="AI531" s="14">
        <v>0.18</v>
      </c>
      <c r="AJ531" s="14">
        <v>0.18</v>
      </c>
      <c r="AK531" s="14">
        <v>0.18</v>
      </c>
      <c r="AL531" s="14">
        <v>0.18</v>
      </c>
      <c r="AM531" s="14">
        <v>0.18</v>
      </c>
      <c r="AN531" s="14">
        <v>0.18</v>
      </c>
      <c r="AO531" s="14">
        <v>0.18</v>
      </c>
    </row>
    <row r="532" spans="1:41" x14ac:dyDescent="0.2">
      <c r="A532" s="5" t="s">
        <v>67</v>
      </c>
      <c r="B532" s="25">
        <v>43320</v>
      </c>
      <c r="C532" s="26">
        <v>0.74305555555555503</v>
      </c>
      <c r="D532" s="5" t="s">
        <v>219</v>
      </c>
      <c r="E532" s="5"/>
      <c r="F532" s="32">
        <v>64.5</v>
      </c>
      <c r="G532" s="9">
        <v>2</v>
      </c>
      <c r="H532" s="6">
        <v>3.1007751937984496E-2</v>
      </c>
      <c r="I532" s="7">
        <v>6.83E-2</v>
      </c>
      <c r="J532" s="9">
        <v>314.15899999999999</v>
      </c>
      <c r="K532" s="9">
        <v>0.4098</v>
      </c>
      <c r="L532" s="9">
        <v>6</v>
      </c>
      <c r="M532" s="14">
        <v>383.30771107857493</v>
      </c>
      <c r="N532" s="9">
        <v>1508</v>
      </c>
      <c r="O532" s="12" t="s">
        <v>132</v>
      </c>
      <c r="P532" s="12" t="s">
        <v>82</v>
      </c>
      <c r="Q532" s="9" t="s">
        <v>133</v>
      </c>
      <c r="R532" s="9" t="s">
        <v>84</v>
      </c>
      <c r="S532" s="9"/>
      <c r="T532" s="18">
        <v>1</v>
      </c>
      <c r="U532" s="18">
        <v>3</v>
      </c>
      <c r="V532" s="9">
        <v>1.9</v>
      </c>
      <c r="Y532" s="9">
        <f t="shared" si="16"/>
        <v>383.30771107857493</v>
      </c>
      <c r="Z532" s="19" t="s">
        <v>134</v>
      </c>
      <c r="AA532" s="8" t="s">
        <v>220</v>
      </c>
      <c r="AB532" s="8" t="s">
        <v>75</v>
      </c>
      <c r="AC532" s="11" t="s">
        <v>221</v>
      </c>
      <c r="AD532" s="9" t="s">
        <v>104</v>
      </c>
      <c r="AE532" s="56">
        <f t="shared" si="17"/>
        <v>1.2087267524999998</v>
      </c>
      <c r="AF532" s="14">
        <v>1.2087267524999998</v>
      </c>
      <c r="AG532" s="13"/>
    </row>
    <row r="533" spans="1:41" x14ac:dyDescent="0.2">
      <c r="A533" s="5" t="s">
        <v>67</v>
      </c>
      <c r="B533" s="25">
        <v>43360</v>
      </c>
      <c r="C533" s="26">
        <v>0.63541666666666696</v>
      </c>
      <c r="D533" s="5" t="s">
        <v>68</v>
      </c>
      <c r="E533" s="5">
        <v>3</v>
      </c>
      <c r="F533" s="32">
        <v>61.5</v>
      </c>
      <c r="G533" s="9">
        <v>2</v>
      </c>
      <c r="H533" s="6">
        <v>3.2520325203252036E-2</v>
      </c>
      <c r="I533" s="7">
        <v>6.83E-2</v>
      </c>
      <c r="J533" s="9">
        <v>314.15899999999999</v>
      </c>
      <c r="K533" s="9">
        <v>0.88790000000000002</v>
      </c>
      <c r="L533" s="9">
        <v>13</v>
      </c>
      <c r="M533" s="14">
        <v>176.91125126703457</v>
      </c>
      <c r="N533" s="9">
        <v>145</v>
      </c>
      <c r="O533" s="12" t="s">
        <v>69</v>
      </c>
      <c r="P533" s="8" t="s">
        <v>70</v>
      </c>
      <c r="Q533" s="9" t="s">
        <v>71</v>
      </c>
      <c r="R533" s="9" t="s">
        <v>72</v>
      </c>
      <c r="S533" s="9"/>
      <c r="T533" s="18">
        <v>1</v>
      </c>
      <c r="U533" s="18">
        <v>1</v>
      </c>
      <c r="V533" s="9">
        <v>16.7</v>
      </c>
      <c r="Y533" s="9">
        <f t="shared" si="16"/>
        <v>176.91125126703457</v>
      </c>
      <c r="Z533" s="19" t="s">
        <v>73</v>
      </c>
      <c r="AA533" s="8" t="s">
        <v>74</v>
      </c>
      <c r="AB533" s="8" t="s">
        <v>75</v>
      </c>
      <c r="AC533" s="11" t="s">
        <v>76</v>
      </c>
      <c r="AD533" s="9" t="s">
        <v>77</v>
      </c>
      <c r="AE533" s="56">
        <f t="shared" si="17"/>
        <v>407.64957680999993</v>
      </c>
      <c r="AF533" s="14">
        <v>407.64957680999993</v>
      </c>
      <c r="AG533" s="13"/>
    </row>
    <row r="534" spans="1:41" x14ac:dyDescent="0.2">
      <c r="A534" s="5" t="s">
        <v>67</v>
      </c>
      <c r="B534" s="25">
        <v>43360</v>
      </c>
      <c r="C534" s="26">
        <v>0.63541666666666696</v>
      </c>
      <c r="D534" s="5" t="s">
        <v>68</v>
      </c>
      <c r="E534" s="5">
        <v>3</v>
      </c>
      <c r="F534" s="32">
        <v>61.5</v>
      </c>
      <c r="G534" s="9">
        <v>2</v>
      </c>
      <c r="H534" s="6">
        <v>3.2520325203252036E-2</v>
      </c>
      <c r="I534" s="7">
        <v>6.83E-2</v>
      </c>
      <c r="J534" s="9">
        <v>314.15899999999999</v>
      </c>
      <c r="K534" s="9">
        <v>0.88790000000000002</v>
      </c>
      <c r="L534" s="9">
        <v>13</v>
      </c>
      <c r="M534" s="14">
        <v>176.91125126703457</v>
      </c>
      <c r="N534" s="9">
        <v>1031</v>
      </c>
      <c r="O534" s="12" t="s">
        <v>81</v>
      </c>
      <c r="P534" s="12" t="s">
        <v>82</v>
      </c>
      <c r="Q534" s="9" t="s">
        <v>83</v>
      </c>
      <c r="R534" s="9" t="s">
        <v>84</v>
      </c>
      <c r="S534" s="9"/>
      <c r="T534" s="18">
        <v>1</v>
      </c>
      <c r="U534" s="18">
        <v>1</v>
      </c>
      <c r="V534" s="9">
        <v>7.4</v>
      </c>
      <c r="Y534" s="9">
        <f t="shared" si="16"/>
        <v>176.91125126703457</v>
      </c>
      <c r="Z534" s="19" t="s">
        <v>73</v>
      </c>
      <c r="AA534" s="8" t="s">
        <v>74</v>
      </c>
      <c r="AB534" s="8" t="s">
        <v>75</v>
      </c>
      <c r="AC534" s="11" t="s">
        <v>76</v>
      </c>
      <c r="AD534" s="9" t="s">
        <v>85</v>
      </c>
      <c r="AE534" s="56">
        <f t="shared" si="17"/>
        <v>99.810408693333329</v>
      </c>
      <c r="AF534" s="14">
        <v>99.810408693333329</v>
      </c>
      <c r="AG534" s="13"/>
    </row>
    <row r="535" spans="1:41" x14ac:dyDescent="0.2">
      <c r="A535" s="5" t="s">
        <v>67</v>
      </c>
      <c r="B535" s="25">
        <v>43360</v>
      </c>
      <c r="C535" s="26">
        <v>0.63541666666666696</v>
      </c>
      <c r="D535" s="5" t="s">
        <v>68</v>
      </c>
      <c r="E535" s="5">
        <v>3</v>
      </c>
      <c r="F535" s="32">
        <v>61.5</v>
      </c>
      <c r="G535" s="9">
        <v>2</v>
      </c>
      <c r="H535" s="6">
        <v>3.2520325203252036E-2</v>
      </c>
      <c r="I535" s="7">
        <v>6.83E-2</v>
      </c>
      <c r="J535" s="9">
        <v>314.15899999999999</v>
      </c>
      <c r="K535" s="9">
        <v>0.88790000000000002</v>
      </c>
      <c r="L535" s="9">
        <v>13</v>
      </c>
      <c r="M535" s="14">
        <v>176.91125126703457</v>
      </c>
      <c r="N535" s="9">
        <v>1037</v>
      </c>
      <c r="O535" s="12" t="s">
        <v>86</v>
      </c>
      <c r="P535" s="12" t="s">
        <v>82</v>
      </c>
      <c r="Q535" s="9" t="s">
        <v>87</v>
      </c>
      <c r="R535" s="9" t="s">
        <v>84</v>
      </c>
      <c r="S535" s="9"/>
      <c r="T535" s="18">
        <v>17</v>
      </c>
      <c r="U535" s="18">
        <v>17</v>
      </c>
      <c r="V535" s="9">
        <v>2.8</v>
      </c>
      <c r="Y535" s="9">
        <f t="shared" si="16"/>
        <v>3007.4912715395876</v>
      </c>
      <c r="Z535" s="19" t="s">
        <v>73</v>
      </c>
      <c r="AA535" s="8" t="s">
        <v>74</v>
      </c>
      <c r="AB535" s="8" t="s">
        <v>75</v>
      </c>
      <c r="AC535" s="11" t="s">
        <v>76</v>
      </c>
      <c r="AD535" s="9" t="s">
        <v>85</v>
      </c>
      <c r="AE535" s="56">
        <f t="shared" si="17"/>
        <v>7.2382233599999992</v>
      </c>
      <c r="AF535" s="14">
        <v>7.2382233599999992</v>
      </c>
      <c r="AG535" s="13"/>
    </row>
    <row r="536" spans="1:41" x14ac:dyDescent="0.2">
      <c r="A536" s="5" t="s">
        <v>67</v>
      </c>
      <c r="B536" s="25">
        <v>43360</v>
      </c>
      <c r="C536" s="26">
        <v>0.63541666666666696</v>
      </c>
      <c r="D536" s="5" t="s">
        <v>68</v>
      </c>
      <c r="E536" s="5">
        <v>3</v>
      </c>
      <c r="F536" s="32">
        <v>61.5</v>
      </c>
      <c r="G536" s="9">
        <v>2</v>
      </c>
      <c r="H536" s="6">
        <v>3.2520325203252036E-2</v>
      </c>
      <c r="I536" s="7">
        <v>6.83E-2</v>
      </c>
      <c r="J536" s="9">
        <v>314.15899999999999</v>
      </c>
      <c r="K536" s="9">
        <v>0.88790000000000002</v>
      </c>
      <c r="L536" s="9">
        <v>13</v>
      </c>
      <c r="M536" s="14">
        <v>176.91125126703457</v>
      </c>
      <c r="N536" s="9">
        <v>1364</v>
      </c>
      <c r="O536" s="12" t="s">
        <v>88</v>
      </c>
      <c r="P536" s="12" t="s">
        <v>82</v>
      </c>
      <c r="Q536" s="9" t="s">
        <v>89</v>
      </c>
      <c r="R536" s="9" t="s">
        <v>90</v>
      </c>
      <c r="S536" s="9"/>
      <c r="T536" s="18">
        <v>4</v>
      </c>
      <c r="U536" s="18">
        <v>4</v>
      </c>
      <c r="V536" s="9">
        <v>10.199999999999999</v>
      </c>
      <c r="Y536" s="9">
        <f t="shared" si="16"/>
        <v>707.64500506813829</v>
      </c>
      <c r="Z536" s="19" t="s">
        <v>73</v>
      </c>
      <c r="AA536" s="8" t="s">
        <v>74</v>
      </c>
      <c r="AB536" s="8" t="s">
        <v>75</v>
      </c>
      <c r="AC536" s="11" t="s">
        <v>76</v>
      </c>
      <c r="AD536" s="9" t="s">
        <v>91</v>
      </c>
      <c r="AE536" s="56">
        <f t="shared" si="17"/>
        <v>356.77335935416664</v>
      </c>
      <c r="AF536" s="14">
        <v>356.77335935416664</v>
      </c>
      <c r="AG536" s="13"/>
    </row>
    <row r="537" spans="1:41" x14ac:dyDescent="0.2">
      <c r="A537" s="5" t="s">
        <v>67</v>
      </c>
      <c r="B537" s="25">
        <v>43360</v>
      </c>
      <c r="C537" s="26">
        <v>0.63541666666666696</v>
      </c>
      <c r="D537" s="5" t="s">
        <v>68</v>
      </c>
      <c r="E537" s="5">
        <v>3</v>
      </c>
      <c r="F537" s="32">
        <v>61.5</v>
      </c>
      <c r="G537" s="9">
        <v>2</v>
      </c>
      <c r="H537" s="6">
        <v>3.2520325203252036E-2</v>
      </c>
      <c r="I537" s="7">
        <v>6.83E-2</v>
      </c>
      <c r="J537" s="9">
        <v>314.15899999999999</v>
      </c>
      <c r="K537" s="9">
        <v>0.88790000000000002</v>
      </c>
      <c r="L537" s="9">
        <v>13</v>
      </c>
      <c r="M537" s="14">
        <v>176.91125126703457</v>
      </c>
      <c r="N537" s="9">
        <v>1733</v>
      </c>
      <c r="O537" s="12" t="s">
        <v>92</v>
      </c>
      <c r="P537" s="12" t="s">
        <v>82</v>
      </c>
      <c r="Q537" s="9" t="s">
        <v>89</v>
      </c>
      <c r="R537" s="9" t="s">
        <v>93</v>
      </c>
      <c r="S537" s="9"/>
      <c r="T537" s="18">
        <v>1</v>
      </c>
      <c r="U537" s="18">
        <v>1</v>
      </c>
      <c r="V537" s="9">
        <v>5.6</v>
      </c>
      <c r="Y537" s="9">
        <f t="shared" si="16"/>
        <v>176.91125126703457</v>
      </c>
      <c r="Z537" s="19" t="s">
        <v>73</v>
      </c>
      <c r="AA537" s="8" t="s">
        <v>74</v>
      </c>
      <c r="AB537" s="8" t="s">
        <v>75</v>
      </c>
      <c r="AC537" s="11" t="s">
        <v>76</v>
      </c>
      <c r="AD537" s="9" t="s">
        <v>91</v>
      </c>
      <c r="AE537" s="56">
        <f t="shared" si="17"/>
        <v>76.353203359999995</v>
      </c>
      <c r="AF537" s="14">
        <v>76.353203359999995</v>
      </c>
      <c r="AG537" s="13"/>
    </row>
    <row r="538" spans="1:41" x14ac:dyDescent="0.2">
      <c r="A538" s="5" t="s">
        <v>67</v>
      </c>
      <c r="B538" s="25">
        <v>43360</v>
      </c>
      <c r="C538" s="26">
        <v>0.63541666666666696</v>
      </c>
      <c r="D538" s="5" t="s">
        <v>68</v>
      </c>
      <c r="E538" s="5">
        <v>3</v>
      </c>
      <c r="F538" s="32">
        <v>61.5</v>
      </c>
      <c r="G538" s="9">
        <v>2</v>
      </c>
      <c r="H538" s="6">
        <v>3.2520325203252036E-2</v>
      </c>
      <c r="I538" s="7">
        <v>6.83E-2</v>
      </c>
      <c r="J538" s="9">
        <v>314.15899999999999</v>
      </c>
      <c r="K538" s="9">
        <v>0.88790000000000002</v>
      </c>
      <c r="L538" s="9">
        <v>13</v>
      </c>
      <c r="M538" s="14">
        <v>176.91125126703457</v>
      </c>
      <c r="N538" s="9">
        <v>1419</v>
      </c>
      <c r="O538" s="12" t="s">
        <v>94</v>
      </c>
      <c r="P538" s="12" t="s">
        <v>82</v>
      </c>
      <c r="Q538" s="9" t="s">
        <v>95</v>
      </c>
      <c r="R538" s="9" t="s">
        <v>96</v>
      </c>
      <c r="S538" s="9"/>
      <c r="T538" s="18">
        <v>380</v>
      </c>
      <c r="U538" s="18">
        <v>763</v>
      </c>
      <c r="V538" s="9">
        <v>0.8</v>
      </c>
      <c r="W538" s="9">
        <v>0.8</v>
      </c>
      <c r="X538" s="9">
        <v>0.8</v>
      </c>
      <c r="Y538" s="9">
        <f t="shared" si="16"/>
        <v>67226.275481473131</v>
      </c>
      <c r="Z538" s="19" t="s">
        <v>97</v>
      </c>
      <c r="AA538" s="8" t="s">
        <v>74</v>
      </c>
      <c r="AB538" s="8" t="s">
        <v>75</v>
      </c>
      <c r="AC538" s="11" t="s">
        <v>76</v>
      </c>
      <c r="AD538" s="9" t="s">
        <v>85</v>
      </c>
      <c r="AE538" s="56">
        <f t="shared" si="17"/>
        <v>0.17999999999999997</v>
      </c>
      <c r="AF538" s="14">
        <v>0.18</v>
      </c>
      <c r="AG538" s="14">
        <v>0.18</v>
      </c>
      <c r="AH538" s="14">
        <v>0.18</v>
      </c>
      <c r="AI538" s="14">
        <v>0.18</v>
      </c>
      <c r="AJ538" s="14">
        <v>0.18</v>
      </c>
      <c r="AK538" s="14">
        <v>0.18</v>
      </c>
      <c r="AL538" s="14">
        <v>0.18</v>
      </c>
      <c r="AM538" s="14">
        <v>0.18</v>
      </c>
      <c r="AN538" s="14">
        <v>0.18</v>
      </c>
      <c r="AO538" s="14">
        <v>0.18</v>
      </c>
    </row>
    <row r="539" spans="1:41" x14ac:dyDescent="0.2">
      <c r="A539" s="5" t="s">
        <v>67</v>
      </c>
      <c r="B539" s="25">
        <v>43360</v>
      </c>
      <c r="C539" s="26">
        <v>0.63541666666666696</v>
      </c>
      <c r="D539" s="5" t="s">
        <v>68</v>
      </c>
      <c r="E539" s="5">
        <v>3</v>
      </c>
      <c r="F539" s="32">
        <v>61.5</v>
      </c>
      <c r="G539" s="9">
        <v>2</v>
      </c>
      <c r="H539" s="6">
        <v>3.2520325203252036E-2</v>
      </c>
      <c r="I539" s="7">
        <v>6.83E-2</v>
      </c>
      <c r="J539" s="9">
        <v>314.15899999999999</v>
      </c>
      <c r="K539" s="9">
        <v>0.88790000000000002</v>
      </c>
      <c r="L539" s="9">
        <v>13</v>
      </c>
      <c r="M539" s="14">
        <v>176.91125126703457</v>
      </c>
      <c r="N539" s="9">
        <v>1420</v>
      </c>
      <c r="O539" s="12" t="s">
        <v>98</v>
      </c>
      <c r="P539" s="12" t="s">
        <v>82</v>
      </c>
      <c r="Q539" s="9" t="s">
        <v>95</v>
      </c>
      <c r="R539" s="9" t="s">
        <v>99</v>
      </c>
      <c r="S539" s="9"/>
      <c r="T539" s="18">
        <v>1</v>
      </c>
      <c r="U539" s="18">
        <v>2</v>
      </c>
      <c r="V539" s="9">
        <v>2.8</v>
      </c>
      <c r="Y539" s="9">
        <f t="shared" si="16"/>
        <v>176.91125126703457</v>
      </c>
      <c r="Z539" s="19" t="s">
        <v>97</v>
      </c>
      <c r="AA539" s="8" t="s">
        <v>74</v>
      </c>
      <c r="AB539" s="8" t="s">
        <v>75</v>
      </c>
      <c r="AC539" s="11" t="s">
        <v>76</v>
      </c>
      <c r="AD539" s="9" t="s">
        <v>85</v>
      </c>
      <c r="AE539" s="56">
        <f t="shared" si="17"/>
        <v>11.494030613333329</v>
      </c>
      <c r="AF539" s="14">
        <v>11.494030613333329</v>
      </c>
      <c r="AG539" s="13"/>
    </row>
    <row r="540" spans="1:41" x14ac:dyDescent="0.2">
      <c r="A540" s="5" t="s">
        <v>67</v>
      </c>
      <c r="B540" s="25">
        <v>43360</v>
      </c>
      <c r="C540" s="26">
        <v>0.66319444444444398</v>
      </c>
      <c r="D540" s="5" t="s">
        <v>108</v>
      </c>
      <c r="E540" s="5">
        <v>3</v>
      </c>
      <c r="F540" s="32">
        <v>62</v>
      </c>
      <c r="G540" s="9">
        <v>2</v>
      </c>
      <c r="H540" s="6">
        <v>3.2258064516129031E-2</v>
      </c>
      <c r="I540" s="7">
        <v>6.83E-2</v>
      </c>
      <c r="J540" s="9">
        <v>314.15899999999999</v>
      </c>
      <c r="K540" s="9">
        <v>0.68300000000000005</v>
      </c>
      <c r="L540" s="9">
        <v>10</v>
      </c>
      <c r="M540" s="14">
        <v>229.98462664714492</v>
      </c>
      <c r="N540" s="9">
        <v>145</v>
      </c>
      <c r="O540" s="12" t="s">
        <v>69</v>
      </c>
      <c r="P540" s="8" t="s">
        <v>70</v>
      </c>
      <c r="Q540" s="9" t="s">
        <v>71</v>
      </c>
      <c r="R540" s="9" t="s">
        <v>72</v>
      </c>
      <c r="S540" s="9"/>
      <c r="T540" s="18">
        <v>1</v>
      </c>
      <c r="U540" s="18">
        <v>1</v>
      </c>
      <c r="V540" s="9">
        <v>14.8</v>
      </c>
      <c r="Y540" s="9">
        <f t="shared" si="16"/>
        <v>229.98462664714492</v>
      </c>
      <c r="Z540" s="19" t="s">
        <v>73</v>
      </c>
      <c r="AA540" s="8" t="s">
        <v>211</v>
      </c>
      <c r="AB540" s="8" t="s">
        <v>75</v>
      </c>
      <c r="AC540" s="11" t="s">
        <v>76</v>
      </c>
      <c r="AD540" s="9" t="s">
        <v>77</v>
      </c>
      <c r="AE540" s="56">
        <f t="shared" si="17"/>
        <v>399.97781402999999</v>
      </c>
      <c r="AF540" s="14">
        <v>399.97781402999999</v>
      </c>
      <c r="AG540" s="13"/>
    </row>
    <row r="541" spans="1:41" x14ac:dyDescent="0.2">
      <c r="A541" s="5" t="s">
        <v>67</v>
      </c>
      <c r="B541" s="25">
        <v>43360</v>
      </c>
      <c r="C541" s="26">
        <v>0.66319444444444398</v>
      </c>
      <c r="D541" s="5" t="s">
        <v>108</v>
      </c>
      <c r="E541" s="5">
        <v>3</v>
      </c>
      <c r="F541" s="32">
        <v>62</v>
      </c>
      <c r="G541" s="9">
        <v>2</v>
      </c>
      <c r="H541" s="6">
        <v>3.2258064516129031E-2</v>
      </c>
      <c r="I541" s="7">
        <v>6.83E-2</v>
      </c>
      <c r="J541" s="9">
        <v>314.15899999999999</v>
      </c>
      <c r="K541" s="9">
        <v>0.68300000000000005</v>
      </c>
      <c r="L541" s="9">
        <v>10</v>
      </c>
      <c r="M541" s="14">
        <v>229.98462664714492</v>
      </c>
      <c r="N541" s="9">
        <v>1010</v>
      </c>
      <c r="O541" s="8" t="s">
        <v>212</v>
      </c>
      <c r="P541" s="12" t="s">
        <v>82</v>
      </c>
      <c r="Q541" s="9" t="s">
        <v>213</v>
      </c>
      <c r="R541" s="9" t="s">
        <v>214</v>
      </c>
      <c r="S541" s="9"/>
      <c r="T541" s="18">
        <v>1</v>
      </c>
      <c r="U541" s="18">
        <v>6</v>
      </c>
      <c r="V541" s="9">
        <v>2.8</v>
      </c>
      <c r="Y541" s="9">
        <f t="shared" si="16"/>
        <v>229.98462664714492</v>
      </c>
      <c r="Z541" s="19" t="s">
        <v>97</v>
      </c>
      <c r="AA541" s="8" t="s">
        <v>211</v>
      </c>
      <c r="AB541" s="8" t="s">
        <v>75</v>
      </c>
      <c r="AC541" s="11" t="s">
        <v>76</v>
      </c>
      <c r="AD541" s="9" t="s">
        <v>215</v>
      </c>
      <c r="AE541" s="56">
        <f t="shared" si="17"/>
        <v>2.0675589187500001</v>
      </c>
      <c r="AF541" s="14">
        <v>2.0675589187500001</v>
      </c>
      <c r="AG541" s="13"/>
    </row>
    <row r="542" spans="1:41" x14ac:dyDescent="0.2">
      <c r="A542" s="5" t="s">
        <v>67</v>
      </c>
      <c r="B542" s="25">
        <v>43360</v>
      </c>
      <c r="C542" s="26">
        <v>0.66319444444444398</v>
      </c>
      <c r="D542" s="5" t="s">
        <v>108</v>
      </c>
      <c r="E542" s="5">
        <v>3</v>
      </c>
      <c r="F542" s="32">
        <v>62</v>
      </c>
      <c r="G542" s="9">
        <v>2</v>
      </c>
      <c r="H542" s="6">
        <v>3.2258064516129031E-2</v>
      </c>
      <c r="I542" s="7">
        <v>6.83E-2</v>
      </c>
      <c r="J542" s="9">
        <v>314.15899999999999</v>
      </c>
      <c r="K542" s="9">
        <v>0.68300000000000005</v>
      </c>
      <c r="L542" s="9">
        <v>10</v>
      </c>
      <c r="M542" s="14">
        <v>229.98462664714492</v>
      </c>
      <c r="N542" s="9">
        <v>1037</v>
      </c>
      <c r="O542" s="12" t="s">
        <v>86</v>
      </c>
      <c r="P542" s="12" t="s">
        <v>82</v>
      </c>
      <c r="Q542" s="9" t="s">
        <v>87</v>
      </c>
      <c r="R542" s="9" t="s">
        <v>84</v>
      </c>
      <c r="S542" s="9"/>
      <c r="T542" s="18">
        <v>26</v>
      </c>
      <c r="U542" s="18">
        <v>26</v>
      </c>
      <c r="V542" s="9">
        <v>3.7</v>
      </c>
      <c r="Y542" s="9">
        <f t="shared" si="16"/>
        <v>5979.6002928257685</v>
      </c>
      <c r="Z542" s="19" t="s">
        <v>73</v>
      </c>
      <c r="AA542" s="8" t="s">
        <v>211</v>
      </c>
      <c r="AB542" s="8" t="s">
        <v>75</v>
      </c>
      <c r="AC542" s="11" t="s">
        <v>76</v>
      </c>
      <c r="AD542" s="9" t="s">
        <v>85</v>
      </c>
      <c r="AE542" s="56">
        <f t="shared" si="17"/>
        <v>11.494030613333329</v>
      </c>
      <c r="AF542" s="14">
        <v>11.494030613333329</v>
      </c>
      <c r="AG542" s="13"/>
    </row>
    <row r="543" spans="1:41" x14ac:dyDescent="0.2">
      <c r="A543" s="5" t="s">
        <v>67</v>
      </c>
      <c r="B543" s="25">
        <v>43360</v>
      </c>
      <c r="C543" s="26">
        <v>0.66319444444444398</v>
      </c>
      <c r="D543" s="5" t="s">
        <v>108</v>
      </c>
      <c r="E543" s="5">
        <v>3</v>
      </c>
      <c r="F543" s="32">
        <v>62</v>
      </c>
      <c r="G543" s="9">
        <v>2</v>
      </c>
      <c r="H543" s="6">
        <v>3.2258064516129031E-2</v>
      </c>
      <c r="I543" s="7">
        <v>6.83E-2</v>
      </c>
      <c r="J543" s="9">
        <v>314.15899999999999</v>
      </c>
      <c r="K543" s="9">
        <v>0.68300000000000005</v>
      </c>
      <c r="L543" s="9">
        <v>10</v>
      </c>
      <c r="M543" s="14">
        <v>229.98462664714492</v>
      </c>
      <c r="N543" s="9">
        <v>1235</v>
      </c>
      <c r="O543" s="12" t="s">
        <v>216</v>
      </c>
      <c r="P543" s="12" t="s">
        <v>82</v>
      </c>
      <c r="Q543" s="9" t="s">
        <v>217</v>
      </c>
      <c r="R543" s="9" t="s">
        <v>84</v>
      </c>
      <c r="S543" s="9"/>
      <c r="T543" s="18">
        <v>1</v>
      </c>
      <c r="U543" s="18">
        <v>2</v>
      </c>
      <c r="V543" s="9">
        <v>4.5999999999999996</v>
      </c>
      <c r="Y543" s="9">
        <f t="shared" si="16"/>
        <v>229.98462664714492</v>
      </c>
      <c r="Z543" s="19" t="s">
        <v>97</v>
      </c>
      <c r="AA543" s="8" t="s">
        <v>211</v>
      </c>
      <c r="AB543" s="8" t="s">
        <v>75</v>
      </c>
      <c r="AC543" s="11" t="s">
        <v>76</v>
      </c>
      <c r="AD543" s="9" t="s">
        <v>120</v>
      </c>
      <c r="AE543" s="56">
        <f t="shared" si="17"/>
        <v>8.694873923333331</v>
      </c>
      <c r="AF543" s="14">
        <v>8.694873923333331</v>
      </c>
      <c r="AG543" s="13"/>
    </row>
    <row r="544" spans="1:41" x14ac:dyDescent="0.2">
      <c r="A544" s="5" t="s">
        <v>67</v>
      </c>
      <c r="B544" s="25">
        <v>43360</v>
      </c>
      <c r="C544" s="26">
        <v>0.66319444444444398</v>
      </c>
      <c r="D544" s="5" t="s">
        <v>108</v>
      </c>
      <c r="E544" s="5">
        <v>3</v>
      </c>
      <c r="F544" s="32">
        <v>62</v>
      </c>
      <c r="G544" s="9">
        <v>2</v>
      </c>
      <c r="H544" s="6">
        <v>3.2258064516129031E-2</v>
      </c>
      <c r="I544" s="7">
        <v>6.83E-2</v>
      </c>
      <c r="J544" s="9">
        <v>314.15899999999999</v>
      </c>
      <c r="K544" s="9">
        <v>0.68300000000000005</v>
      </c>
      <c r="L544" s="9">
        <v>10</v>
      </c>
      <c r="M544" s="14">
        <v>229.98462664714492</v>
      </c>
      <c r="N544" s="9">
        <v>1806</v>
      </c>
      <c r="O544" s="12" t="s">
        <v>206</v>
      </c>
      <c r="P544" s="12" t="s">
        <v>82</v>
      </c>
      <c r="Q544" s="9" t="s">
        <v>207</v>
      </c>
      <c r="R544" s="9" t="s">
        <v>84</v>
      </c>
      <c r="S544" s="9"/>
      <c r="T544" s="18">
        <v>1</v>
      </c>
      <c r="U544" s="18">
        <v>1</v>
      </c>
      <c r="V544" s="9">
        <v>3.7</v>
      </c>
      <c r="Y544" s="9">
        <f t="shared" si="16"/>
        <v>229.98462664714492</v>
      </c>
      <c r="Z544" s="19" t="s">
        <v>73</v>
      </c>
      <c r="AA544" s="8" t="s">
        <v>211</v>
      </c>
      <c r="AB544" s="8" t="s">
        <v>75</v>
      </c>
      <c r="AC544" s="11" t="s">
        <v>76</v>
      </c>
      <c r="AD544" s="9" t="s">
        <v>120</v>
      </c>
      <c r="AE544" s="56">
        <f t="shared" si="17"/>
        <v>26.521826378333333</v>
      </c>
      <c r="AF544" s="14">
        <v>26.521826378333333</v>
      </c>
      <c r="AG544" s="13"/>
    </row>
    <row r="545" spans="1:41" x14ac:dyDescent="0.2">
      <c r="A545" s="5" t="s">
        <v>67</v>
      </c>
      <c r="B545" s="25">
        <v>43360</v>
      </c>
      <c r="C545" s="26">
        <v>0.66319444444444398</v>
      </c>
      <c r="D545" s="5" t="s">
        <v>108</v>
      </c>
      <c r="E545" s="5">
        <v>3</v>
      </c>
      <c r="F545" s="32">
        <v>62</v>
      </c>
      <c r="G545" s="9">
        <v>2</v>
      </c>
      <c r="H545" s="6">
        <v>3.2258064516129031E-2</v>
      </c>
      <c r="I545" s="7">
        <v>6.83E-2</v>
      </c>
      <c r="J545" s="9">
        <v>314.15899999999999</v>
      </c>
      <c r="K545" s="9">
        <v>0.68300000000000005</v>
      </c>
      <c r="L545" s="9">
        <v>10</v>
      </c>
      <c r="M545" s="14">
        <v>229.98462664714492</v>
      </c>
      <c r="N545" s="9">
        <v>1692</v>
      </c>
      <c r="O545" s="8" t="s">
        <v>179</v>
      </c>
      <c r="P545" s="12" t="s">
        <v>82</v>
      </c>
      <c r="Q545" s="9" t="s">
        <v>180</v>
      </c>
      <c r="R545" s="9" t="s">
        <v>84</v>
      </c>
      <c r="S545" s="9"/>
      <c r="T545" s="18">
        <v>1</v>
      </c>
      <c r="U545" s="18">
        <v>1</v>
      </c>
      <c r="V545" s="9">
        <v>5.6</v>
      </c>
      <c r="Y545" s="9">
        <f t="shared" si="16"/>
        <v>229.98462664714492</v>
      </c>
      <c r="Z545" s="19" t="s">
        <v>73</v>
      </c>
      <c r="AA545" s="8" t="s">
        <v>211</v>
      </c>
      <c r="AB545" s="8" t="s">
        <v>75</v>
      </c>
      <c r="AC545" s="11" t="s">
        <v>76</v>
      </c>
      <c r="AD545" s="9" t="s">
        <v>120</v>
      </c>
      <c r="AE545" s="56">
        <f t="shared" si="17"/>
        <v>40.141142626666664</v>
      </c>
      <c r="AF545" s="14">
        <v>40.141142626666664</v>
      </c>
      <c r="AG545" s="13"/>
    </row>
    <row r="546" spans="1:41" x14ac:dyDescent="0.2">
      <c r="A546" s="5" t="s">
        <v>67</v>
      </c>
      <c r="B546" s="25">
        <v>43360</v>
      </c>
      <c r="C546" s="26">
        <v>0.66319444444444398</v>
      </c>
      <c r="D546" s="5" t="s">
        <v>108</v>
      </c>
      <c r="E546" s="5">
        <v>3</v>
      </c>
      <c r="F546" s="32">
        <v>62</v>
      </c>
      <c r="G546" s="9">
        <v>2</v>
      </c>
      <c r="H546" s="6">
        <v>3.2258064516129031E-2</v>
      </c>
      <c r="I546" s="7">
        <v>6.83E-2</v>
      </c>
      <c r="J546" s="9">
        <v>314.15899999999999</v>
      </c>
      <c r="K546" s="9">
        <v>0.68300000000000005</v>
      </c>
      <c r="L546" s="9">
        <v>10</v>
      </c>
      <c r="M546" s="14">
        <v>229.98462664714492</v>
      </c>
      <c r="N546" s="9">
        <v>1364</v>
      </c>
      <c r="O546" s="12" t="s">
        <v>88</v>
      </c>
      <c r="P546" s="12" t="s">
        <v>82</v>
      </c>
      <c r="Q546" s="9" t="s">
        <v>89</v>
      </c>
      <c r="R546" s="9" t="s">
        <v>90</v>
      </c>
      <c r="S546" s="9"/>
      <c r="T546" s="18">
        <v>4</v>
      </c>
      <c r="U546" s="18">
        <v>4</v>
      </c>
      <c r="V546" s="9">
        <v>11.1</v>
      </c>
      <c r="Y546" s="9">
        <f t="shared" si="16"/>
        <v>919.93850658857968</v>
      </c>
      <c r="Z546" s="19" t="s">
        <v>73</v>
      </c>
      <c r="AA546" s="8" t="s">
        <v>211</v>
      </c>
      <c r="AB546" s="8" t="s">
        <v>75</v>
      </c>
      <c r="AC546" s="11" t="s">
        <v>76</v>
      </c>
      <c r="AD546" s="9" t="s">
        <v>91</v>
      </c>
      <c r="AE546" s="56">
        <f t="shared" si="17"/>
        <v>430.35384773999982</v>
      </c>
      <c r="AF546" s="14">
        <v>430.35384773999982</v>
      </c>
      <c r="AG546" s="13"/>
    </row>
    <row r="547" spans="1:41" x14ac:dyDescent="0.2">
      <c r="A547" s="5" t="s">
        <v>67</v>
      </c>
      <c r="B547" s="25">
        <v>43360</v>
      </c>
      <c r="C547" s="26">
        <v>0.66319444444444398</v>
      </c>
      <c r="D547" s="5" t="s">
        <v>108</v>
      </c>
      <c r="E547" s="5">
        <v>3</v>
      </c>
      <c r="F547" s="32">
        <v>62</v>
      </c>
      <c r="G547" s="9">
        <v>2</v>
      </c>
      <c r="H547" s="6">
        <v>3.2258064516129031E-2</v>
      </c>
      <c r="I547" s="7">
        <v>6.83E-2</v>
      </c>
      <c r="J547" s="9">
        <v>314.15899999999999</v>
      </c>
      <c r="K547" s="9">
        <v>0.68300000000000005</v>
      </c>
      <c r="L547" s="9">
        <v>10</v>
      </c>
      <c r="M547" s="14">
        <v>229.98462664714492</v>
      </c>
      <c r="N547" s="9">
        <v>1419</v>
      </c>
      <c r="O547" s="12" t="s">
        <v>94</v>
      </c>
      <c r="P547" s="12" t="s">
        <v>82</v>
      </c>
      <c r="Q547" s="9" t="s">
        <v>95</v>
      </c>
      <c r="R547" s="9" t="s">
        <v>96</v>
      </c>
      <c r="S547" s="9"/>
      <c r="T547" s="18">
        <v>383</v>
      </c>
      <c r="U547" s="18">
        <v>773</v>
      </c>
      <c r="V547" s="9">
        <v>0.8</v>
      </c>
      <c r="W547" s="9">
        <v>0.8</v>
      </c>
      <c r="X547" s="9">
        <v>0.8</v>
      </c>
      <c r="Y547" s="9">
        <f t="shared" si="16"/>
        <v>88084.112005856514</v>
      </c>
      <c r="Z547" s="19" t="s">
        <v>97</v>
      </c>
      <c r="AA547" s="8" t="s">
        <v>211</v>
      </c>
      <c r="AB547" s="8" t="s">
        <v>75</v>
      </c>
      <c r="AC547" s="11" t="s">
        <v>76</v>
      </c>
      <c r="AD547" s="9" t="s">
        <v>85</v>
      </c>
      <c r="AE547" s="56">
        <f t="shared" si="17"/>
        <v>0.17999999999999997</v>
      </c>
      <c r="AF547" s="14">
        <v>0.18</v>
      </c>
      <c r="AG547" s="14">
        <v>0.18</v>
      </c>
      <c r="AH547" s="14">
        <v>0.18</v>
      </c>
      <c r="AI547" s="14">
        <v>0.18</v>
      </c>
      <c r="AJ547" s="14">
        <v>0.18</v>
      </c>
      <c r="AK547" s="14">
        <v>0.18</v>
      </c>
      <c r="AL547" s="14">
        <v>0.18</v>
      </c>
      <c r="AM547" s="14">
        <v>0.18</v>
      </c>
      <c r="AN547" s="14">
        <v>0.18</v>
      </c>
      <c r="AO547" s="14">
        <v>0.18</v>
      </c>
    </row>
    <row r="548" spans="1:41" x14ac:dyDescent="0.2">
      <c r="A548" s="5" t="s">
        <v>67</v>
      </c>
      <c r="B548" s="25">
        <v>43360</v>
      </c>
      <c r="C548" s="26">
        <v>0.67708333333333304</v>
      </c>
      <c r="D548" s="5" t="s">
        <v>144</v>
      </c>
      <c r="E548" s="5"/>
      <c r="F548" s="32">
        <v>63</v>
      </c>
      <c r="G548" s="9">
        <v>2</v>
      </c>
      <c r="H548" s="6">
        <v>3.1746031746031744E-2</v>
      </c>
      <c r="I548" s="7">
        <v>6.83E-2</v>
      </c>
      <c r="J548" s="9">
        <v>314.15899999999999</v>
      </c>
      <c r="K548" s="9">
        <v>0.68300000000000005</v>
      </c>
      <c r="L548" s="9">
        <v>10</v>
      </c>
      <c r="M548" s="14">
        <v>229.98462664714492</v>
      </c>
      <c r="N548" s="9">
        <v>1037</v>
      </c>
      <c r="O548" s="12" t="s">
        <v>86</v>
      </c>
      <c r="P548" s="12" t="s">
        <v>82</v>
      </c>
      <c r="Q548" s="9" t="s">
        <v>87</v>
      </c>
      <c r="R548" s="9" t="s">
        <v>84</v>
      </c>
      <c r="S548" s="9"/>
      <c r="T548" s="18">
        <v>17</v>
      </c>
      <c r="U548" s="18">
        <v>17</v>
      </c>
      <c r="V548" s="9">
        <v>3.7</v>
      </c>
      <c r="Y548" s="9">
        <f t="shared" si="16"/>
        <v>3909.7386530014633</v>
      </c>
      <c r="Z548" s="19" t="s">
        <v>73</v>
      </c>
      <c r="AA548" s="8" t="s">
        <v>208</v>
      </c>
      <c r="AB548" s="8" t="s">
        <v>75</v>
      </c>
      <c r="AC548" s="11" t="s">
        <v>112</v>
      </c>
      <c r="AD548" s="9" t="s">
        <v>85</v>
      </c>
      <c r="AE548" s="56">
        <f t="shared" si="17"/>
        <v>7.2382233599999992</v>
      </c>
      <c r="AF548" s="14">
        <v>7.2382233599999992</v>
      </c>
      <c r="AG548" s="13"/>
    </row>
    <row r="549" spans="1:41" x14ac:dyDescent="0.2">
      <c r="A549" s="5" t="s">
        <v>67</v>
      </c>
      <c r="B549" s="25">
        <v>43360</v>
      </c>
      <c r="C549" s="26">
        <v>0.67708333333333304</v>
      </c>
      <c r="D549" s="5" t="s">
        <v>144</v>
      </c>
      <c r="E549" s="5"/>
      <c r="F549" s="32">
        <v>63</v>
      </c>
      <c r="G549" s="9">
        <v>2</v>
      </c>
      <c r="H549" s="6">
        <v>3.1746031746031744E-2</v>
      </c>
      <c r="I549" s="7">
        <v>6.83E-2</v>
      </c>
      <c r="J549" s="9">
        <v>314.15899999999999</v>
      </c>
      <c r="K549" s="9">
        <v>0.68300000000000005</v>
      </c>
      <c r="L549" s="9">
        <v>10</v>
      </c>
      <c r="M549" s="14">
        <v>229.98462664714492</v>
      </c>
      <c r="N549" s="9">
        <v>1364</v>
      </c>
      <c r="O549" s="12" t="s">
        <v>88</v>
      </c>
      <c r="P549" s="12" t="s">
        <v>82</v>
      </c>
      <c r="Q549" s="9" t="s">
        <v>89</v>
      </c>
      <c r="R549" s="9" t="s">
        <v>90</v>
      </c>
      <c r="S549" s="9"/>
      <c r="T549" s="18">
        <v>2</v>
      </c>
      <c r="U549" s="18">
        <v>2</v>
      </c>
      <c r="V549" s="9">
        <v>9.3000000000000007</v>
      </c>
      <c r="Y549" s="9">
        <f t="shared" si="16"/>
        <v>459.96925329428984</v>
      </c>
      <c r="Z549" s="19" t="s">
        <v>73</v>
      </c>
      <c r="AA549" s="8" t="s">
        <v>208</v>
      </c>
      <c r="AB549" s="8" t="s">
        <v>75</v>
      </c>
      <c r="AC549" s="11" t="s">
        <v>112</v>
      </c>
      <c r="AD549" s="9" t="s">
        <v>91</v>
      </c>
      <c r="AE549" s="56">
        <f t="shared" si="17"/>
        <v>337.38084788249995</v>
      </c>
      <c r="AF549" s="14">
        <v>337.38084788249995</v>
      </c>
      <c r="AG549" s="13"/>
    </row>
    <row r="550" spans="1:41" x14ac:dyDescent="0.2">
      <c r="A550" s="5" t="s">
        <v>67</v>
      </c>
      <c r="B550" s="25">
        <v>43360</v>
      </c>
      <c r="C550" s="26">
        <v>0.67708333333333304</v>
      </c>
      <c r="D550" s="5" t="s">
        <v>144</v>
      </c>
      <c r="E550" s="5"/>
      <c r="F550" s="32">
        <v>63</v>
      </c>
      <c r="G550" s="9">
        <v>2</v>
      </c>
      <c r="H550" s="6">
        <v>3.1746031746031744E-2</v>
      </c>
      <c r="I550" s="7">
        <v>6.83E-2</v>
      </c>
      <c r="J550" s="9">
        <v>314.15899999999999</v>
      </c>
      <c r="K550" s="9">
        <v>0.68300000000000005</v>
      </c>
      <c r="L550" s="9">
        <v>10</v>
      </c>
      <c r="M550" s="14">
        <v>229.98462664714492</v>
      </c>
      <c r="N550" s="9">
        <v>1733</v>
      </c>
      <c r="O550" s="12" t="s">
        <v>92</v>
      </c>
      <c r="P550" s="12" t="s">
        <v>82</v>
      </c>
      <c r="Q550" s="9" t="s">
        <v>89</v>
      </c>
      <c r="R550" s="9" t="s">
        <v>93</v>
      </c>
      <c r="S550" s="9"/>
      <c r="T550" s="18">
        <v>1</v>
      </c>
      <c r="U550" s="18">
        <v>1</v>
      </c>
      <c r="V550" s="9">
        <v>7.4</v>
      </c>
      <c r="Y550" s="9">
        <f t="shared" si="16"/>
        <v>229.98462664714492</v>
      </c>
      <c r="Z550" s="19" t="s">
        <v>73</v>
      </c>
      <c r="AA550" s="8" t="s">
        <v>208</v>
      </c>
      <c r="AB550" s="8" t="s">
        <v>75</v>
      </c>
      <c r="AC550" s="11" t="s">
        <v>112</v>
      </c>
      <c r="AD550" s="9" t="s">
        <v>91</v>
      </c>
      <c r="AE550" s="56">
        <f t="shared" si="17"/>
        <v>172.0334684</v>
      </c>
      <c r="AF550" s="14">
        <v>172.0334684</v>
      </c>
      <c r="AG550" s="13"/>
    </row>
    <row r="551" spans="1:41" x14ac:dyDescent="0.2">
      <c r="A551" s="5" t="s">
        <v>67</v>
      </c>
      <c r="B551" s="25">
        <v>43360</v>
      </c>
      <c r="C551" s="26">
        <v>0.67708333333333304</v>
      </c>
      <c r="D551" s="5" t="s">
        <v>144</v>
      </c>
      <c r="E551" s="5"/>
      <c r="F551" s="32">
        <v>63</v>
      </c>
      <c r="G551" s="9">
        <v>2</v>
      </c>
      <c r="H551" s="6">
        <v>3.1746031746031744E-2</v>
      </c>
      <c r="I551" s="7">
        <v>6.83E-2</v>
      </c>
      <c r="J551" s="9">
        <v>314.15899999999999</v>
      </c>
      <c r="K551" s="9">
        <v>0.68300000000000005</v>
      </c>
      <c r="L551" s="9">
        <v>10</v>
      </c>
      <c r="M551" s="14">
        <v>229.98462664714492</v>
      </c>
      <c r="N551" s="9">
        <v>1419</v>
      </c>
      <c r="O551" s="12" t="s">
        <v>94</v>
      </c>
      <c r="P551" s="12" t="s">
        <v>82</v>
      </c>
      <c r="Q551" s="9" t="s">
        <v>95</v>
      </c>
      <c r="R551" s="9" t="s">
        <v>96</v>
      </c>
      <c r="S551" s="9"/>
      <c r="T551" s="18">
        <v>389</v>
      </c>
      <c r="U551" s="18">
        <v>778</v>
      </c>
      <c r="V551" s="9">
        <v>0.8</v>
      </c>
      <c r="W551" s="9">
        <v>0.8</v>
      </c>
      <c r="X551" s="9">
        <v>0.8</v>
      </c>
      <c r="Y551" s="9">
        <f t="shared" si="16"/>
        <v>89464.019765739373</v>
      </c>
      <c r="Z551" s="19" t="s">
        <v>97</v>
      </c>
      <c r="AA551" s="8" t="s">
        <v>208</v>
      </c>
      <c r="AB551" s="8" t="s">
        <v>75</v>
      </c>
      <c r="AC551" s="11" t="s">
        <v>112</v>
      </c>
      <c r="AD551" s="9" t="s">
        <v>85</v>
      </c>
      <c r="AE551" s="56">
        <f t="shared" si="17"/>
        <v>0.17999999999999997</v>
      </c>
      <c r="AF551" s="14">
        <v>0.18</v>
      </c>
      <c r="AG551" s="14">
        <v>0.18</v>
      </c>
      <c r="AH551" s="14">
        <v>0.18</v>
      </c>
      <c r="AI551" s="14">
        <v>0.18</v>
      </c>
      <c r="AJ551" s="14">
        <v>0.18</v>
      </c>
      <c r="AK551" s="14">
        <v>0.18</v>
      </c>
      <c r="AL551" s="14">
        <v>0.18</v>
      </c>
      <c r="AM551" s="14">
        <v>0.18</v>
      </c>
      <c r="AN551" s="14">
        <v>0.18</v>
      </c>
      <c r="AO551" s="14">
        <v>0.18</v>
      </c>
    </row>
    <row r="552" spans="1:41" x14ac:dyDescent="0.2">
      <c r="A552" s="5" t="s">
        <v>67</v>
      </c>
      <c r="B552" s="25">
        <v>43360</v>
      </c>
      <c r="C552" s="26">
        <v>0.6875</v>
      </c>
      <c r="D552" s="5" t="s">
        <v>113</v>
      </c>
      <c r="E552" s="5"/>
      <c r="F552" s="32">
        <v>63</v>
      </c>
      <c r="G552" s="9">
        <v>2</v>
      </c>
      <c r="H552" s="6">
        <v>3.1746031746031744E-2</v>
      </c>
      <c r="I552" s="7">
        <v>6.83E-2</v>
      </c>
      <c r="J552" s="9">
        <v>314.15899999999999</v>
      </c>
      <c r="K552" s="9">
        <v>1.0245</v>
      </c>
      <c r="L552" s="9">
        <v>15</v>
      </c>
      <c r="M552" s="14">
        <v>153.32308443142998</v>
      </c>
      <c r="N552" s="9">
        <v>145</v>
      </c>
      <c r="O552" s="12" t="s">
        <v>69</v>
      </c>
      <c r="P552" s="8" t="s">
        <v>70</v>
      </c>
      <c r="Q552" s="9" t="s">
        <v>71</v>
      </c>
      <c r="R552" s="9" t="s">
        <v>72</v>
      </c>
      <c r="S552" s="9"/>
      <c r="T552" s="18">
        <v>1</v>
      </c>
      <c r="U552" s="18">
        <v>1</v>
      </c>
      <c r="V552" s="9">
        <v>27.8</v>
      </c>
      <c r="Y552" s="9">
        <f t="shared" si="16"/>
        <v>153.32308443142998</v>
      </c>
      <c r="Z552" s="19" t="s">
        <v>73</v>
      </c>
      <c r="AA552" s="8" t="s">
        <v>218</v>
      </c>
      <c r="AB552" s="8" t="s">
        <v>75</v>
      </c>
      <c r="AC552" s="11" t="s">
        <v>112</v>
      </c>
      <c r="AD552" s="9" t="s">
        <v>77</v>
      </c>
      <c r="AE552" s="56">
        <f t="shared" si="17"/>
        <v>1494.5407567249999</v>
      </c>
      <c r="AF552" s="14">
        <v>1494.5407567249999</v>
      </c>
      <c r="AG552" s="13"/>
    </row>
    <row r="553" spans="1:41" x14ac:dyDescent="0.2">
      <c r="A553" s="5" t="s">
        <v>67</v>
      </c>
      <c r="B553" s="25">
        <v>43360</v>
      </c>
      <c r="C553" s="26">
        <v>0.6875</v>
      </c>
      <c r="D553" s="5" t="s">
        <v>113</v>
      </c>
      <c r="E553" s="5"/>
      <c r="F553" s="32">
        <v>63</v>
      </c>
      <c r="G553" s="9">
        <v>2</v>
      </c>
      <c r="H553" s="6">
        <v>3.1746031746031744E-2</v>
      </c>
      <c r="I553" s="7">
        <v>6.83E-2</v>
      </c>
      <c r="J553" s="9">
        <v>314.15899999999999</v>
      </c>
      <c r="K553" s="9">
        <v>1.0245</v>
      </c>
      <c r="L553" s="9">
        <v>15</v>
      </c>
      <c r="M553" s="14">
        <v>153.32308443142998</v>
      </c>
      <c r="N553" s="9">
        <v>190</v>
      </c>
      <c r="O553" s="12" t="s">
        <v>102</v>
      </c>
      <c r="P553" s="8" t="s">
        <v>70</v>
      </c>
      <c r="Q553" s="9" t="s">
        <v>103</v>
      </c>
      <c r="R553" s="9" t="s">
        <v>84</v>
      </c>
      <c r="S553" s="9"/>
      <c r="T553" s="18">
        <v>2</v>
      </c>
      <c r="U553" s="18">
        <v>2</v>
      </c>
      <c r="V553" s="9">
        <v>4.5999999999999996</v>
      </c>
      <c r="Y553" s="9">
        <f t="shared" si="16"/>
        <v>306.64616886285995</v>
      </c>
      <c r="Z553" s="19" t="s">
        <v>73</v>
      </c>
      <c r="AA553" s="8" t="s">
        <v>218</v>
      </c>
      <c r="AB553" s="8" t="s">
        <v>75</v>
      </c>
      <c r="AC553" s="11" t="s">
        <v>112</v>
      </c>
      <c r="AD553" s="9" t="s">
        <v>104</v>
      </c>
      <c r="AE553" s="56">
        <f t="shared" si="17"/>
        <v>46.533231079999993</v>
      </c>
      <c r="AF553" s="14">
        <v>46.533231079999993</v>
      </c>
      <c r="AG553" s="13"/>
    </row>
    <row r="554" spans="1:41" x14ac:dyDescent="0.2">
      <c r="A554" s="5" t="s">
        <v>67</v>
      </c>
      <c r="B554" s="25">
        <v>43360</v>
      </c>
      <c r="C554" s="26">
        <v>0.6875</v>
      </c>
      <c r="D554" s="5" t="s">
        <v>113</v>
      </c>
      <c r="E554" s="5"/>
      <c r="F554" s="32">
        <v>63</v>
      </c>
      <c r="G554" s="9">
        <v>2</v>
      </c>
      <c r="H554" s="6">
        <v>3.1746031746031744E-2</v>
      </c>
      <c r="I554" s="7">
        <v>6.83E-2</v>
      </c>
      <c r="J554" s="9">
        <v>314.15899999999999</v>
      </c>
      <c r="K554" s="9">
        <v>1.0245</v>
      </c>
      <c r="L554" s="9">
        <v>15</v>
      </c>
      <c r="M554" s="14">
        <v>153.32308443142998</v>
      </c>
      <c r="N554" s="9">
        <v>1031</v>
      </c>
      <c r="O554" s="12" t="s">
        <v>81</v>
      </c>
      <c r="P554" s="12" t="s">
        <v>82</v>
      </c>
      <c r="Q554" s="9" t="s">
        <v>83</v>
      </c>
      <c r="R554" s="9" t="s">
        <v>84</v>
      </c>
      <c r="S554" s="9"/>
      <c r="T554" s="18">
        <v>3</v>
      </c>
      <c r="U554" s="18">
        <v>3</v>
      </c>
      <c r="V554" s="9">
        <v>5.6</v>
      </c>
      <c r="Y554" s="9">
        <f t="shared" si="16"/>
        <v>459.9692532942899</v>
      </c>
      <c r="Z554" s="19" t="s">
        <v>73</v>
      </c>
      <c r="AA554" s="8" t="s">
        <v>218</v>
      </c>
      <c r="AB554" s="8" t="s">
        <v>75</v>
      </c>
      <c r="AC554" s="11" t="s">
        <v>112</v>
      </c>
      <c r="AD554" s="9" t="s">
        <v>85</v>
      </c>
      <c r="AE554" s="56">
        <f t="shared" si="17"/>
        <v>50.286383933333333</v>
      </c>
      <c r="AF554" s="14">
        <v>50.286383933333333</v>
      </c>
      <c r="AG554" s="13"/>
    </row>
    <row r="555" spans="1:41" x14ac:dyDescent="0.2">
      <c r="A555" s="5" t="s">
        <v>67</v>
      </c>
      <c r="B555" s="25">
        <v>43360</v>
      </c>
      <c r="C555" s="26">
        <v>0.6875</v>
      </c>
      <c r="D555" s="5" t="s">
        <v>113</v>
      </c>
      <c r="E555" s="5"/>
      <c r="F555" s="32">
        <v>63</v>
      </c>
      <c r="G555" s="9">
        <v>2</v>
      </c>
      <c r="H555" s="6">
        <v>3.1746031746031744E-2</v>
      </c>
      <c r="I555" s="7">
        <v>6.83E-2</v>
      </c>
      <c r="J555" s="9">
        <v>314.15899999999999</v>
      </c>
      <c r="K555" s="9">
        <v>1.0245</v>
      </c>
      <c r="L555" s="9">
        <v>15</v>
      </c>
      <c r="M555" s="14">
        <v>153.32308443142998</v>
      </c>
      <c r="N555" s="9">
        <v>1037</v>
      </c>
      <c r="O555" s="12" t="s">
        <v>86</v>
      </c>
      <c r="P555" s="12" t="s">
        <v>82</v>
      </c>
      <c r="Q555" s="9" t="s">
        <v>87</v>
      </c>
      <c r="R555" s="9" t="s">
        <v>84</v>
      </c>
      <c r="S555" s="9"/>
      <c r="T555" s="18">
        <v>28</v>
      </c>
      <c r="U555" s="18">
        <v>28</v>
      </c>
      <c r="V555" s="9">
        <v>3.7</v>
      </c>
      <c r="Y555" s="9">
        <f t="shared" si="16"/>
        <v>4293.046364080039</v>
      </c>
      <c r="Z555" s="19" t="s">
        <v>73</v>
      </c>
      <c r="AA555" s="8" t="s">
        <v>218</v>
      </c>
      <c r="AB555" s="8" t="s">
        <v>75</v>
      </c>
      <c r="AC555" s="11" t="s">
        <v>112</v>
      </c>
      <c r="AD555" s="9" t="s">
        <v>85</v>
      </c>
      <c r="AE555" s="56">
        <f t="shared" si="17"/>
        <v>11.494030613333329</v>
      </c>
      <c r="AF555" s="14">
        <v>11.494030613333329</v>
      </c>
      <c r="AG555" s="13"/>
    </row>
    <row r="556" spans="1:41" x14ac:dyDescent="0.2">
      <c r="A556" s="5" t="s">
        <v>67</v>
      </c>
      <c r="B556" s="25">
        <v>43360</v>
      </c>
      <c r="C556" s="26">
        <v>0.6875</v>
      </c>
      <c r="D556" s="5" t="s">
        <v>113</v>
      </c>
      <c r="E556" s="5"/>
      <c r="F556" s="32">
        <v>63</v>
      </c>
      <c r="G556" s="9">
        <v>2</v>
      </c>
      <c r="H556" s="6">
        <v>3.1746031746031744E-2</v>
      </c>
      <c r="I556" s="7">
        <v>6.83E-2</v>
      </c>
      <c r="J556" s="9">
        <v>314.15899999999999</v>
      </c>
      <c r="K556" s="9">
        <v>1.0245</v>
      </c>
      <c r="L556" s="9">
        <v>15</v>
      </c>
      <c r="M556" s="14">
        <v>153.32308443142998</v>
      </c>
      <c r="N556" s="9">
        <v>1733</v>
      </c>
      <c r="O556" s="12" t="s">
        <v>92</v>
      </c>
      <c r="P556" s="12" t="s">
        <v>82</v>
      </c>
      <c r="Q556" s="9" t="s">
        <v>89</v>
      </c>
      <c r="R556" s="9" t="s">
        <v>93</v>
      </c>
      <c r="S556" s="9"/>
      <c r="T556" s="18">
        <v>1</v>
      </c>
      <c r="U556" s="18">
        <v>1</v>
      </c>
      <c r="V556" s="9">
        <v>5.6</v>
      </c>
      <c r="Y556" s="9">
        <f t="shared" si="16"/>
        <v>153.32308443142998</v>
      </c>
      <c r="Z556" s="19" t="s">
        <v>73</v>
      </c>
      <c r="AA556" s="8" t="s">
        <v>218</v>
      </c>
      <c r="AB556" s="8" t="s">
        <v>75</v>
      </c>
      <c r="AC556" s="11" t="s">
        <v>112</v>
      </c>
      <c r="AD556" s="9" t="s">
        <v>91</v>
      </c>
      <c r="AE556" s="56">
        <f t="shared" si="17"/>
        <v>76.353203359999995</v>
      </c>
      <c r="AF556" s="14">
        <v>76.353203359999995</v>
      </c>
      <c r="AG556" s="13"/>
    </row>
    <row r="557" spans="1:41" x14ac:dyDescent="0.2">
      <c r="A557" s="5" t="s">
        <v>67</v>
      </c>
      <c r="B557" s="25">
        <v>43360</v>
      </c>
      <c r="C557" s="26">
        <v>0.6875</v>
      </c>
      <c r="D557" s="5" t="s">
        <v>113</v>
      </c>
      <c r="E557" s="5"/>
      <c r="F557" s="32">
        <v>63</v>
      </c>
      <c r="G557" s="9">
        <v>2</v>
      </c>
      <c r="H557" s="6">
        <v>3.1746031746031744E-2</v>
      </c>
      <c r="I557" s="7">
        <v>6.83E-2</v>
      </c>
      <c r="J557" s="9">
        <v>314.15899999999999</v>
      </c>
      <c r="K557" s="9">
        <v>1.0245</v>
      </c>
      <c r="L557" s="9">
        <v>15</v>
      </c>
      <c r="M557" s="14">
        <v>153.32308443142998</v>
      </c>
      <c r="N557" s="9">
        <v>1419</v>
      </c>
      <c r="O557" s="12" t="s">
        <v>94</v>
      </c>
      <c r="P557" s="12" t="s">
        <v>82</v>
      </c>
      <c r="Q557" s="9" t="s">
        <v>95</v>
      </c>
      <c r="R557" s="9" t="s">
        <v>96</v>
      </c>
      <c r="S557" s="9"/>
      <c r="T557" s="18">
        <v>377</v>
      </c>
      <c r="U557" s="18">
        <v>755</v>
      </c>
      <c r="V557" s="9">
        <v>0.8</v>
      </c>
      <c r="W557" s="9">
        <v>0.8</v>
      </c>
      <c r="X557" s="9">
        <v>0.8</v>
      </c>
      <c r="Y557" s="9">
        <f t="shared" si="16"/>
        <v>57802.802830649096</v>
      </c>
      <c r="Z557" s="19" t="s">
        <v>97</v>
      </c>
      <c r="AA557" s="8" t="s">
        <v>218</v>
      </c>
      <c r="AB557" s="8" t="s">
        <v>75</v>
      </c>
      <c r="AC557" s="11" t="s">
        <v>112</v>
      </c>
      <c r="AD557" s="9" t="s">
        <v>85</v>
      </c>
      <c r="AE557" s="56">
        <f t="shared" si="17"/>
        <v>0.17999999999999997</v>
      </c>
      <c r="AF557" s="14">
        <v>0.18</v>
      </c>
      <c r="AG557" s="14">
        <v>0.18</v>
      </c>
      <c r="AH557" s="14">
        <v>0.18</v>
      </c>
      <c r="AI557" s="14">
        <v>0.18</v>
      </c>
      <c r="AJ557" s="14">
        <v>0.18</v>
      </c>
      <c r="AK557" s="14">
        <v>0.18</v>
      </c>
      <c r="AL557" s="14">
        <v>0.18</v>
      </c>
      <c r="AM557" s="14">
        <v>0.18</v>
      </c>
      <c r="AN557" s="14">
        <v>0.18</v>
      </c>
      <c r="AO557" s="14">
        <v>0.18</v>
      </c>
    </row>
    <row r="558" spans="1:41" x14ac:dyDescent="0.2">
      <c r="A558" s="5" t="s">
        <v>67</v>
      </c>
      <c r="B558" s="25">
        <v>43360</v>
      </c>
      <c r="C558" s="26">
        <v>0.71875</v>
      </c>
      <c r="D558" s="5" t="s">
        <v>209</v>
      </c>
      <c r="E558" s="5">
        <v>3</v>
      </c>
      <c r="F558" s="32">
        <v>59.5</v>
      </c>
      <c r="G558" s="9">
        <v>2</v>
      </c>
      <c r="H558" s="6">
        <v>3.3613445378151259E-2</v>
      </c>
      <c r="I558" s="7">
        <v>6.83E-2</v>
      </c>
      <c r="J558" s="9">
        <v>314.15899999999999</v>
      </c>
      <c r="K558" s="9">
        <v>1.5709</v>
      </c>
      <c r="L558" s="9">
        <v>23</v>
      </c>
      <c r="M558" s="14">
        <v>99.993315933541282</v>
      </c>
      <c r="N558" s="9">
        <v>145</v>
      </c>
      <c r="O558" s="12" t="s">
        <v>69</v>
      </c>
      <c r="P558" s="8" t="s">
        <v>70</v>
      </c>
      <c r="Q558" s="9" t="s">
        <v>71</v>
      </c>
      <c r="R558" s="9" t="s">
        <v>72</v>
      </c>
      <c r="S558" s="9"/>
      <c r="T558" s="18">
        <v>1</v>
      </c>
      <c r="U558" s="18">
        <v>1</v>
      </c>
      <c r="V558" s="9">
        <v>22.2</v>
      </c>
      <c r="Y558" s="9">
        <f t="shared" si="16"/>
        <v>99.993315933541282</v>
      </c>
      <c r="Z558" s="19" t="s">
        <v>73</v>
      </c>
      <c r="AA558" s="8" t="s">
        <v>210</v>
      </c>
      <c r="AB558" s="8" t="s">
        <v>75</v>
      </c>
      <c r="AC558" s="11" t="s">
        <v>112</v>
      </c>
      <c r="AD558" s="9" t="s">
        <v>77</v>
      </c>
      <c r="AE558" s="56">
        <f t="shared" si="17"/>
        <v>838.66315845000008</v>
      </c>
      <c r="AF558" s="14">
        <v>838.66315845000008</v>
      </c>
      <c r="AG558" s="13"/>
    </row>
    <row r="559" spans="1:41" x14ac:dyDescent="0.2">
      <c r="A559" s="5" t="s">
        <v>67</v>
      </c>
      <c r="B559" s="25">
        <v>43360</v>
      </c>
      <c r="C559" s="26">
        <v>0.71875</v>
      </c>
      <c r="D559" s="5" t="s">
        <v>209</v>
      </c>
      <c r="E559" s="5">
        <v>3</v>
      </c>
      <c r="F559" s="32">
        <v>59.5</v>
      </c>
      <c r="G559" s="9">
        <v>2</v>
      </c>
      <c r="H559" s="6">
        <v>3.3613445378151259E-2</v>
      </c>
      <c r="I559" s="7">
        <v>6.83E-2</v>
      </c>
      <c r="J559" s="9">
        <v>314.15899999999999</v>
      </c>
      <c r="K559" s="9">
        <v>1.5709</v>
      </c>
      <c r="L559" s="9">
        <v>23</v>
      </c>
      <c r="M559" s="14">
        <v>99.993315933541282</v>
      </c>
      <c r="N559" s="9">
        <v>1037</v>
      </c>
      <c r="O559" s="12" t="s">
        <v>86</v>
      </c>
      <c r="P559" s="12" t="s">
        <v>82</v>
      </c>
      <c r="Q559" s="9" t="s">
        <v>87</v>
      </c>
      <c r="R559" s="9" t="s">
        <v>84</v>
      </c>
      <c r="S559" s="9"/>
      <c r="T559" s="18">
        <v>17</v>
      </c>
      <c r="U559" s="18">
        <v>17</v>
      </c>
      <c r="V559" s="9">
        <v>2.8</v>
      </c>
      <c r="Y559" s="9">
        <f t="shared" si="16"/>
        <v>1699.8863708702017</v>
      </c>
      <c r="Z559" s="19" t="s">
        <v>73</v>
      </c>
      <c r="AA559" s="8" t="s">
        <v>210</v>
      </c>
      <c r="AB559" s="8" t="s">
        <v>75</v>
      </c>
      <c r="AC559" s="11" t="s">
        <v>112</v>
      </c>
      <c r="AD559" s="9" t="s">
        <v>85</v>
      </c>
      <c r="AE559" s="56">
        <f t="shared" si="17"/>
        <v>6.3706209216666645</v>
      </c>
      <c r="AF559" s="14">
        <v>6.3706209216666645</v>
      </c>
      <c r="AG559" s="13"/>
    </row>
    <row r="560" spans="1:41" x14ac:dyDescent="0.2">
      <c r="A560" s="5" t="s">
        <v>67</v>
      </c>
      <c r="B560" s="25">
        <v>43360</v>
      </c>
      <c r="C560" s="26">
        <v>0.71875</v>
      </c>
      <c r="D560" s="5" t="s">
        <v>209</v>
      </c>
      <c r="E560" s="5">
        <v>3</v>
      </c>
      <c r="F560" s="32">
        <v>59.5</v>
      </c>
      <c r="G560" s="9">
        <v>2</v>
      </c>
      <c r="H560" s="6">
        <v>3.3613445378151259E-2</v>
      </c>
      <c r="I560" s="7">
        <v>6.83E-2</v>
      </c>
      <c r="J560" s="9">
        <v>314.15899999999999</v>
      </c>
      <c r="K560" s="9">
        <v>1.5709</v>
      </c>
      <c r="L560" s="9">
        <v>23</v>
      </c>
      <c r="M560" s="14">
        <v>99.993315933541282</v>
      </c>
      <c r="N560" s="9">
        <v>1733</v>
      </c>
      <c r="O560" s="12" t="s">
        <v>92</v>
      </c>
      <c r="P560" s="12" t="s">
        <v>82</v>
      </c>
      <c r="Q560" s="9" t="s">
        <v>89</v>
      </c>
      <c r="R560" s="9" t="s">
        <v>93</v>
      </c>
      <c r="S560" s="9"/>
      <c r="T560" s="18">
        <v>3</v>
      </c>
      <c r="U560" s="18">
        <v>3</v>
      </c>
      <c r="V560" s="9">
        <v>7.4</v>
      </c>
      <c r="Y560" s="9">
        <f t="shared" si="16"/>
        <v>299.97994780062385</v>
      </c>
      <c r="Z560" s="19" t="s">
        <v>73</v>
      </c>
      <c r="AA560" s="8" t="s">
        <v>210</v>
      </c>
      <c r="AB560" s="8" t="s">
        <v>75</v>
      </c>
      <c r="AC560" s="11" t="s">
        <v>112</v>
      </c>
      <c r="AD560" s="9" t="s">
        <v>91</v>
      </c>
      <c r="AE560" s="56">
        <f t="shared" si="17"/>
        <v>99.629243670000008</v>
      </c>
      <c r="AF560" s="14">
        <v>99.629243670000008</v>
      </c>
      <c r="AG560" s="13"/>
    </row>
    <row r="561" spans="1:41" x14ac:dyDescent="0.2">
      <c r="A561" s="5" t="s">
        <v>67</v>
      </c>
      <c r="B561" s="25">
        <v>43360</v>
      </c>
      <c r="C561" s="26">
        <v>0.71875</v>
      </c>
      <c r="D561" s="5" t="s">
        <v>209</v>
      </c>
      <c r="E561" s="5">
        <v>3</v>
      </c>
      <c r="F561" s="32">
        <v>59.5</v>
      </c>
      <c r="G561" s="9">
        <v>2</v>
      </c>
      <c r="H561" s="6">
        <v>3.3613445378151259E-2</v>
      </c>
      <c r="I561" s="7">
        <v>6.83E-2</v>
      </c>
      <c r="J561" s="9">
        <v>314.15899999999999</v>
      </c>
      <c r="K561" s="9">
        <v>1.5709</v>
      </c>
      <c r="L561" s="9">
        <v>23</v>
      </c>
      <c r="M561" s="14">
        <v>99.993315933541282</v>
      </c>
      <c r="N561" s="9">
        <v>1365</v>
      </c>
      <c r="O561" s="8" t="s">
        <v>121</v>
      </c>
      <c r="P561" s="12" t="s">
        <v>82</v>
      </c>
      <c r="Q561" s="9" t="s">
        <v>122</v>
      </c>
      <c r="R561" s="9" t="s">
        <v>123</v>
      </c>
      <c r="S561" s="9"/>
      <c r="T561" s="18">
        <v>1</v>
      </c>
      <c r="U561" s="18">
        <v>1</v>
      </c>
      <c r="V561" s="9">
        <v>13</v>
      </c>
      <c r="Y561" s="9">
        <f t="shared" si="16"/>
        <v>99.993315933541282</v>
      </c>
      <c r="Z561" s="19" t="s">
        <v>73</v>
      </c>
      <c r="AA561" s="8" t="s">
        <v>210</v>
      </c>
      <c r="AB561" s="8" t="s">
        <v>75</v>
      </c>
      <c r="AC561" s="11" t="s">
        <v>112</v>
      </c>
      <c r="AD561" s="9" t="s">
        <v>91</v>
      </c>
      <c r="AE561" s="56">
        <f t="shared" si="17"/>
        <v>902.57880699999998</v>
      </c>
      <c r="AF561" s="14">
        <v>902.57880699999998</v>
      </c>
      <c r="AG561" s="13"/>
    </row>
    <row r="562" spans="1:41" x14ac:dyDescent="0.2">
      <c r="A562" s="5" t="s">
        <v>67</v>
      </c>
      <c r="B562" s="25">
        <v>43360</v>
      </c>
      <c r="C562" s="26">
        <v>0.71875</v>
      </c>
      <c r="D562" s="5" t="s">
        <v>209</v>
      </c>
      <c r="E562" s="5">
        <v>3</v>
      </c>
      <c r="F562" s="32">
        <v>59.5</v>
      </c>
      <c r="G562" s="9">
        <v>2</v>
      </c>
      <c r="H562" s="6">
        <v>3.3613445378151259E-2</v>
      </c>
      <c r="I562" s="7">
        <v>6.83E-2</v>
      </c>
      <c r="J562" s="9">
        <v>314.15899999999999</v>
      </c>
      <c r="K562" s="9">
        <v>1.5709</v>
      </c>
      <c r="L562" s="9">
        <v>23</v>
      </c>
      <c r="M562" s="14">
        <v>99.993315933541282</v>
      </c>
      <c r="N562" s="9">
        <v>1419</v>
      </c>
      <c r="O562" s="12" t="s">
        <v>94</v>
      </c>
      <c r="P562" s="12" t="s">
        <v>82</v>
      </c>
      <c r="Q562" s="9" t="s">
        <v>95</v>
      </c>
      <c r="R562" s="9" t="s">
        <v>96</v>
      </c>
      <c r="S562" s="9"/>
      <c r="T562" s="18">
        <v>389</v>
      </c>
      <c r="U562" s="18">
        <v>783</v>
      </c>
      <c r="V562" s="9">
        <v>0.8</v>
      </c>
      <c r="W562" s="9">
        <v>0.8</v>
      </c>
      <c r="X562" s="9">
        <v>0.8</v>
      </c>
      <c r="Y562" s="9">
        <f t="shared" si="16"/>
        <v>38897.39989814756</v>
      </c>
      <c r="Z562" s="19" t="s">
        <v>97</v>
      </c>
      <c r="AA562" s="8" t="s">
        <v>210</v>
      </c>
      <c r="AB562" s="8" t="s">
        <v>75</v>
      </c>
      <c r="AC562" s="11" t="s">
        <v>112</v>
      </c>
      <c r="AD562" s="9" t="s">
        <v>85</v>
      </c>
      <c r="AE562" s="56">
        <f t="shared" si="17"/>
        <v>0.17999999999999997</v>
      </c>
      <c r="AF562" s="14">
        <v>0.18</v>
      </c>
      <c r="AG562" s="14">
        <v>0.18</v>
      </c>
      <c r="AH562" s="14">
        <v>0.18</v>
      </c>
      <c r="AI562" s="14">
        <v>0.18</v>
      </c>
      <c r="AJ562" s="14">
        <v>0.18</v>
      </c>
      <c r="AK562" s="14">
        <v>0.18</v>
      </c>
      <c r="AL562" s="14">
        <v>0.18</v>
      </c>
      <c r="AM562" s="14">
        <v>0.18</v>
      </c>
      <c r="AN562" s="14">
        <v>0.18</v>
      </c>
      <c r="AO562" s="14">
        <v>0.18</v>
      </c>
    </row>
    <row r="563" spans="1:41" x14ac:dyDescent="0.2">
      <c r="A563" s="5" t="s">
        <v>67</v>
      </c>
      <c r="B563" s="25">
        <v>43360</v>
      </c>
      <c r="C563" s="26">
        <v>0.73611111111111105</v>
      </c>
      <c r="D563" s="5" t="s">
        <v>202</v>
      </c>
      <c r="E563" s="5">
        <v>3</v>
      </c>
      <c r="F563" s="32">
        <v>62.5</v>
      </c>
      <c r="G563" s="9">
        <v>2</v>
      </c>
      <c r="H563" s="6">
        <v>3.2000000000000001E-2</v>
      </c>
      <c r="I563" s="7">
        <v>6.83E-2</v>
      </c>
      <c r="J563" s="9">
        <v>314.15899999999999</v>
      </c>
      <c r="K563" s="9">
        <v>1.3660000000000001</v>
      </c>
      <c r="L563" s="9">
        <v>20</v>
      </c>
      <c r="M563" s="14">
        <v>114.99231332357246</v>
      </c>
      <c r="N563" s="9">
        <v>1037</v>
      </c>
      <c r="O563" s="12" t="s">
        <v>86</v>
      </c>
      <c r="P563" s="12" t="s">
        <v>82</v>
      </c>
      <c r="Q563" s="9" t="s">
        <v>87</v>
      </c>
      <c r="R563" s="9" t="s">
        <v>84</v>
      </c>
      <c r="S563" s="9"/>
      <c r="T563" s="18">
        <v>23</v>
      </c>
      <c r="U563" s="18">
        <v>23</v>
      </c>
      <c r="V563" s="9">
        <v>3.7</v>
      </c>
      <c r="Y563" s="9">
        <f t="shared" si="16"/>
        <v>2644.8232064421668</v>
      </c>
      <c r="Z563" s="19" t="s">
        <v>73</v>
      </c>
      <c r="AA563" s="8" t="s">
        <v>203</v>
      </c>
      <c r="AB563" s="8" t="s">
        <v>75</v>
      </c>
      <c r="AC563" s="11" t="s">
        <v>112</v>
      </c>
      <c r="AD563" s="9" t="s">
        <v>85</v>
      </c>
      <c r="AE563" s="56">
        <f t="shared" si="17"/>
        <v>11.494030613333329</v>
      </c>
      <c r="AF563" s="14">
        <v>11.494030613333329</v>
      </c>
      <c r="AG563" s="13"/>
    </row>
    <row r="564" spans="1:41" x14ac:dyDescent="0.2">
      <c r="A564" s="5" t="s">
        <v>67</v>
      </c>
      <c r="B564" s="25">
        <v>43360</v>
      </c>
      <c r="C564" s="26">
        <v>0.73611111111111105</v>
      </c>
      <c r="D564" s="5" t="s">
        <v>202</v>
      </c>
      <c r="E564" s="5">
        <v>3</v>
      </c>
      <c r="F564" s="32">
        <v>62.5</v>
      </c>
      <c r="G564" s="9">
        <v>2</v>
      </c>
      <c r="H564" s="6">
        <v>3.2000000000000001E-2</v>
      </c>
      <c r="I564" s="7">
        <v>6.83E-2</v>
      </c>
      <c r="J564" s="9">
        <v>314.15899999999999</v>
      </c>
      <c r="K564" s="9">
        <v>1.3660000000000001</v>
      </c>
      <c r="L564" s="9">
        <v>20</v>
      </c>
      <c r="M564" s="14">
        <v>114.99231332357246</v>
      </c>
      <c r="N564" s="9">
        <v>1352</v>
      </c>
      <c r="O564" s="12" t="s">
        <v>118</v>
      </c>
      <c r="P564" s="12" t="s">
        <v>82</v>
      </c>
      <c r="Q564" s="9" t="s">
        <v>119</v>
      </c>
      <c r="R564" s="9" t="s">
        <v>84</v>
      </c>
      <c r="S564" s="9"/>
      <c r="T564" s="18">
        <v>1</v>
      </c>
      <c r="U564" s="18">
        <v>1</v>
      </c>
      <c r="V564" s="9">
        <v>20.399999999999999</v>
      </c>
      <c r="Y564" s="9">
        <f t="shared" si="16"/>
        <v>114.99231332357246</v>
      </c>
      <c r="Z564" s="19" t="s">
        <v>73</v>
      </c>
      <c r="AA564" s="8" t="s">
        <v>203</v>
      </c>
      <c r="AB564" s="8" t="s">
        <v>75</v>
      </c>
      <c r="AC564" s="11" t="s">
        <v>112</v>
      </c>
      <c r="AD564" s="9" t="s">
        <v>120</v>
      </c>
      <c r="AE564" s="56">
        <f t="shared" si="17"/>
        <v>1316.0560332599996</v>
      </c>
      <c r="AF564" s="14">
        <v>1316.0560332599996</v>
      </c>
      <c r="AG564" s="13"/>
    </row>
    <row r="565" spans="1:41" x14ac:dyDescent="0.2">
      <c r="A565" s="5" t="s">
        <v>67</v>
      </c>
      <c r="B565" s="25">
        <v>43360</v>
      </c>
      <c r="C565" s="26">
        <v>0.73611111111111105</v>
      </c>
      <c r="D565" s="5" t="s">
        <v>202</v>
      </c>
      <c r="E565" s="5">
        <v>3</v>
      </c>
      <c r="F565" s="32">
        <v>62.5</v>
      </c>
      <c r="G565" s="9">
        <v>2</v>
      </c>
      <c r="H565" s="6">
        <v>3.2000000000000001E-2</v>
      </c>
      <c r="I565" s="7">
        <v>6.83E-2</v>
      </c>
      <c r="J565" s="9">
        <v>314.15899999999999</v>
      </c>
      <c r="K565" s="9">
        <v>1.3660000000000001</v>
      </c>
      <c r="L565" s="9">
        <v>20</v>
      </c>
      <c r="M565" s="14">
        <v>114.99231332357246</v>
      </c>
      <c r="N565" s="9">
        <v>1364</v>
      </c>
      <c r="O565" s="12" t="s">
        <v>88</v>
      </c>
      <c r="P565" s="12" t="s">
        <v>82</v>
      </c>
      <c r="Q565" s="9" t="s">
        <v>89</v>
      </c>
      <c r="R565" s="9" t="s">
        <v>90</v>
      </c>
      <c r="S565" s="9"/>
      <c r="T565" s="18">
        <v>1</v>
      </c>
      <c r="U565" s="18">
        <v>1</v>
      </c>
      <c r="V565" s="9">
        <v>8.1999999999999993</v>
      </c>
      <c r="Y565" s="9">
        <f t="shared" si="16"/>
        <v>114.99231332357246</v>
      </c>
      <c r="Z565" s="19" t="s">
        <v>73</v>
      </c>
      <c r="AA565" s="8" t="s">
        <v>203</v>
      </c>
      <c r="AB565" s="8" t="s">
        <v>75</v>
      </c>
      <c r="AC565" s="11" t="s">
        <v>112</v>
      </c>
      <c r="AD565" s="9" t="s">
        <v>91</v>
      </c>
      <c r="AE565" s="56">
        <f t="shared" si="17"/>
        <v>242.92658833999991</v>
      </c>
      <c r="AF565" s="14">
        <v>242.92658833999991</v>
      </c>
      <c r="AG565" s="13"/>
    </row>
    <row r="566" spans="1:41" x14ac:dyDescent="0.2">
      <c r="A566" s="5" t="s">
        <v>67</v>
      </c>
      <c r="B566" s="25">
        <v>43360</v>
      </c>
      <c r="C566" s="26">
        <v>0.73611111111111105</v>
      </c>
      <c r="D566" s="5" t="s">
        <v>202</v>
      </c>
      <c r="E566" s="5">
        <v>3</v>
      </c>
      <c r="F566" s="32">
        <v>62.5</v>
      </c>
      <c r="G566" s="9">
        <v>2</v>
      </c>
      <c r="H566" s="6">
        <v>3.2000000000000001E-2</v>
      </c>
      <c r="I566" s="7">
        <v>6.83E-2</v>
      </c>
      <c r="J566" s="9">
        <v>314.15899999999999</v>
      </c>
      <c r="K566" s="9">
        <v>1.3660000000000001</v>
      </c>
      <c r="L566" s="9">
        <v>20</v>
      </c>
      <c r="M566" s="14">
        <v>114.99231332357246</v>
      </c>
      <c r="N566" s="9">
        <v>1419</v>
      </c>
      <c r="O566" s="12" t="s">
        <v>94</v>
      </c>
      <c r="P566" s="12" t="s">
        <v>82</v>
      </c>
      <c r="Q566" s="9" t="s">
        <v>95</v>
      </c>
      <c r="R566" s="9" t="s">
        <v>96</v>
      </c>
      <c r="S566" s="9"/>
      <c r="T566" s="18">
        <v>387</v>
      </c>
      <c r="U566" s="18">
        <v>777</v>
      </c>
      <c r="V566" s="9">
        <v>0.8</v>
      </c>
      <c r="W566" s="9">
        <v>0.8</v>
      </c>
      <c r="X566" s="9">
        <v>0.8</v>
      </c>
      <c r="Y566" s="9">
        <f t="shared" si="16"/>
        <v>44502.025256222543</v>
      </c>
      <c r="Z566" s="19" t="s">
        <v>97</v>
      </c>
      <c r="AA566" s="8" t="s">
        <v>203</v>
      </c>
      <c r="AB566" s="8" t="s">
        <v>75</v>
      </c>
      <c r="AC566" s="11" t="s">
        <v>112</v>
      </c>
      <c r="AD566" s="9" t="s">
        <v>85</v>
      </c>
      <c r="AE566" s="56">
        <f t="shared" si="17"/>
        <v>0.17999999999999997</v>
      </c>
      <c r="AF566" s="14">
        <v>0.18</v>
      </c>
      <c r="AG566" s="14">
        <v>0.18</v>
      </c>
      <c r="AH566" s="14">
        <v>0.18</v>
      </c>
      <c r="AI566" s="14">
        <v>0.18</v>
      </c>
      <c r="AJ566" s="14">
        <v>0.18</v>
      </c>
      <c r="AK566" s="14">
        <v>0.18</v>
      </c>
      <c r="AL566" s="14">
        <v>0.18</v>
      </c>
      <c r="AM566" s="14">
        <v>0.18</v>
      </c>
      <c r="AN566" s="14">
        <v>0.18</v>
      </c>
      <c r="AO566" s="14">
        <v>0.18</v>
      </c>
    </row>
    <row r="567" spans="1:41" x14ac:dyDescent="0.2">
      <c r="A567" s="5" t="s">
        <v>67</v>
      </c>
      <c r="B567" s="25">
        <v>43360</v>
      </c>
      <c r="C567" s="26">
        <v>0.75</v>
      </c>
      <c r="D567" s="5" t="s">
        <v>204</v>
      </c>
      <c r="E567" s="5"/>
      <c r="F567" s="32">
        <v>62</v>
      </c>
      <c r="G567" s="9">
        <v>2</v>
      </c>
      <c r="H567" s="6">
        <v>3.2258064516129031E-2</v>
      </c>
      <c r="I567" s="7">
        <v>6.83E-2</v>
      </c>
      <c r="J567" s="9">
        <v>314.15899999999999</v>
      </c>
      <c r="K567" s="9">
        <v>0.61470000000000002</v>
      </c>
      <c r="L567" s="9">
        <v>9</v>
      </c>
      <c r="M567" s="14">
        <v>255.53847405238326</v>
      </c>
      <c r="N567" s="9">
        <v>749</v>
      </c>
      <c r="O567" s="12" t="s">
        <v>190</v>
      </c>
      <c r="P567" s="8" t="s">
        <v>70</v>
      </c>
      <c r="Q567" s="9" t="s">
        <v>191</v>
      </c>
      <c r="R567" s="9" t="s">
        <v>84</v>
      </c>
      <c r="S567" s="9"/>
      <c r="T567" s="18">
        <v>1</v>
      </c>
      <c r="U567" s="18">
        <v>1</v>
      </c>
      <c r="V567" s="9">
        <v>18.5</v>
      </c>
      <c r="Y567" s="9">
        <f t="shared" si="16"/>
        <v>255.53847405238326</v>
      </c>
      <c r="Z567" s="19" t="s">
        <v>73</v>
      </c>
      <c r="AA567" s="8" t="s">
        <v>205</v>
      </c>
      <c r="AB567" s="8" t="s">
        <v>75</v>
      </c>
      <c r="AC567" s="11" t="s">
        <v>112</v>
      </c>
      <c r="AD567" s="9" t="s">
        <v>193</v>
      </c>
      <c r="AE567" s="56">
        <f t="shared" si="17"/>
        <v>157.435</v>
      </c>
      <c r="AF567" s="14">
        <v>157.435</v>
      </c>
      <c r="AG567" s="13"/>
    </row>
    <row r="568" spans="1:41" x14ac:dyDescent="0.2">
      <c r="A568" s="5" t="s">
        <v>67</v>
      </c>
      <c r="B568" s="25">
        <v>43360</v>
      </c>
      <c r="C568" s="26">
        <v>0.75</v>
      </c>
      <c r="D568" s="5" t="s">
        <v>204</v>
      </c>
      <c r="E568" s="5"/>
      <c r="F568" s="32">
        <v>62</v>
      </c>
      <c r="G568" s="9">
        <v>2</v>
      </c>
      <c r="H568" s="6">
        <v>3.2258064516129031E-2</v>
      </c>
      <c r="I568" s="7">
        <v>6.83E-2</v>
      </c>
      <c r="J568" s="9">
        <v>314.15899999999999</v>
      </c>
      <c r="K568" s="9">
        <v>0.61470000000000002</v>
      </c>
      <c r="L568" s="9">
        <v>9</v>
      </c>
      <c r="M568" s="14">
        <v>255.53847405238326</v>
      </c>
      <c r="N568" s="9">
        <v>1031</v>
      </c>
      <c r="O568" s="12" t="s">
        <v>81</v>
      </c>
      <c r="P568" s="12" t="s">
        <v>82</v>
      </c>
      <c r="Q568" s="9" t="s">
        <v>83</v>
      </c>
      <c r="R568" s="9" t="s">
        <v>84</v>
      </c>
      <c r="S568" s="9"/>
      <c r="T568" s="18">
        <v>3</v>
      </c>
      <c r="U568" s="18">
        <v>3</v>
      </c>
      <c r="V568" s="9">
        <v>7.4</v>
      </c>
      <c r="Y568" s="9">
        <f t="shared" si="16"/>
        <v>766.61542215714974</v>
      </c>
      <c r="Z568" s="19" t="s">
        <v>73</v>
      </c>
      <c r="AA568" s="8" t="s">
        <v>205</v>
      </c>
      <c r="AB568" s="8" t="s">
        <v>75</v>
      </c>
      <c r="AC568" s="11" t="s">
        <v>112</v>
      </c>
      <c r="AD568" s="9" t="s">
        <v>85</v>
      </c>
      <c r="AE568" s="56">
        <f t="shared" si="17"/>
        <v>102.93314915333333</v>
      </c>
      <c r="AF568" s="14">
        <v>102.93314915333333</v>
      </c>
      <c r="AG568" s="13"/>
    </row>
    <row r="569" spans="1:41" x14ac:dyDescent="0.2">
      <c r="A569" s="5" t="s">
        <v>67</v>
      </c>
      <c r="B569" s="25">
        <v>43360</v>
      </c>
      <c r="C569" s="26">
        <v>0.75</v>
      </c>
      <c r="D569" s="5" t="s">
        <v>204</v>
      </c>
      <c r="E569" s="5"/>
      <c r="F569" s="32">
        <v>62</v>
      </c>
      <c r="G569" s="9">
        <v>2</v>
      </c>
      <c r="H569" s="6">
        <v>3.2258064516129031E-2</v>
      </c>
      <c r="I569" s="7">
        <v>6.83E-2</v>
      </c>
      <c r="J569" s="9">
        <v>314.15899999999999</v>
      </c>
      <c r="K569" s="9">
        <v>0.61470000000000002</v>
      </c>
      <c r="L569" s="9">
        <v>9</v>
      </c>
      <c r="M569" s="14">
        <v>255.53847405238326</v>
      </c>
      <c r="N569" s="9">
        <v>1037</v>
      </c>
      <c r="O569" s="12" t="s">
        <v>86</v>
      </c>
      <c r="P569" s="12" t="s">
        <v>82</v>
      </c>
      <c r="Q569" s="9" t="s">
        <v>87</v>
      </c>
      <c r="R569" s="9" t="s">
        <v>84</v>
      </c>
      <c r="S569" s="9"/>
      <c r="T569" s="18">
        <v>20</v>
      </c>
      <c r="U569" s="18">
        <v>20</v>
      </c>
      <c r="V569" s="9">
        <v>2.8</v>
      </c>
      <c r="Y569" s="9">
        <f t="shared" si="16"/>
        <v>5110.769481047666</v>
      </c>
      <c r="Z569" s="19" t="s">
        <v>73</v>
      </c>
      <c r="AA569" s="8" t="s">
        <v>205</v>
      </c>
      <c r="AB569" s="8" t="s">
        <v>75</v>
      </c>
      <c r="AC569" s="11" t="s">
        <v>112</v>
      </c>
      <c r="AD569" s="9" t="s">
        <v>85</v>
      </c>
      <c r="AE569" s="56">
        <f t="shared" si="17"/>
        <v>11.494030613333329</v>
      </c>
      <c r="AF569" s="14">
        <v>11.494030613333329</v>
      </c>
      <c r="AG569" s="13"/>
    </row>
    <row r="570" spans="1:41" x14ac:dyDescent="0.2">
      <c r="A570" s="5" t="s">
        <v>67</v>
      </c>
      <c r="B570" s="25">
        <v>43360</v>
      </c>
      <c r="C570" s="26">
        <v>0.75</v>
      </c>
      <c r="D570" s="5" t="s">
        <v>204</v>
      </c>
      <c r="E570" s="5"/>
      <c r="F570" s="32">
        <v>62</v>
      </c>
      <c r="G570" s="9">
        <v>2</v>
      </c>
      <c r="H570" s="6">
        <v>3.2258064516129031E-2</v>
      </c>
      <c r="I570" s="7">
        <v>6.83E-2</v>
      </c>
      <c r="J570" s="9">
        <v>314.15899999999999</v>
      </c>
      <c r="K570" s="9">
        <v>0.61470000000000002</v>
      </c>
      <c r="L570" s="9">
        <v>9</v>
      </c>
      <c r="M570" s="14">
        <v>255.53847405238326</v>
      </c>
      <c r="N570" s="9">
        <v>1806</v>
      </c>
      <c r="O570" s="12" t="s">
        <v>206</v>
      </c>
      <c r="P570" s="12" t="s">
        <v>82</v>
      </c>
      <c r="Q570" s="9" t="s">
        <v>207</v>
      </c>
      <c r="R570" s="9" t="s">
        <v>84</v>
      </c>
      <c r="S570" s="9"/>
      <c r="T570" s="18">
        <v>2</v>
      </c>
      <c r="U570" s="18">
        <v>2</v>
      </c>
      <c r="V570" s="9">
        <v>2.8</v>
      </c>
      <c r="Y570" s="9">
        <f t="shared" si="16"/>
        <v>511.07694810476653</v>
      </c>
      <c r="Z570" s="19" t="s">
        <v>73</v>
      </c>
      <c r="AA570" s="8" t="s">
        <v>205</v>
      </c>
      <c r="AB570" s="8" t="s">
        <v>75</v>
      </c>
      <c r="AC570" s="11" t="s">
        <v>112</v>
      </c>
      <c r="AD570" s="9" t="s">
        <v>120</v>
      </c>
      <c r="AE570" s="56">
        <f t="shared" si="17"/>
        <v>11.494030613333329</v>
      </c>
      <c r="AF570" s="14">
        <v>11.494030613333329</v>
      </c>
      <c r="AG570" s="13"/>
    </row>
    <row r="571" spans="1:41" x14ac:dyDescent="0.2">
      <c r="A571" s="5" t="s">
        <v>67</v>
      </c>
      <c r="B571" s="25">
        <v>43360</v>
      </c>
      <c r="C571" s="26">
        <v>0.75</v>
      </c>
      <c r="D571" s="5" t="s">
        <v>204</v>
      </c>
      <c r="E571" s="5"/>
      <c r="F571" s="32">
        <v>62</v>
      </c>
      <c r="G571" s="9">
        <v>2</v>
      </c>
      <c r="H571" s="6">
        <v>3.2258064516129031E-2</v>
      </c>
      <c r="I571" s="7">
        <v>6.83E-2</v>
      </c>
      <c r="J571" s="9">
        <v>314.15899999999999</v>
      </c>
      <c r="K571" s="9">
        <v>0.61470000000000002</v>
      </c>
      <c r="L571" s="9">
        <v>9</v>
      </c>
      <c r="M571" s="14">
        <v>255.53847405238326</v>
      </c>
      <c r="N571" s="9">
        <v>1692</v>
      </c>
      <c r="O571" s="8" t="s">
        <v>179</v>
      </c>
      <c r="P571" s="12" t="s">
        <v>82</v>
      </c>
      <c r="Q571" s="9" t="s">
        <v>180</v>
      </c>
      <c r="R571" s="9" t="s">
        <v>84</v>
      </c>
      <c r="S571" s="9"/>
      <c r="T571" s="18">
        <v>2</v>
      </c>
      <c r="U571" s="18">
        <v>2</v>
      </c>
      <c r="V571" s="9">
        <v>5.6</v>
      </c>
      <c r="Y571" s="9">
        <f t="shared" si="16"/>
        <v>511.07694810476653</v>
      </c>
      <c r="Z571" s="19" t="s">
        <v>73</v>
      </c>
      <c r="AA571" s="8" t="s">
        <v>205</v>
      </c>
      <c r="AB571" s="8" t="s">
        <v>75</v>
      </c>
      <c r="AC571" s="11" t="s">
        <v>112</v>
      </c>
      <c r="AD571" s="9" t="s">
        <v>120</v>
      </c>
      <c r="AE571" s="56">
        <f t="shared" si="17"/>
        <v>51.723137759999993</v>
      </c>
      <c r="AF571" s="14">
        <v>51.723137759999993</v>
      </c>
      <c r="AG571" s="13"/>
    </row>
    <row r="572" spans="1:41" x14ac:dyDescent="0.2">
      <c r="A572" s="5" t="s">
        <v>67</v>
      </c>
      <c r="B572" s="25">
        <v>43360</v>
      </c>
      <c r="C572" s="26">
        <v>0.75</v>
      </c>
      <c r="D572" s="5" t="s">
        <v>204</v>
      </c>
      <c r="E572" s="5"/>
      <c r="F572" s="32">
        <v>62</v>
      </c>
      <c r="G572" s="9">
        <v>2</v>
      </c>
      <c r="H572" s="6">
        <v>3.2258064516129031E-2</v>
      </c>
      <c r="I572" s="7">
        <v>6.83E-2</v>
      </c>
      <c r="J572" s="9">
        <v>314.15899999999999</v>
      </c>
      <c r="K572" s="9">
        <v>0.61470000000000002</v>
      </c>
      <c r="L572" s="9">
        <v>9</v>
      </c>
      <c r="M572" s="14">
        <v>255.53847405238326</v>
      </c>
      <c r="N572" s="9">
        <v>1364</v>
      </c>
      <c r="O572" s="12" t="s">
        <v>88</v>
      </c>
      <c r="P572" s="12" t="s">
        <v>82</v>
      </c>
      <c r="Q572" s="9" t="s">
        <v>89</v>
      </c>
      <c r="R572" s="9" t="s">
        <v>90</v>
      </c>
      <c r="S572" s="9"/>
      <c r="T572" s="18">
        <v>2</v>
      </c>
      <c r="U572" s="18">
        <v>2</v>
      </c>
      <c r="V572" s="9">
        <v>9.3000000000000007</v>
      </c>
      <c r="Y572" s="9">
        <f t="shared" si="16"/>
        <v>511.07694810476653</v>
      </c>
      <c r="Z572" s="19" t="s">
        <v>73</v>
      </c>
      <c r="AA572" s="8" t="s">
        <v>205</v>
      </c>
      <c r="AB572" s="8" t="s">
        <v>75</v>
      </c>
      <c r="AC572" s="11" t="s">
        <v>112</v>
      </c>
      <c r="AD572" s="9" t="s">
        <v>91</v>
      </c>
      <c r="AE572" s="56">
        <f t="shared" si="17"/>
        <v>337.38084788249995</v>
      </c>
      <c r="AF572" s="14">
        <v>337.38084788249995</v>
      </c>
      <c r="AG572" s="13"/>
    </row>
    <row r="573" spans="1:41" x14ac:dyDescent="0.2">
      <c r="A573" s="5" t="s">
        <v>67</v>
      </c>
      <c r="B573" s="25">
        <v>43360</v>
      </c>
      <c r="C573" s="26">
        <v>0.75</v>
      </c>
      <c r="D573" s="5" t="s">
        <v>204</v>
      </c>
      <c r="E573" s="5"/>
      <c r="F573" s="32">
        <v>62</v>
      </c>
      <c r="G573" s="9">
        <v>2</v>
      </c>
      <c r="H573" s="6">
        <v>3.2258064516129031E-2</v>
      </c>
      <c r="I573" s="7">
        <v>6.83E-2</v>
      </c>
      <c r="J573" s="9">
        <v>314.15899999999999</v>
      </c>
      <c r="K573" s="9">
        <v>0.61470000000000002</v>
      </c>
      <c r="L573" s="9">
        <v>9</v>
      </c>
      <c r="M573" s="14">
        <v>255.53847405238326</v>
      </c>
      <c r="N573" s="9">
        <v>1419</v>
      </c>
      <c r="O573" s="12" t="s">
        <v>94</v>
      </c>
      <c r="P573" s="12" t="s">
        <v>82</v>
      </c>
      <c r="Q573" s="9" t="s">
        <v>95</v>
      </c>
      <c r="R573" s="9" t="s">
        <v>96</v>
      </c>
      <c r="S573" s="9"/>
      <c r="T573" s="18">
        <v>388</v>
      </c>
      <c r="U573" s="18">
        <v>781</v>
      </c>
      <c r="V573" s="9">
        <v>0.8</v>
      </c>
      <c r="W573" s="9">
        <v>0.8</v>
      </c>
      <c r="X573" s="9">
        <v>0.8</v>
      </c>
      <c r="Y573" s="9">
        <f t="shared" si="16"/>
        <v>99148.927932324703</v>
      </c>
      <c r="Z573" s="19" t="s">
        <v>97</v>
      </c>
      <c r="AA573" s="8" t="s">
        <v>205</v>
      </c>
      <c r="AB573" s="8" t="s">
        <v>75</v>
      </c>
      <c r="AC573" s="11" t="s">
        <v>112</v>
      </c>
      <c r="AD573" s="9" t="s">
        <v>85</v>
      </c>
      <c r="AE573" s="56">
        <f t="shared" si="17"/>
        <v>0.17999999999999997</v>
      </c>
      <c r="AF573" s="14">
        <v>0.18</v>
      </c>
      <c r="AG573" s="14">
        <v>0.18</v>
      </c>
      <c r="AH573" s="14">
        <v>0.18</v>
      </c>
      <c r="AI573" s="14">
        <v>0.18</v>
      </c>
      <c r="AJ573" s="14">
        <v>0.18</v>
      </c>
      <c r="AK573" s="14">
        <v>0.18</v>
      </c>
      <c r="AL573" s="14">
        <v>0.18</v>
      </c>
      <c r="AM573" s="14">
        <v>0.18</v>
      </c>
      <c r="AN573" s="14">
        <v>0.18</v>
      </c>
      <c r="AO573" s="14">
        <v>0.18</v>
      </c>
    </row>
    <row r="574" spans="1:41" x14ac:dyDescent="0.2">
      <c r="A574" s="5" t="s">
        <v>67</v>
      </c>
      <c r="B574" s="25">
        <v>43360</v>
      </c>
      <c r="C574" s="26">
        <v>0.75</v>
      </c>
      <c r="D574" s="5" t="s">
        <v>204</v>
      </c>
      <c r="E574" s="5"/>
      <c r="F574" s="32">
        <v>62</v>
      </c>
      <c r="G574" s="9">
        <v>2</v>
      </c>
      <c r="H574" s="6">
        <v>3.2258064516129031E-2</v>
      </c>
      <c r="I574" s="7">
        <v>6.83E-2</v>
      </c>
      <c r="J574" s="9">
        <v>314.15899999999999</v>
      </c>
      <c r="K574" s="9">
        <v>0.61470000000000002</v>
      </c>
      <c r="L574" s="9">
        <v>9</v>
      </c>
      <c r="M574" s="14">
        <v>255.53847405238326</v>
      </c>
      <c r="N574" s="9">
        <v>1423</v>
      </c>
      <c r="O574" s="12" t="s">
        <v>163</v>
      </c>
      <c r="P574" s="12" t="s">
        <v>82</v>
      </c>
      <c r="Q574" s="9" t="s">
        <v>95</v>
      </c>
      <c r="R574" s="9" t="s">
        <v>84</v>
      </c>
      <c r="S574" s="9"/>
      <c r="T574" s="18">
        <v>1</v>
      </c>
      <c r="U574" s="18">
        <v>3</v>
      </c>
      <c r="V574" s="9">
        <v>1.9</v>
      </c>
      <c r="Y574" s="9">
        <f t="shared" si="16"/>
        <v>255.53847405238326</v>
      </c>
      <c r="Z574" s="19" t="s">
        <v>97</v>
      </c>
      <c r="AA574" s="8" t="s">
        <v>205</v>
      </c>
      <c r="AB574" s="8" t="s">
        <v>75</v>
      </c>
      <c r="AC574" s="11" t="s">
        <v>112</v>
      </c>
      <c r="AD574" s="9" t="s">
        <v>85</v>
      </c>
      <c r="AE574" s="56">
        <f t="shared" si="17"/>
        <v>3.5913609683333325</v>
      </c>
      <c r="AF574" s="14">
        <v>3.5913609683333325</v>
      </c>
      <c r="AG574" s="13"/>
    </row>
    <row r="575" spans="1:41" x14ac:dyDescent="0.2">
      <c r="A575" s="5" t="s">
        <v>67</v>
      </c>
      <c r="B575" s="25">
        <v>43360</v>
      </c>
      <c r="C575" s="26">
        <v>0.75694444444444497</v>
      </c>
      <c r="D575" s="5" t="s">
        <v>194</v>
      </c>
      <c r="E575" s="5"/>
      <c r="F575" s="32">
        <v>63.5</v>
      </c>
      <c r="G575" s="9">
        <v>2</v>
      </c>
      <c r="H575" s="6">
        <v>3.1496062992125984E-2</v>
      </c>
      <c r="I575" s="7">
        <v>6.83E-2</v>
      </c>
      <c r="J575" s="9">
        <v>314.15899999999999</v>
      </c>
      <c r="K575" s="9">
        <v>0.88790000000000002</v>
      </c>
      <c r="L575" s="9">
        <v>13</v>
      </c>
      <c r="M575" s="14">
        <v>176.91125126703457</v>
      </c>
      <c r="N575" s="9">
        <v>46</v>
      </c>
      <c r="O575" s="12" t="s">
        <v>109</v>
      </c>
      <c r="P575" s="8" t="s">
        <v>70</v>
      </c>
      <c r="Q575" s="9" t="s">
        <v>110</v>
      </c>
      <c r="R575" s="9" t="s">
        <v>84</v>
      </c>
      <c r="S575" s="9"/>
      <c r="T575" s="18">
        <v>3</v>
      </c>
      <c r="U575" s="18">
        <v>3</v>
      </c>
      <c r="V575" s="9">
        <v>11.1</v>
      </c>
      <c r="Y575" s="9">
        <f t="shared" si="16"/>
        <v>530.73375380110372</v>
      </c>
      <c r="Z575" s="19" t="s">
        <v>73</v>
      </c>
      <c r="AA575" s="8" t="s">
        <v>195</v>
      </c>
      <c r="AB575" s="8" t="s">
        <v>75</v>
      </c>
      <c r="AC575" s="11" t="s">
        <v>115</v>
      </c>
      <c r="AD575" s="9" t="s">
        <v>77</v>
      </c>
      <c r="AE575" s="56">
        <f t="shared" si="17"/>
        <v>74.022143580000005</v>
      </c>
      <c r="AF575" s="14">
        <v>74.022143580000005</v>
      </c>
      <c r="AG575" s="13"/>
    </row>
    <row r="576" spans="1:41" x14ac:dyDescent="0.2">
      <c r="A576" s="5" t="s">
        <v>67</v>
      </c>
      <c r="B576" s="25">
        <v>43360</v>
      </c>
      <c r="C576" s="26">
        <v>0.75694444444444497</v>
      </c>
      <c r="D576" s="5" t="s">
        <v>194</v>
      </c>
      <c r="E576" s="5"/>
      <c r="F576" s="32">
        <v>63.5</v>
      </c>
      <c r="G576" s="9">
        <v>2</v>
      </c>
      <c r="H576" s="6">
        <v>3.1496062992125984E-2</v>
      </c>
      <c r="I576" s="7">
        <v>6.83E-2</v>
      </c>
      <c r="J576" s="9">
        <v>314.15899999999999</v>
      </c>
      <c r="K576" s="9">
        <v>0.88790000000000002</v>
      </c>
      <c r="L576" s="9">
        <v>13</v>
      </c>
      <c r="M576" s="14">
        <v>176.91125126703457</v>
      </c>
      <c r="N576" s="9">
        <v>1037</v>
      </c>
      <c r="O576" s="12" t="s">
        <v>86</v>
      </c>
      <c r="P576" s="12" t="s">
        <v>82</v>
      </c>
      <c r="Q576" s="9" t="s">
        <v>87</v>
      </c>
      <c r="R576" s="9" t="s">
        <v>84</v>
      </c>
      <c r="S576" s="9"/>
      <c r="T576" s="18">
        <v>12</v>
      </c>
      <c r="U576" s="18">
        <v>12</v>
      </c>
      <c r="V576" s="9">
        <v>3.7</v>
      </c>
      <c r="Y576" s="9">
        <f t="shared" si="16"/>
        <v>2122.9350152044149</v>
      </c>
      <c r="Z576" s="19" t="s">
        <v>73</v>
      </c>
      <c r="AA576" s="8" t="s">
        <v>195</v>
      </c>
      <c r="AB576" s="8" t="s">
        <v>75</v>
      </c>
      <c r="AC576" s="11" t="s">
        <v>115</v>
      </c>
      <c r="AD576" s="9" t="s">
        <v>85</v>
      </c>
      <c r="AE576" s="56">
        <f t="shared" si="17"/>
        <v>9.2027643066666673</v>
      </c>
      <c r="AF576" s="14">
        <v>9.2027643066666673</v>
      </c>
      <c r="AG576" s="13"/>
    </row>
    <row r="577" spans="1:41" x14ac:dyDescent="0.2">
      <c r="A577" s="5" t="s">
        <v>67</v>
      </c>
      <c r="B577" s="25">
        <v>43360</v>
      </c>
      <c r="C577" s="26">
        <v>0.75694444444444497</v>
      </c>
      <c r="D577" s="5" t="s">
        <v>194</v>
      </c>
      <c r="E577" s="5"/>
      <c r="F577" s="32">
        <v>63.5</v>
      </c>
      <c r="G577" s="9">
        <v>2</v>
      </c>
      <c r="H577" s="6">
        <v>3.1496062992125984E-2</v>
      </c>
      <c r="I577" s="7">
        <v>6.83E-2</v>
      </c>
      <c r="J577" s="9">
        <v>314.15899999999999</v>
      </c>
      <c r="K577" s="9">
        <v>0.88790000000000002</v>
      </c>
      <c r="L577" s="9">
        <v>13</v>
      </c>
      <c r="M577" s="14">
        <v>176.91125126703457</v>
      </c>
      <c r="N577" s="9">
        <v>1364</v>
      </c>
      <c r="O577" s="12" t="s">
        <v>88</v>
      </c>
      <c r="P577" s="12" t="s">
        <v>82</v>
      </c>
      <c r="Q577" s="9" t="s">
        <v>89</v>
      </c>
      <c r="R577" s="9" t="s">
        <v>90</v>
      </c>
      <c r="S577" s="9"/>
      <c r="T577" s="18">
        <v>7</v>
      </c>
      <c r="U577" s="18">
        <v>7</v>
      </c>
      <c r="V577" s="9">
        <v>10.199999999999999</v>
      </c>
      <c r="Y577" s="9">
        <f t="shared" si="16"/>
        <v>1238.3787588692419</v>
      </c>
      <c r="Z577" s="19" t="s">
        <v>73</v>
      </c>
      <c r="AA577" s="8" t="s">
        <v>195</v>
      </c>
      <c r="AB577" s="8" t="s">
        <v>75</v>
      </c>
      <c r="AC577" s="11" t="s">
        <v>115</v>
      </c>
      <c r="AD577" s="9" t="s">
        <v>91</v>
      </c>
      <c r="AE577" s="56">
        <f t="shared" si="17"/>
        <v>356.77335935416664</v>
      </c>
      <c r="AF577" s="14">
        <v>356.77335935416664</v>
      </c>
      <c r="AG577" s="13"/>
    </row>
    <row r="578" spans="1:41" x14ac:dyDescent="0.2">
      <c r="A578" s="5" t="s">
        <v>67</v>
      </c>
      <c r="B578" s="25">
        <v>43360</v>
      </c>
      <c r="C578" s="26">
        <v>0.75694444444444497</v>
      </c>
      <c r="D578" s="5" t="s">
        <v>194</v>
      </c>
      <c r="E578" s="5"/>
      <c r="F578" s="32">
        <v>63.5</v>
      </c>
      <c r="G578" s="9">
        <v>2</v>
      </c>
      <c r="H578" s="6">
        <v>3.1496062992125984E-2</v>
      </c>
      <c r="I578" s="7">
        <v>6.83E-2</v>
      </c>
      <c r="J578" s="9">
        <v>314.15899999999999</v>
      </c>
      <c r="K578" s="9">
        <v>0.88790000000000002</v>
      </c>
      <c r="L578" s="9">
        <v>13</v>
      </c>
      <c r="M578" s="14">
        <v>176.91125126703457</v>
      </c>
      <c r="N578" s="9">
        <v>1419</v>
      </c>
      <c r="O578" s="12" t="s">
        <v>94</v>
      </c>
      <c r="P578" s="12" t="s">
        <v>82</v>
      </c>
      <c r="Q578" s="9" t="s">
        <v>95</v>
      </c>
      <c r="R578" s="9" t="s">
        <v>96</v>
      </c>
      <c r="S578" s="9"/>
      <c r="T578" s="18">
        <v>395</v>
      </c>
      <c r="U578" s="18">
        <v>793</v>
      </c>
      <c r="V578" s="9">
        <v>0.8</v>
      </c>
      <c r="W578" s="9">
        <v>0.8</v>
      </c>
      <c r="X578" s="9">
        <v>0.8</v>
      </c>
      <c r="Y578" s="9">
        <f t="shared" si="16"/>
        <v>69879.944250478657</v>
      </c>
      <c r="Z578" s="19" t="s">
        <v>97</v>
      </c>
      <c r="AA578" s="8" t="s">
        <v>195</v>
      </c>
      <c r="AB578" s="8" t="s">
        <v>75</v>
      </c>
      <c r="AC578" s="11" t="s">
        <v>115</v>
      </c>
      <c r="AD578" s="9" t="s">
        <v>85</v>
      </c>
      <c r="AE578" s="56">
        <f t="shared" si="17"/>
        <v>0.17999999999999997</v>
      </c>
      <c r="AF578" s="14">
        <v>0.18</v>
      </c>
      <c r="AG578" s="14">
        <v>0.18</v>
      </c>
      <c r="AH578" s="14">
        <v>0.18</v>
      </c>
      <c r="AI578" s="14">
        <v>0.18</v>
      </c>
      <c r="AJ578" s="14">
        <v>0.18</v>
      </c>
      <c r="AK578" s="14">
        <v>0.18</v>
      </c>
      <c r="AL578" s="14">
        <v>0.18</v>
      </c>
      <c r="AM578" s="14">
        <v>0.18</v>
      </c>
      <c r="AN578" s="14">
        <v>0.18</v>
      </c>
      <c r="AO578" s="14">
        <v>0.18</v>
      </c>
    </row>
    <row r="579" spans="1:41" x14ac:dyDescent="0.2">
      <c r="A579" s="5" t="s">
        <v>67</v>
      </c>
      <c r="B579" s="25">
        <v>43360</v>
      </c>
      <c r="C579" s="26">
        <v>0.75694444444444497</v>
      </c>
      <c r="D579" s="5" t="s">
        <v>194</v>
      </c>
      <c r="E579" s="5"/>
      <c r="F579" s="32">
        <v>63.5</v>
      </c>
      <c r="G579" s="9">
        <v>2</v>
      </c>
      <c r="H579" s="6">
        <v>3.1496062992125984E-2</v>
      </c>
      <c r="I579" s="7">
        <v>6.83E-2</v>
      </c>
      <c r="J579" s="9">
        <v>314.15899999999999</v>
      </c>
      <c r="K579" s="9">
        <v>0.88790000000000002</v>
      </c>
      <c r="L579" s="9">
        <v>13</v>
      </c>
      <c r="M579" s="14">
        <v>176.91125126703457</v>
      </c>
      <c r="N579" s="9">
        <v>1420</v>
      </c>
      <c r="O579" s="12" t="s">
        <v>98</v>
      </c>
      <c r="P579" s="12" t="s">
        <v>82</v>
      </c>
      <c r="Q579" s="9" t="s">
        <v>95</v>
      </c>
      <c r="R579" s="9" t="s">
        <v>99</v>
      </c>
      <c r="S579" s="9"/>
      <c r="T579" s="18">
        <v>1</v>
      </c>
      <c r="U579" s="18">
        <v>2</v>
      </c>
      <c r="V579" s="9">
        <v>2.8</v>
      </c>
      <c r="Y579" s="9">
        <f t="shared" ref="Y579:Y642" si="18">(T579*J579)/(G579*I579*L579)</f>
        <v>176.91125126703457</v>
      </c>
      <c r="Z579" s="19" t="s">
        <v>97</v>
      </c>
      <c r="AA579" s="8" t="s">
        <v>195</v>
      </c>
      <c r="AB579" s="8" t="s">
        <v>75</v>
      </c>
      <c r="AC579" s="11" t="s">
        <v>115</v>
      </c>
      <c r="AD579" s="9" t="s">
        <v>85</v>
      </c>
      <c r="AE579" s="56">
        <f t="shared" ref="AE579:AE642" si="19">AVERAGE(AF579:AO579)</f>
        <v>11.494030613333329</v>
      </c>
      <c r="AF579" s="14">
        <v>11.494030613333329</v>
      </c>
      <c r="AG579" s="13"/>
    </row>
    <row r="580" spans="1:41" x14ac:dyDescent="0.2">
      <c r="A580" s="5" t="s">
        <v>67</v>
      </c>
      <c r="B580" s="25">
        <v>43360</v>
      </c>
      <c r="C580" s="26">
        <v>0.75694444444444497</v>
      </c>
      <c r="D580" s="5" t="s">
        <v>194</v>
      </c>
      <c r="E580" s="5"/>
      <c r="F580" s="32">
        <v>63.5</v>
      </c>
      <c r="G580" s="9">
        <v>2</v>
      </c>
      <c r="H580" s="6">
        <v>3.1496062992125984E-2</v>
      </c>
      <c r="I580" s="7">
        <v>6.83E-2</v>
      </c>
      <c r="J580" s="9">
        <v>314.15899999999999</v>
      </c>
      <c r="K580" s="9">
        <v>0.88790000000000002</v>
      </c>
      <c r="L580" s="9">
        <v>13</v>
      </c>
      <c r="M580" s="14">
        <v>176.91125126703457</v>
      </c>
      <c r="N580" s="9">
        <v>1508</v>
      </c>
      <c r="O580" s="12" t="s">
        <v>132</v>
      </c>
      <c r="P580" s="12" t="s">
        <v>82</v>
      </c>
      <c r="Q580" s="9" t="s">
        <v>133</v>
      </c>
      <c r="R580" s="9" t="s">
        <v>84</v>
      </c>
      <c r="S580" s="9"/>
      <c r="T580" s="18">
        <v>1</v>
      </c>
      <c r="U580" s="18">
        <v>8</v>
      </c>
      <c r="V580" s="9">
        <v>4.5999999999999996</v>
      </c>
      <c r="Y580" s="9">
        <f t="shared" si="18"/>
        <v>176.91125126703457</v>
      </c>
      <c r="Z580" s="19" t="s">
        <v>134</v>
      </c>
      <c r="AA580" s="8" t="s">
        <v>195</v>
      </c>
      <c r="AB580" s="8" t="s">
        <v>75</v>
      </c>
      <c r="AC580" s="11" t="s">
        <v>115</v>
      </c>
      <c r="AD580" s="9" t="s">
        <v>104</v>
      </c>
      <c r="AE580" s="56">
        <f t="shared" si="19"/>
        <v>49.459622164999999</v>
      </c>
      <c r="AF580" s="14">
        <v>49.459622164999999</v>
      </c>
      <c r="AG580" s="13"/>
    </row>
    <row r="581" spans="1:41" x14ac:dyDescent="0.2">
      <c r="A581" s="5" t="s">
        <v>67</v>
      </c>
      <c r="B581" s="25">
        <v>43361</v>
      </c>
      <c r="C581" s="26">
        <v>0.63055555555555598</v>
      </c>
      <c r="D581" s="5" t="s">
        <v>154</v>
      </c>
      <c r="E581" s="5">
        <v>3</v>
      </c>
      <c r="F581" s="32">
        <v>62</v>
      </c>
      <c r="G581" s="9">
        <v>2</v>
      </c>
      <c r="H581" s="6">
        <v>3.2258064516129031E-2</v>
      </c>
      <c r="I581" s="7">
        <v>6.83E-2</v>
      </c>
      <c r="J581" s="9">
        <v>314.15899999999999</v>
      </c>
      <c r="K581" s="9">
        <v>0.75129999999999997</v>
      </c>
      <c r="L581" s="9">
        <v>11</v>
      </c>
      <c r="M581" s="14">
        <v>209.07693331558633</v>
      </c>
      <c r="N581" s="9">
        <v>1037</v>
      </c>
      <c r="O581" s="12" t="s">
        <v>86</v>
      </c>
      <c r="P581" s="12" t="s">
        <v>82</v>
      </c>
      <c r="Q581" s="9" t="s">
        <v>87</v>
      </c>
      <c r="R581" s="9" t="s">
        <v>84</v>
      </c>
      <c r="S581" s="9"/>
      <c r="T581" s="18">
        <v>20</v>
      </c>
      <c r="U581" s="18">
        <v>20</v>
      </c>
      <c r="V581" s="9">
        <v>2.8</v>
      </c>
      <c r="Y581" s="9">
        <f t="shared" si="18"/>
        <v>4181.538666311727</v>
      </c>
      <c r="Z581" s="19" t="s">
        <v>73</v>
      </c>
      <c r="AA581" s="8" t="s">
        <v>155</v>
      </c>
      <c r="AB581" s="8" t="s">
        <v>75</v>
      </c>
      <c r="AC581" s="11" t="s">
        <v>112</v>
      </c>
      <c r="AD581" s="9" t="s">
        <v>85</v>
      </c>
      <c r="AE581" s="56">
        <f t="shared" si="19"/>
        <v>9.2027643066666673</v>
      </c>
      <c r="AF581" s="14">
        <v>9.2027643066666673</v>
      </c>
      <c r="AG581" s="13"/>
    </row>
    <row r="582" spans="1:41" x14ac:dyDescent="0.2">
      <c r="A582" s="5" t="s">
        <v>67</v>
      </c>
      <c r="B582" s="25">
        <v>43361</v>
      </c>
      <c r="C582" s="26">
        <v>0.63055555555555598</v>
      </c>
      <c r="D582" s="5" t="s">
        <v>154</v>
      </c>
      <c r="E582" s="5">
        <v>3</v>
      </c>
      <c r="F582" s="32">
        <v>62</v>
      </c>
      <c r="G582" s="9">
        <v>2</v>
      </c>
      <c r="H582" s="6">
        <v>3.2258064516129031E-2</v>
      </c>
      <c r="I582" s="7">
        <v>6.83E-2</v>
      </c>
      <c r="J582" s="9">
        <v>314.15899999999999</v>
      </c>
      <c r="K582" s="9">
        <v>0.75129999999999997</v>
      </c>
      <c r="L582" s="9">
        <v>11</v>
      </c>
      <c r="M582" s="14">
        <v>209.07693331558633</v>
      </c>
      <c r="N582" s="9">
        <v>1364</v>
      </c>
      <c r="O582" s="12" t="s">
        <v>88</v>
      </c>
      <c r="P582" s="12" t="s">
        <v>82</v>
      </c>
      <c r="Q582" s="9" t="s">
        <v>89</v>
      </c>
      <c r="R582" s="9" t="s">
        <v>90</v>
      </c>
      <c r="S582" s="9"/>
      <c r="T582" s="18">
        <v>3</v>
      </c>
      <c r="U582" s="18">
        <v>3</v>
      </c>
      <c r="V582" s="9">
        <v>11.1</v>
      </c>
      <c r="Y582" s="9">
        <f t="shared" si="18"/>
        <v>627.23079994675891</v>
      </c>
      <c r="Z582" s="19" t="s">
        <v>73</v>
      </c>
      <c r="AA582" s="8" t="s">
        <v>155</v>
      </c>
      <c r="AB582" s="8" t="s">
        <v>75</v>
      </c>
      <c r="AC582" s="11" t="s">
        <v>112</v>
      </c>
      <c r="AD582" s="9" t="s">
        <v>91</v>
      </c>
      <c r="AE582" s="56">
        <f t="shared" si="19"/>
        <v>430.35384773999982</v>
      </c>
      <c r="AF582" s="14">
        <v>430.35384773999982</v>
      </c>
      <c r="AG582" s="13"/>
    </row>
    <row r="583" spans="1:41" x14ac:dyDescent="0.2">
      <c r="A583" s="5" t="s">
        <v>67</v>
      </c>
      <c r="B583" s="25">
        <v>43361</v>
      </c>
      <c r="C583" s="26">
        <v>0.63055555555555598</v>
      </c>
      <c r="D583" s="5" t="s">
        <v>154</v>
      </c>
      <c r="E583" s="5">
        <v>3</v>
      </c>
      <c r="F583" s="32">
        <v>62</v>
      </c>
      <c r="G583" s="9">
        <v>2</v>
      </c>
      <c r="H583" s="6">
        <v>3.2258064516129031E-2</v>
      </c>
      <c r="I583" s="7">
        <v>6.83E-2</v>
      </c>
      <c r="J583" s="9">
        <v>314.15899999999999</v>
      </c>
      <c r="K583" s="9">
        <v>0.75129999999999997</v>
      </c>
      <c r="L583" s="9">
        <v>11</v>
      </c>
      <c r="M583" s="14">
        <v>209.07693331558633</v>
      </c>
      <c r="N583" s="9">
        <v>1733</v>
      </c>
      <c r="O583" s="12" t="s">
        <v>92</v>
      </c>
      <c r="P583" s="12" t="s">
        <v>82</v>
      </c>
      <c r="Q583" s="9" t="s">
        <v>89</v>
      </c>
      <c r="R583" s="9" t="s">
        <v>93</v>
      </c>
      <c r="S583" s="9"/>
      <c r="T583" s="18">
        <v>4</v>
      </c>
      <c r="U583" s="18">
        <v>4</v>
      </c>
      <c r="V583" s="9">
        <v>7.4</v>
      </c>
      <c r="Y583" s="9">
        <f t="shared" si="18"/>
        <v>836.30773326234532</v>
      </c>
      <c r="Z583" s="19" t="s">
        <v>73</v>
      </c>
      <c r="AA583" s="8" t="s">
        <v>155</v>
      </c>
      <c r="AB583" s="8" t="s">
        <v>75</v>
      </c>
      <c r="AC583" s="11" t="s">
        <v>112</v>
      </c>
      <c r="AD583" s="9" t="s">
        <v>91</v>
      </c>
      <c r="AE583" s="56">
        <f t="shared" si="19"/>
        <v>137.2613030833333</v>
      </c>
      <c r="AF583" s="14">
        <v>137.2613030833333</v>
      </c>
      <c r="AG583" s="13"/>
    </row>
    <row r="584" spans="1:41" x14ac:dyDescent="0.2">
      <c r="A584" s="5" t="s">
        <v>67</v>
      </c>
      <c r="B584" s="25">
        <v>43361</v>
      </c>
      <c r="C584" s="26">
        <v>0.63055555555555598</v>
      </c>
      <c r="D584" s="5" t="s">
        <v>154</v>
      </c>
      <c r="E584" s="5">
        <v>3</v>
      </c>
      <c r="F584" s="32">
        <v>62</v>
      </c>
      <c r="G584" s="9">
        <v>2</v>
      </c>
      <c r="H584" s="6">
        <v>3.2258064516129031E-2</v>
      </c>
      <c r="I584" s="7">
        <v>6.83E-2</v>
      </c>
      <c r="J584" s="9">
        <v>314.15899999999999</v>
      </c>
      <c r="K584" s="9">
        <v>0.75129999999999997</v>
      </c>
      <c r="L584" s="9">
        <v>11</v>
      </c>
      <c r="M584" s="14">
        <v>209.07693331558633</v>
      </c>
      <c r="N584" s="9">
        <v>1419</v>
      </c>
      <c r="O584" s="12" t="s">
        <v>94</v>
      </c>
      <c r="P584" s="12" t="s">
        <v>82</v>
      </c>
      <c r="Q584" s="9" t="s">
        <v>95</v>
      </c>
      <c r="R584" s="9" t="s">
        <v>96</v>
      </c>
      <c r="S584" s="9"/>
      <c r="T584" s="18">
        <v>405</v>
      </c>
      <c r="U584" s="18">
        <v>815</v>
      </c>
      <c r="V584" s="9">
        <v>0.8</v>
      </c>
      <c r="W584" s="9">
        <v>0.8</v>
      </c>
      <c r="X584" s="9">
        <v>0.8</v>
      </c>
      <c r="Y584" s="9">
        <f t="shared" si="18"/>
        <v>84676.157992812456</v>
      </c>
      <c r="Z584" s="19" t="s">
        <v>97</v>
      </c>
      <c r="AA584" s="8" t="s">
        <v>155</v>
      </c>
      <c r="AB584" s="8" t="s">
        <v>75</v>
      </c>
      <c r="AC584" s="11" t="s">
        <v>112</v>
      </c>
      <c r="AD584" s="9" t="s">
        <v>85</v>
      </c>
      <c r="AE584" s="56">
        <f t="shared" si="19"/>
        <v>0.17999999999999997</v>
      </c>
      <c r="AF584" s="14">
        <v>0.18</v>
      </c>
      <c r="AG584" s="14">
        <v>0.18</v>
      </c>
      <c r="AH584" s="14">
        <v>0.18</v>
      </c>
      <c r="AI584" s="14">
        <v>0.18</v>
      </c>
      <c r="AJ584" s="14">
        <v>0.18</v>
      </c>
      <c r="AK584" s="14">
        <v>0.18</v>
      </c>
      <c r="AL584" s="14">
        <v>0.18</v>
      </c>
      <c r="AM584" s="14">
        <v>0.18</v>
      </c>
      <c r="AN584" s="14">
        <v>0.18</v>
      </c>
      <c r="AO584" s="14">
        <v>0.18</v>
      </c>
    </row>
    <row r="585" spans="1:41" x14ac:dyDescent="0.2">
      <c r="A585" s="5" t="s">
        <v>67</v>
      </c>
      <c r="B585" s="25">
        <v>43361</v>
      </c>
      <c r="C585" s="26">
        <v>0.63055555555555598</v>
      </c>
      <c r="D585" s="5" t="s">
        <v>154</v>
      </c>
      <c r="E585" s="5">
        <v>3</v>
      </c>
      <c r="F585" s="32">
        <v>62</v>
      </c>
      <c r="G585" s="9">
        <v>2</v>
      </c>
      <c r="H585" s="6">
        <v>3.2258064516129031E-2</v>
      </c>
      <c r="I585" s="7">
        <v>6.83E-2</v>
      </c>
      <c r="J585" s="9">
        <v>314.15899999999999</v>
      </c>
      <c r="K585" s="9">
        <v>0.75129999999999997</v>
      </c>
      <c r="L585" s="9">
        <v>11</v>
      </c>
      <c r="M585" s="14">
        <v>209.07693331558633</v>
      </c>
      <c r="N585" s="9">
        <v>1508</v>
      </c>
      <c r="O585" s="12" t="s">
        <v>132</v>
      </c>
      <c r="P585" s="12" t="s">
        <v>82</v>
      </c>
      <c r="Q585" s="9" t="s">
        <v>133</v>
      </c>
      <c r="R585" s="9" t="s">
        <v>84</v>
      </c>
      <c r="S585" s="9"/>
      <c r="T585" s="18">
        <v>1</v>
      </c>
      <c r="U585" s="18">
        <v>4</v>
      </c>
      <c r="V585" s="9">
        <v>1.9</v>
      </c>
      <c r="Y585" s="9">
        <f t="shared" si="18"/>
        <v>209.07693331558633</v>
      </c>
      <c r="Z585" s="19" t="s">
        <v>134</v>
      </c>
      <c r="AA585" s="8" t="s">
        <v>155</v>
      </c>
      <c r="AB585" s="8" t="s">
        <v>75</v>
      </c>
      <c r="AC585" s="11" t="s">
        <v>112</v>
      </c>
      <c r="AD585" s="9" t="s">
        <v>104</v>
      </c>
      <c r="AE585" s="56">
        <f t="shared" si="19"/>
        <v>5.3870414524999992</v>
      </c>
      <c r="AF585" s="14">
        <v>5.3870414524999992</v>
      </c>
      <c r="AG585" s="13"/>
    </row>
    <row r="586" spans="1:41" x14ac:dyDescent="0.2">
      <c r="A586" s="5" t="s">
        <v>67</v>
      </c>
      <c r="B586" s="25">
        <v>43361</v>
      </c>
      <c r="C586" s="26">
        <v>0.63055555555555598</v>
      </c>
      <c r="D586" s="5" t="s">
        <v>154</v>
      </c>
      <c r="E586" s="5">
        <v>3</v>
      </c>
      <c r="F586" s="32">
        <v>62</v>
      </c>
      <c r="G586" s="9">
        <v>2</v>
      </c>
      <c r="H586" s="6">
        <v>3.2258064516129031E-2</v>
      </c>
      <c r="I586" s="7">
        <v>6.83E-2</v>
      </c>
      <c r="J586" s="9">
        <v>314.15899999999999</v>
      </c>
      <c r="K586" s="9">
        <v>0.75129999999999997</v>
      </c>
      <c r="L586" s="9">
        <v>11</v>
      </c>
      <c r="M586" s="14">
        <v>209.07693331558633</v>
      </c>
      <c r="N586" s="9">
        <v>1526</v>
      </c>
      <c r="O586" s="8" t="s">
        <v>156</v>
      </c>
      <c r="P586" s="12" t="s">
        <v>82</v>
      </c>
      <c r="Q586" s="9" t="s">
        <v>157</v>
      </c>
      <c r="R586" s="9" t="s">
        <v>84</v>
      </c>
      <c r="S586" s="9"/>
      <c r="T586" s="18">
        <v>3</v>
      </c>
      <c r="U586" s="18">
        <v>3</v>
      </c>
      <c r="V586" s="9">
        <v>7.4</v>
      </c>
      <c r="Y586" s="9">
        <f t="shared" si="18"/>
        <v>627.23079994675891</v>
      </c>
      <c r="Z586" s="19" t="s">
        <v>73</v>
      </c>
      <c r="AA586" s="8" t="s">
        <v>155</v>
      </c>
      <c r="AB586" s="8" t="s">
        <v>75</v>
      </c>
      <c r="AC586" s="11" t="s">
        <v>112</v>
      </c>
      <c r="AD586" s="9" t="s">
        <v>85</v>
      </c>
      <c r="AE586" s="56">
        <f t="shared" si="19"/>
        <v>61.600820318333341</v>
      </c>
      <c r="AF586" s="14">
        <v>61.600820318333341</v>
      </c>
      <c r="AG586" s="13"/>
    </row>
    <row r="587" spans="1:41" x14ac:dyDescent="0.2">
      <c r="A587" s="5" t="s">
        <v>67</v>
      </c>
      <c r="B587" s="25">
        <v>43361</v>
      </c>
      <c r="C587" s="26">
        <v>0.64930555555555602</v>
      </c>
      <c r="D587" s="5" t="s">
        <v>222</v>
      </c>
      <c r="E587" s="5">
        <v>3</v>
      </c>
      <c r="F587" s="32">
        <v>62</v>
      </c>
      <c r="G587" s="9">
        <v>2</v>
      </c>
      <c r="H587" s="6">
        <v>3.2258064516129031E-2</v>
      </c>
      <c r="I587" s="7">
        <v>6.83E-2</v>
      </c>
      <c r="J587" s="9">
        <v>314.15899999999999</v>
      </c>
      <c r="K587" s="9">
        <v>0.4098</v>
      </c>
      <c r="L587" s="9">
        <v>6</v>
      </c>
      <c r="M587" s="14">
        <v>383.30771107857493</v>
      </c>
      <c r="N587" s="9">
        <v>1037</v>
      </c>
      <c r="O587" s="12" t="s">
        <v>86</v>
      </c>
      <c r="P587" s="12" t="s">
        <v>82</v>
      </c>
      <c r="Q587" s="9" t="s">
        <v>87</v>
      </c>
      <c r="R587" s="9" t="s">
        <v>84</v>
      </c>
      <c r="S587" s="9"/>
      <c r="T587" s="18">
        <v>15</v>
      </c>
      <c r="U587" s="18">
        <v>15</v>
      </c>
      <c r="V587" s="9">
        <v>2.8</v>
      </c>
      <c r="Y587" s="9">
        <f t="shared" si="18"/>
        <v>5749.6156661786245</v>
      </c>
      <c r="Z587" s="19" t="s">
        <v>73</v>
      </c>
      <c r="AA587" s="8" t="s">
        <v>259</v>
      </c>
      <c r="AB587" s="8" t="s">
        <v>75</v>
      </c>
      <c r="AC587" s="11" t="s">
        <v>76</v>
      </c>
      <c r="AD587" s="9" t="s">
        <v>85</v>
      </c>
      <c r="AE587" s="56">
        <f t="shared" si="19"/>
        <v>6.3706209216666645</v>
      </c>
      <c r="AF587" s="14">
        <v>6.3706209216666645</v>
      </c>
      <c r="AG587" s="13"/>
    </row>
    <row r="588" spans="1:41" x14ac:dyDescent="0.2">
      <c r="A588" s="5" t="s">
        <v>67</v>
      </c>
      <c r="B588" s="25">
        <v>43361</v>
      </c>
      <c r="C588" s="26">
        <v>0.64930555555555602</v>
      </c>
      <c r="D588" s="5" t="s">
        <v>222</v>
      </c>
      <c r="E588" s="5">
        <v>3</v>
      </c>
      <c r="F588" s="32">
        <v>62</v>
      </c>
      <c r="G588" s="9">
        <v>2</v>
      </c>
      <c r="H588" s="6">
        <v>3.2258064516129031E-2</v>
      </c>
      <c r="I588" s="7">
        <v>6.83E-2</v>
      </c>
      <c r="J588" s="9">
        <v>314.15899999999999</v>
      </c>
      <c r="K588" s="9">
        <v>0.4098</v>
      </c>
      <c r="L588" s="9">
        <v>6</v>
      </c>
      <c r="M588" s="14">
        <v>383.30771107857493</v>
      </c>
      <c r="N588" s="9">
        <v>1140</v>
      </c>
      <c r="O588" s="12" t="s">
        <v>126</v>
      </c>
      <c r="P588" s="12" t="s">
        <v>82</v>
      </c>
      <c r="Q588" s="9" t="s">
        <v>127</v>
      </c>
      <c r="R588" s="9" t="s">
        <v>128</v>
      </c>
      <c r="S588" s="9"/>
      <c r="T588" s="18">
        <v>1</v>
      </c>
      <c r="U588" s="18">
        <v>1</v>
      </c>
      <c r="V588" s="9">
        <v>11.1</v>
      </c>
      <c r="Y588" s="9">
        <f t="shared" si="18"/>
        <v>383.30771107857493</v>
      </c>
      <c r="Z588" s="19" t="s">
        <v>73</v>
      </c>
      <c r="AA588" s="8" t="s">
        <v>259</v>
      </c>
      <c r="AB588" s="8" t="s">
        <v>75</v>
      </c>
      <c r="AC588" s="11" t="s">
        <v>76</v>
      </c>
      <c r="AD588" s="9" t="s">
        <v>129</v>
      </c>
      <c r="AE588" s="56">
        <f t="shared" si="19"/>
        <v>45.565621359999987</v>
      </c>
      <c r="AF588" s="14">
        <v>45.565621359999987</v>
      </c>
      <c r="AG588" s="13"/>
    </row>
    <row r="589" spans="1:41" x14ac:dyDescent="0.2">
      <c r="A589" s="5" t="s">
        <v>67</v>
      </c>
      <c r="B589" s="25">
        <v>43361</v>
      </c>
      <c r="C589" s="26">
        <v>0.64930555555555602</v>
      </c>
      <c r="D589" s="5" t="s">
        <v>222</v>
      </c>
      <c r="E589" s="5">
        <v>3</v>
      </c>
      <c r="F589" s="32">
        <v>62</v>
      </c>
      <c r="G589" s="9">
        <v>2</v>
      </c>
      <c r="H589" s="6">
        <v>3.2258064516129031E-2</v>
      </c>
      <c r="I589" s="7">
        <v>6.83E-2</v>
      </c>
      <c r="J589" s="9">
        <v>314.15899999999999</v>
      </c>
      <c r="K589" s="9">
        <v>0.4098</v>
      </c>
      <c r="L589" s="9">
        <v>6</v>
      </c>
      <c r="M589" s="14">
        <v>383.30771107857493</v>
      </c>
      <c r="N589" s="9">
        <v>1365</v>
      </c>
      <c r="O589" s="12" t="s">
        <v>121</v>
      </c>
      <c r="P589" s="12" t="s">
        <v>82</v>
      </c>
      <c r="Q589" s="9" t="s">
        <v>122</v>
      </c>
      <c r="R589" s="9" t="s">
        <v>123</v>
      </c>
      <c r="S589" s="9"/>
      <c r="T589" s="18">
        <v>1</v>
      </c>
      <c r="U589" s="18">
        <v>1</v>
      </c>
      <c r="V589" s="9">
        <v>11.1</v>
      </c>
      <c r="Y589" s="9">
        <f t="shared" si="18"/>
        <v>383.30771107857493</v>
      </c>
      <c r="Z589" s="19" t="s">
        <v>73</v>
      </c>
      <c r="AA589" s="8" t="s">
        <v>259</v>
      </c>
      <c r="AB589" s="8" t="s">
        <v>75</v>
      </c>
      <c r="AC589" s="11" t="s">
        <v>76</v>
      </c>
      <c r="AD589" s="9" t="s">
        <v>91</v>
      </c>
      <c r="AE589" s="56">
        <f t="shared" si="19"/>
        <v>596.74109351249979</v>
      </c>
      <c r="AF589" s="14">
        <v>596.74109351249979</v>
      </c>
      <c r="AG589" s="13"/>
    </row>
    <row r="590" spans="1:41" x14ac:dyDescent="0.2">
      <c r="A590" s="5" t="s">
        <v>67</v>
      </c>
      <c r="B590" s="25">
        <v>43361</v>
      </c>
      <c r="C590" s="26">
        <v>0.64930555555555602</v>
      </c>
      <c r="D590" s="5" t="s">
        <v>222</v>
      </c>
      <c r="E590" s="5">
        <v>3</v>
      </c>
      <c r="F590" s="32">
        <v>62</v>
      </c>
      <c r="G590" s="9">
        <v>2</v>
      </c>
      <c r="H590" s="6">
        <v>3.2258064516129031E-2</v>
      </c>
      <c r="I590" s="7">
        <v>6.83E-2</v>
      </c>
      <c r="J590" s="9">
        <v>314.15899999999999</v>
      </c>
      <c r="K590" s="9">
        <v>0.4098</v>
      </c>
      <c r="L590" s="9">
        <v>6</v>
      </c>
      <c r="M590" s="14">
        <v>383.30771107857493</v>
      </c>
      <c r="N590" s="9">
        <v>1419</v>
      </c>
      <c r="O590" s="12" t="s">
        <v>94</v>
      </c>
      <c r="P590" s="12" t="s">
        <v>82</v>
      </c>
      <c r="Q590" s="9" t="s">
        <v>95</v>
      </c>
      <c r="R590" s="9" t="s">
        <v>96</v>
      </c>
      <c r="S590" s="9"/>
      <c r="T590" s="18">
        <v>413</v>
      </c>
      <c r="U590" s="18">
        <v>833</v>
      </c>
      <c r="V590" s="9">
        <v>0.8</v>
      </c>
      <c r="W590" s="9">
        <v>0.8</v>
      </c>
      <c r="X590" s="9">
        <v>0.8</v>
      </c>
      <c r="Y590" s="9">
        <f t="shared" si="18"/>
        <v>158306.08467545145</v>
      </c>
      <c r="Z590" s="19" t="s">
        <v>97</v>
      </c>
      <c r="AA590" s="8" t="s">
        <v>259</v>
      </c>
      <c r="AB590" s="8" t="s">
        <v>75</v>
      </c>
      <c r="AC590" s="11" t="s">
        <v>76</v>
      </c>
      <c r="AD590" s="9" t="s">
        <v>85</v>
      </c>
      <c r="AE590" s="56">
        <f t="shared" si="19"/>
        <v>0.17999999999999997</v>
      </c>
      <c r="AF590" s="14">
        <v>0.18</v>
      </c>
      <c r="AG590" s="14">
        <v>0.18</v>
      </c>
      <c r="AH590" s="14">
        <v>0.18</v>
      </c>
      <c r="AI590" s="14">
        <v>0.18</v>
      </c>
      <c r="AJ590" s="14">
        <v>0.18</v>
      </c>
      <c r="AK590" s="14">
        <v>0.18</v>
      </c>
      <c r="AL590" s="14">
        <v>0.18</v>
      </c>
      <c r="AM590" s="14">
        <v>0.18</v>
      </c>
      <c r="AN590" s="14">
        <v>0.18</v>
      </c>
      <c r="AO590" s="14">
        <v>0.18</v>
      </c>
    </row>
    <row r="591" spans="1:41" x14ac:dyDescent="0.2">
      <c r="A591" s="5" t="s">
        <v>67</v>
      </c>
      <c r="B591" s="25">
        <v>43361</v>
      </c>
      <c r="C591" s="26">
        <v>0.65277777777777801</v>
      </c>
      <c r="D591" s="5" t="s">
        <v>219</v>
      </c>
      <c r="E591" s="5"/>
      <c r="F591" s="32">
        <v>64.5</v>
      </c>
      <c r="G591" s="9">
        <v>2</v>
      </c>
      <c r="H591" s="6">
        <v>3.1007751937984496E-2</v>
      </c>
      <c r="I591" s="7">
        <v>6.83E-2</v>
      </c>
      <c r="J591" s="9">
        <v>314.15899999999999</v>
      </c>
      <c r="K591" s="9">
        <v>0.4098</v>
      </c>
      <c r="L591" s="9">
        <v>6</v>
      </c>
      <c r="M591" s="14">
        <v>383.30771107857493</v>
      </c>
      <c r="N591" s="9">
        <v>145</v>
      </c>
      <c r="O591" s="12" t="s">
        <v>69</v>
      </c>
      <c r="P591" s="8" t="s">
        <v>70</v>
      </c>
      <c r="Q591" s="9" t="s">
        <v>71</v>
      </c>
      <c r="R591" s="9" t="s">
        <v>72</v>
      </c>
      <c r="S591" s="9"/>
      <c r="T591" s="18">
        <v>2</v>
      </c>
      <c r="U591" s="18">
        <v>2</v>
      </c>
      <c r="V591" s="9">
        <v>18.5</v>
      </c>
      <c r="Y591" s="9">
        <f t="shared" si="18"/>
        <v>766.61542215714985</v>
      </c>
      <c r="Z591" s="19" t="s">
        <v>73</v>
      </c>
      <c r="AA591" s="8" t="s">
        <v>255</v>
      </c>
      <c r="AB591" s="8" t="s">
        <v>75</v>
      </c>
      <c r="AC591" s="11" t="s">
        <v>76</v>
      </c>
      <c r="AD591" s="9" t="s">
        <v>77</v>
      </c>
      <c r="AE591" s="56">
        <f t="shared" si="19"/>
        <v>374.59690841999998</v>
      </c>
      <c r="AF591" s="14">
        <v>374.59690841999998</v>
      </c>
      <c r="AG591" s="13"/>
    </row>
    <row r="592" spans="1:41" x14ac:dyDescent="0.2">
      <c r="A592" s="5" t="s">
        <v>67</v>
      </c>
      <c r="B592" s="25">
        <v>43361</v>
      </c>
      <c r="C592" s="26">
        <v>0.65277777777777801</v>
      </c>
      <c r="D592" s="5" t="s">
        <v>219</v>
      </c>
      <c r="E592" s="5"/>
      <c r="F592" s="32">
        <v>64.5</v>
      </c>
      <c r="G592" s="9">
        <v>2</v>
      </c>
      <c r="H592" s="6">
        <v>3.1007751937984496E-2</v>
      </c>
      <c r="I592" s="7">
        <v>6.83E-2</v>
      </c>
      <c r="J592" s="9">
        <v>314.15899999999999</v>
      </c>
      <c r="K592" s="9">
        <v>0.4098</v>
      </c>
      <c r="L592" s="9">
        <v>6</v>
      </c>
      <c r="M592" s="14">
        <v>383.30771107857493</v>
      </c>
      <c r="N592" s="9">
        <v>1037</v>
      </c>
      <c r="O592" s="12" t="s">
        <v>86</v>
      </c>
      <c r="P592" s="12" t="s">
        <v>82</v>
      </c>
      <c r="Q592" s="9" t="s">
        <v>87</v>
      </c>
      <c r="R592" s="9" t="s">
        <v>84</v>
      </c>
      <c r="S592" s="9"/>
      <c r="T592" s="18">
        <v>12</v>
      </c>
      <c r="U592" s="18">
        <v>12</v>
      </c>
      <c r="V592" s="9">
        <v>2.8</v>
      </c>
      <c r="Y592" s="9">
        <f t="shared" si="18"/>
        <v>4599.6925329428987</v>
      </c>
      <c r="Z592" s="19" t="s">
        <v>73</v>
      </c>
      <c r="AA592" s="8" t="s">
        <v>255</v>
      </c>
      <c r="AB592" s="8" t="s">
        <v>75</v>
      </c>
      <c r="AC592" s="11" t="s">
        <v>76</v>
      </c>
      <c r="AD592" s="9" t="s">
        <v>85</v>
      </c>
      <c r="AE592" s="56">
        <f t="shared" si="19"/>
        <v>6.3706209216666645</v>
      </c>
      <c r="AF592" s="14">
        <v>6.3706209216666645</v>
      </c>
      <c r="AG592" s="13"/>
    </row>
    <row r="593" spans="1:41" x14ac:dyDescent="0.2">
      <c r="A593" s="5" t="s">
        <v>67</v>
      </c>
      <c r="B593" s="25">
        <v>43361</v>
      </c>
      <c r="C593" s="26">
        <v>0.65277777777777801</v>
      </c>
      <c r="D593" s="5" t="s">
        <v>219</v>
      </c>
      <c r="E593" s="5"/>
      <c r="F593" s="32">
        <v>64.5</v>
      </c>
      <c r="G593" s="9">
        <v>2</v>
      </c>
      <c r="H593" s="6">
        <v>3.1007751937984496E-2</v>
      </c>
      <c r="I593" s="7">
        <v>6.83E-2</v>
      </c>
      <c r="J593" s="9">
        <v>314.15899999999999</v>
      </c>
      <c r="K593" s="9">
        <v>0.4098</v>
      </c>
      <c r="L593" s="9">
        <v>6</v>
      </c>
      <c r="M593" s="14">
        <v>383.30771107857493</v>
      </c>
      <c r="N593" s="9">
        <v>1419</v>
      </c>
      <c r="O593" s="12" t="s">
        <v>94</v>
      </c>
      <c r="P593" s="12" t="s">
        <v>82</v>
      </c>
      <c r="Q593" s="9" t="s">
        <v>95</v>
      </c>
      <c r="R593" s="9" t="s">
        <v>96</v>
      </c>
      <c r="S593" s="9"/>
      <c r="T593" s="18">
        <v>387</v>
      </c>
      <c r="U593" s="18">
        <v>777</v>
      </c>
      <c r="V593" s="9">
        <v>0.8</v>
      </c>
      <c r="W593" s="9">
        <v>0.8</v>
      </c>
      <c r="X593" s="9">
        <v>0.8</v>
      </c>
      <c r="Y593" s="9">
        <f t="shared" si="18"/>
        <v>148340.0841874085</v>
      </c>
      <c r="Z593" s="19" t="s">
        <v>97</v>
      </c>
      <c r="AA593" s="8" t="s">
        <v>255</v>
      </c>
      <c r="AB593" s="8" t="s">
        <v>75</v>
      </c>
      <c r="AC593" s="11" t="s">
        <v>76</v>
      </c>
      <c r="AD593" s="9" t="s">
        <v>85</v>
      </c>
      <c r="AE593" s="56">
        <f t="shared" si="19"/>
        <v>0.17999999999999997</v>
      </c>
      <c r="AF593" s="14">
        <v>0.18</v>
      </c>
      <c r="AG593" s="14">
        <v>0.18</v>
      </c>
      <c r="AH593" s="14">
        <v>0.18</v>
      </c>
      <c r="AI593" s="14">
        <v>0.18</v>
      </c>
      <c r="AJ593" s="14">
        <v>0.18</v>
      </c>
      <c r="AK593" s="14">
        <v>0.18</v>
      </c>
      <c r="AL593" s="14">
        <v>0.18</v>
      </c>
      <c r="AM593" s="14">
        <v>0.18</v>
      </c>
      <c r="AN593" s="14">
        <v>0.18</v>
      </c>
      <c r="AO593" s="14">
        <v>0.18</v>
      </c>
    </row>
    <row r="594" spans="1:41" x14ac:dyDescent="0.2">
      <c r="A594" s="5" t="s">
        <v>67</v>
      </c>
      <c r="B594" s="25">
        <v>43361</v>
      </c>
      <c r="C594" s="26">
        <v>0.66874999999999996</v>
      </c>
      <c r="D594" s="5" t="s">
        <v>141</v>
      </c>
      <c r="E594" s="5"/>
      <c r="F594" s="32">
        <v>63</v>
      </c>
      <c r="G594" s="9">
        <v>2</v>
      </c>
      <c r="H594" s="6">
        <v>3.1746031746031744E-2</v>
      </c>
      <c r="I594" s="7">
        <v>6.83E-2</v>
      </c>
      <c r="J594" s="9">
        <v>314.15899999999999</v>
      </c>
      <c r="K594" s="9">
        <v>0.47809999999999997</v>
      </c>
      <c r="L594" s="9">
        <v>7</v>
      </c>
      <c r="M594" s="14">
        <v>328.54946663877848</v>
      </c>
      <c r="N594" s="9">
        <v>147</v>
      </c>
      <c r="O594" s="12" t="s">
        <v>142</v>
      </c>
      <c r="P594" s="8" t="s">
        <v>70</v>
      </c>
      <c r="Q594" s="9" t="s">
        <v>71</v>
      </c>
      <c r="R594" s="9" t="s">
        <v>84</v>
      </c>
      <c r="S594" s="9"/>
      <c r="T594" s="18">
        <v>4</v>
      </c>
      <c r="U594" s="18">
        <v>4</v>
      </c>
      <c r="V594" s="9">
        <v>22.2</v>
      </c>
      <c r="Y594" s="9">
        <f t="shared" si="18"/>
        <v>1314.1978665551139</v>
      </c>
      <c r="Z594" s="19" t="s">
        <v>73</v>
      </c>
      <c r="AA594" s="8" t="s">
        <v>143</v>
      </c>
      <c r="AB594" s="8" t="s">
        <v>75</v>
      </c>
      <c r="AC594" s="11" t="s">
        <v>76</v>
      </c>
      <c r="AD594" s="9" t="s">
        <v>77</v>
      </c>
      <c r="AE594" s="56">
        <f t="shared" si="19"/>
        <v>636.96365567999987</v>
      </c>
      <c r="AF594" s="14">
        <v>636.96365567999987</v>
      </c>
      <c r="AG594" s="13"/>
    </row>
    <row r="595" spans="1:41" x14ac:dyDescent="0.2">
      <c r="A595" s="5" t="s">
        <v>67</v>
      </c>
      <c r="B595" s="25">
        <v>43361</v>
      </c>
      <c r="C595" s="26">
        <v>0.66874999999999996</v>
      </c>
      <c r="D595" s="5" t="s">
        <v>141</v>
      </c>
      <c r="E595" s="5"/>
      <c r="F595" s="32">
        <v>63</v>
      </c>
      <c r="G595" s="9">
        <v>2</v>
      </c>
      <c r="H595" s="6">
        <v>3.1746031746031744E-2</v>
      </c>
      <c r="I595" s="7">
        <v>6.83E-2</v>
      </c>
      <c r="J595" s="9">
        <v>314.15899999999999</v>
      </c>
      <c r="K595" s="9">
        <v>0.47809999999999997</v>
      </c>
      <c r="L595" s="9">
        <v>7</v>
      </c>
      <c r="M595" s="14">
        <v>328.54946663877848</v>
      </c>
      <c r="N595" s="9">
        <v>1037</v>
      </c>
      <c r="O595" s="12" t="s">
        <v>86</v>
      </c>
      <c r="P595" s="12" t="s">
        <v>82</v>
      </c>
      <c r="Q595" s="9" t="s">
        <v>87</v>
      </c>
      <c r="R595" s="9" t="s">
        <v>84</v>
      </c>
      <c r="S595" s="9"/>
      <c r="T595" s="18">
        <v>14</v>
      </c>
      <c r="U595" s="18">
        <v>14</v>
      </c>
      <c r="V595" s="9">
        <v>2.8</v>
      </c>
      <c r="Y595" s="9">
        <f t="shared" si="18"/>
        <v>4599.6925329428987</v>
      </c>
      <c r="Z595" s="19" t="s">
        <v>73</v>
      </c>
      <c r="AA595" s="8" t="s">
        <v>143</v>
      </c>
      <c r="AB595" s="8" t="s">
        <v>75</v>
      </c>
      <c r="AC595" s="11" t="s">
        <v>76</v>
      </c>
      <c r="AD595" s="9" t="s">
        <v>85</v>
      </c>
      <c r="AE595" s="56">
        <f t="shared" si="19"/>
        <v>7.2382233599999992</v>
      </c>
      <c r="AF595" s="14">
        <v>7.2382233599999992</v>
      </c>
      <c r="AG595" s="13"/>
    </row>
    <row r="596" spans="1:41" x14ac:dyDescent="0.2">
      <c r="A596" s="5" t="s">
        <v>67</v>
      </c>
      <c r="B596" s="25">
        <v>43361</v>
      </c>
      <c r="C596" s="26">
        <v>0.66874999999999996</v>
      </c>
      <c r="D596" s="5" t="s">
        <v>141</v>
      </c>
      <c r="E596" s="5"/>
      <c r="F596" s="32">
        <v>63</v>
      </c>
      <c r="G596" s="9">
        <v>2</v>
      </c>
      <c r="H596" s="6">
        <v>3.1746031746031744E-2</v>
      </c>
      <c r="I596" s="7">
        <v>6.83E-2</v>
      </c>
      <c r="J596" s="9">
        <v>314.15899999999999</v>
      </c>
      <c r="K596" s="9">
        <v>0.47809999999999997</v>
      </c>
      <c r="L596" s="9">
        <v>7</v>
      </c>
      <c r="M596" s="14">
        <v>328.54946663877848</v>
      </c>
      <c r="N596" s="9">
        <v>1419</v>
      </c>
      <c r="O596" s="12" t="s">
        <v>94</v>
      </c>
      <c r="P596" s="12" t="s">
        <v>82</v>
      </c>
      <c r="Q596" s="9" t="s">
        <v>95</v>
      </c>
      <c r="R596" s="9" t="s">
        <v>96</v>
      </c>
      <c r="S596" s="9"/>
      <c r="T596" s="18">
        <v>385</v>
      </c>
      <c r="U596" s="18">
        <v>777</v>
      </c>
      <c r="V596" s="9">
        <v>0.8</v>
      </c>
      <c r="W596" s="9">
        <v>0.8</v>
      </c>
      <c r="X596" s="9">
        <v>0.8</v>
      </c>
      <c r="Y596" s="9">
        <f t="shared" si="18"/>
        <v>126491.54465592973</v>
      </c>
      <c r="Z596" s="19" t="s">
        <v>97</v>
      </c>
      <c r="AA596" s="8" t="s">
        <v>143</v>
      </c>
      <c r="AB596" s="8" t="s">
        <v>75</v>
      </c>
      <c r="AC596" s="11" t="s">
        <v>76</v>
      </c>
      <c r="AD596" s="9" t="s">
        <v>85</v>
      </c>
      <c r="AE596" s="56">
        <f t="shared" si="19"/>
        <v>0.17999999999999997</v>
      </c>
      <c r="AF596" s="14">
        <v>0.18</v>
      </c>
      <c r="AG596" s="14">
        <v>0.18</v>
      </c>
      <c r="AH596" s="14">
        <v>0.18</v>
      </c>
      <c r="AI596" s="14">
        <v>0.18</v>
      </c>
      <c r="AJ596" s="14">
        <v>0.18</v>
      </c>
      <c r="AK596" s="14">
        <v>0.18</v>
      </c>
      <c r="AL596" s="14">
        <v>0.18</v>
      </c>
      <c r="AM596" s="14">
        <v>0.18</v>
      </c>
      <c r="AN596" s="14">
        <v>0.18</v>
      </c>
      <c r="AO596" s="14">
        <v>0.18</v>
      </c>
    </row>
    <row r="597" spans="1:41" x14ac:dyDescent="0.2">
      <c r="A597" s="5" t="s">
        <v>67</v>
      </c>
      <c r="B597" s="25">
        <v>43361</v>
      </c>
      <c r="C597" s="26">
        <v>0.66874999999999996</v>
      </c>
      <c r="D597" s="5" t="s">
        <v>141</v>
      </c>
      <c r="E597" s="5"/>
      <c r="F597" s="32">
        <v>63</v>
      </c>
      <c r="G597" s="9">
        <v>2</v>
      </c>
      <c r="H597" s="6">
        <v>3.1746031746031744E-2</v>
      </c>
      <c r="I597" s="7">
        <v>6.83E-2</v>
      </c>
      <c r="J597" s="9">
        <v>314.15899999999999</v>
      </c>
      <c r="K597" s="9">
        <v>0.47809999999999997</v>
      </c>
      <c r="L597" s="9">
        <v>7</v>
      </c>
      <c r="M597" s="14">
        <v>328.54946663877848</v>
      </c>
      <c r="N597" s="9">
        <v>1508</v>
      </c>
      <c r="O597" s="12" t="s">
        <v>132</v>
      </c>
      <c r="P597" s="12" t="s">
        <v>82</v>
      </c>
      <c r="Q597" s="9" t="s">
        <v>133</v>
      </c>
      <c r="R597" s="9" t="s">
        <v>84</v>
      </c>
      <c r="S597" s="9"/>
      <c r="T597" s="18">
        <v>1</v>
      </c>
      <c r="U597" s="18">
        <v>6</v>
      </c>
      <c r="V597" s="9">
        <v>1.9</v>
      </c>
      <c r="Y597" s="9">
        <f t="shared" si="18"/>
        <v>328.54946663877848</v>
      </c>
      <c r="Z597" s="19" t="s">
        <v>134</v>
      </c>
      <c r="AA597" s="8" t="s">
        <v>143</v>
      </c>
      <c r="AB597" s="8" t="s">
        <v>75</v>
      </c>
      <c r="AC597" s="11" t="s">
        <v>76</v>
      </c>
      <c r="AD597" s="9" t="s">
        <v>104</v>
      </c>
      <c r="AE597" s="56">
        <f t="shared" si="19"/>
        <v>5.3870414524999992</v>
      </c>
      <c r="AF597" s="14">
        <v>5.3870414524999992</v>
      </c>
      <c r="AG597" s="13"/>
    </row>
    <row r="598" spans="1:41" x14ac:dyDescent="0.2">
      <c r="A598" s="5" t="s">
        <v>67</v>
      </c>
      <c r="B598" s="25">
        <v>43361</v>
      </c>
      <c r="C598" s="26">
        <v>0.69861111111111096</v>
      </c>
      <c r="D598" s="5" t="s">
        <v>124</v>
      </c>
      <c r="E598" s="5">
        <v>3</v>
      </c>
      <c r="F598" s="32">
        <v>61</v>
      </c>
      <c r="G598" s="9">
        <v>2</v>
      </c>
      <c r="H598" s="6">
        <v>3.2786885245901641E-2</v>
      </c>
      <c r="I598" s="7">
        <v>6.83E-2</v>
      </c>
      <c r="J598" s="9">
        <v>314.15899999999999</v>
      </c>
      <c r="K598" s="9">
        <v>0.5464</v>
      </c>
      <c r="L598" s="9">
        <v>8</v>
      </c>
      <c r="M598" s="14">
        <v>287.48078330893117</v>
      </c>
      <c r="N598" s="9">
        <v>190</v>
      </c>
      <c r="O598" s="12" t="s">
        <v>102</v>
      </c>
      <c r="P598" s="8" t="s">
        <v>70</v>
      </c>
      <c r="Q598" s="9" t="s">
        <v>103</v>
      </c>
      <c r="R598" s="9" t="s">
        <v>84</v>
      </c>
      <c r="S598" s="9"/>
      <c r="T598" s="18">
        <v>1</v>
      </c>
      <c r="U598" s="18">
        <v>1</v>
      </c>
      <c r="V598" s="9">
        <v>7.4</v>
      </c>
      <c r="Y598" s="9">
        <f t="shared" si="18"/>
        <v>287.48078330893117</v>
      </c>
      <c r="Z598" s="19" t="s">
        <v>73</v>
      </c>
      <c r="AA598" s="8" t="s">
        <v>253</v>
      </c>
      <c r="AB598" s="8" t="s">
        <v>75</v>
      </c>
      <c r="AC598" s="11" t="s">
        <v>76</v>
      </c>
      <c r="AD598" s="9" t="s">
        <v>104</v>
      </c>
      <c r="AE598" s="56">
        <f t="shared" si="19"/>
        <v>240.84685575999998</v>
      </c>
      <c r="AF598" s="14">
        <v>240.84685575999998</v>
      </c>
      <c r="AG598" s="13"/>
    </row>
    <row r="599" spans="1:41" x14ac:dyDescent="0.2">
      <c r="A599" s="5" t="s">
        <v>67</v>
      </c>
      <c r="B599" s="25">
        <v>43361</v>
      </c>
      <c r="C599" s="26">
        <v>0.69861111111111096</v>
      </c>
      <c r="D599" s="5" t="s">
        <v>124</v>
      </c>
      <c r="E599" s="5">
        <v>3</v>
      </c>
      <c r="F599" s="32">
        <v>61</v>
      </c>
      <c r="G599" s="9">
        <v>2</v>
      </c>
      <c r="H599" s="6">
        <v>3.2786885245901641E-2</v>
      </c>
      <c r="I599" s="7">
        <v>6.83E-2</v>
      </c>
      <c r="J599" s="9">
        <v>314.15899999999999</v>
      </c>
      <c r="K599" s="9">
        <v>0.5464</v>
      </c>
      <c r="L599" s="9">
        <v>8</v>
      </c>
      <c r="M599" s="14">
        <v>287.48078330893117</v>
      </c>
      <c r="N599" s="9">
        <v>1037</v>
      </c>
      <c r="O599" s="12" t="s">
        <v>86</v>
      </c>
      <c r="P599" s="12" t="s">
        <v>82</v>
      </c>
      <c r="Q599" s="9" t="s">
        <v>87</v>
      </c>
      <c r="R599" s="9" t="s">
        <v>84</v>
      </c>
      <c r="S599" s="9"/>
      <c r="T599" s="18">
        <v>32</v>
      </c>
      <c r="U599" s="18">
        <v>32</v>
      </c>
      <c r="V599" s="9">
        <v>3.7</v>
      </c>
      <c r="Y599" s="9">
        <f t="shared" si="18"/>
        <v>9199.3850658857973</v>
      </c>
      <c r="Z599" s="19" t="s">
        <v>73</v>
      </c>
      <c r="AA599" s="8" t="s">
        <v>253</v>
      </c>
      <c r="AB599" s="8" t="s">
        <v>75</v>
      </c>
      <c r="AC599" s="11" t="s">
        <v>76</v>
      </c>
      <c r="AD599" s="9" t="s">
        <v>85</v>
      </c>
      <c r="AE599" s="56">
        <f t="shared" si="19"/>
        <v>11.494030613333329</v>
      </c>
      <c r="AF599" s="14">
        <v>11.494030613333329</v>
      </c>
      <c r="AG599" s="13"/>
    </row>
    <row r="600" spans="1:41" x14ac:dyDescent="0.2">
      <c r="A600" s="5" t="s">
        <v>67</v>
      </c>
      <c r="B600" s="25">
        <v>43361</v>
      </c>
      <c r="C600" s="26">
        <v>0.69861111111111096</v>
      </c>
      <c r="D600" s="5" t="s">
        <v>124</v>
      </c>
      <c r="E600" s="5">
        <v>3</v>
      </c>
      <c r="F600" s="32">
        <v>61</v>
      </c>
      <c r="G600" s="9">
        <v>2</v>
      </c>
      <c r="H600" s="6">
        <v>3.2786885245901641E-2</v>
      </c>
      <c r="I600" s="7">
        <v>6.83E-2</v>
      </c>
      <c r="J600" s="9">
        <v>314.15899999999999</v>
      </c>
      <c r="K600" s="9">
        <v>0.5464</v>
      </c>
      <c r="L600" s="9">
        <v>8</v>
      </c>
      <c r="M600" s="14">
        <v>287.48078330893117</v>
      </c>
      <c r="N600" s="9">
        <v>1733</v>
      </c>
      <c r="O600" s="12" t="s">
        <v>92</v>
      </c>
      <c r="P600" s="12" t="s">
        <v>82</v>
      </c>
      <c r="Q600" s="9" t="s">
        <v>89</v>
      </c>
      <c r="R600" s="9" t="s">
        <v>93</v>
      </c>
      <c r="S600" s="9"/>
      <c r="T600" s="18">
        <v>2</v>
      </c>
      <c r="U600" s="18">
        <v>2</v>
      </c>
      <c r="V600" s="9">
        <v>6.5</v>
      </c>
      <c r="Y600" s="9">
        <f t="shared" si="18"/>
        <v>574.96156661786233</v>
      </c>
      <c r="Z600" s="19" t="s">
        <v>73</v>
      </c>
      <c r="AA600" s="8" t="s">
        <v>253</v>
      </c>
      <c r="AB600" s="8" t="s">
        <v>75</v>
      </c>
      <c r="AC600" s="11" t="s">
        <v>76</v>
      </c>
      <c r="AD600" s="9" t="s">
        <v>91</v>
      </c>
      <c r="AE600" s="56">
        <f t="shared" si="19"/>
        <v>112.822350875</v>
      </c>
      <c r="AF600" s="14">
        <v>112.822350875</v>
      </c>
      <c r="AG600" s="13"/>
    </row>
    <row r="601" spans="1:41" x14ac:dyDescent="0.2">
      <c r="A601" s="5" t="s">
        <v>67</v>
      </c>
      <c r="B601" s="25">
        <v>43361</v>
      </c>
      <c r="C601" s="26">
        <v>0.69861111111111096</v>
      </c>
      <c r="D601" s="5" t="s">
        <v>124</v>
      </c>
      <c r="E601" s="5">
        <v>3</v>
      </c>
      <c r="F601" s="32">
        <v>61</v>
      </c>
      <c r="G601" s="9">
        <v>2</v>
      </c>
      <c r="H601" s="6">
        <v>3.2786885245901641E-2</v>
      </c>
      <c r="I601" s="7">
        <v>6.83E-2</v>
      </c>
      <c r="J601" s="9">
        <v>314.15899999999999</v>
      </c>
      <c r="K601" s="9">
        <v>0.5464</v>
      </c>
      <c r="L601" s="9">
        <v>8</v>
      </c>
      <c r="M601" s="14">
        <v>287.48078330893117</v>
      </c>
      <c r="N601" s="9">
        <v>1365</v>
      </c>
      <c r="O601" s="12" t="s">
        <v>121</v>
      </c>
      <c r="P601" s="12" t="s">
        <v>82</v>
      </c>
      <c r="Q601" s="9" t="s">
        <v>122</v>
      </c>
      <c r="R601" s="9" t="s">
        <v>123</v>
      </c>
      <c r="S601" s="9"/>
      <c r="T601" s="18">
        <v>4</v>
      </c>
      <c r="U601" s="18">
        <v>4</v>
      </c>
      <c r="V601" s="9">
        <v>13</v>
      </c>
      <c r="Y601" s="9">
        <f t="shared" si="18"/>
        <v>1149.9231332357247</v>
      </c>
      <c r="Z601" s="19" t="s">
        <v>73</v>
      </c>
      <c r="AA601" s="8" t="s">
        <v>253</v>
      </c>
      <c r="AB601" s="8" t="s">
        <v>75</v>
      </c>
      <c r="AC601" s="11" t="s">
        <v>76</v>
      </c>
      <c r="AD601" s="9" t="s">
        <v>91</v>
      </c>
      <c r="AE601" s="56">
        <f t="shared" si="19"/>
        <v>814.03178385416652</v>
      </c>
      <c r="AF601" s="14">
        <v>814.03178385416652</v>
      </c>
      <c r="AG601" s="13"/>
    </row>
    <row r="602" spans="1:41" x14ac:dyDescent="0.2">
      <c r="A602" s="5" t="s">
        <v>67</v>
      </c>
      <c r="B602" s="25">
        <v>43361</v>
      </c>
      <c r="C602" s="26">
        <v>0.69861111111111096</v>
      </c>
      <c r="D602" s="5" t="s">
        <v>124</v>
      </c>
      <c r="E602" s="5">
        <v>3</v>
      </c>
      <c r="F602" s="32">
        <v>61</v>
      </c>
      <c r="G602" s="9">
        <v>2</v>
      </c>
      <c r="H602" s="6">
        <v>3.2786885245901641E-2</v>
      </c>
      <c r="I602" s="7">
        <v>6.83E-2</v>
      </c>
      <c r="J602" s="9">
        <v>314.15899999999999</v>
      </c>
      <c r="K602" s="9">
        <v>0.5464</v>
      </c>
      <c r="L602" s="9">
        <v>8</v>
      </c>
      <c r="M602" s="14">
        <v>287.48078330893117</v>
      </c>
      <c r="N602" s="9">
        <v>1419</v>
      </c>
      <c r="O602" s="12" t="s">
        <v>94</v>
      </c>
      <c r="P602" s="12" t="s">
        <v>82</v>
      </c>
      <c r="Q602" s="9" t="s">
        <v>95</v>
      </c>
      <c r="R602" s="9" t="s">
        <v>96</v>
      </c>
      <c r="S602" s="9"/>
      <c r="T602" s="18">
        <v>395</v>
      </c>
      <c r="U602" s="18">
        <v>800</v>
      </c>
      <c r="V602" s="9">
        <v>0.8</v>
      </c>
      <c r="W602" s="9">
        <v>0.8</v>
      </c>
      <c r="X602" s="9">
        <v>0.8</v>
      </c>
      <c r="Y602" s="9">
        <f t="shared" si="18"/>
        <v>113554.90940702781</v>
      </c>
      <c r="Z602" s="19" t="s">
        <v>97</v>
      </c>
      <c r="AA602" s="8" t="s">
        <v>253</v>
      </c>
      <c r="AB602" s="8" t="s">
        <v>75</v>
      </c>
      <c r="AC602" s="11" t="s">
        <v>76</v>
      </c>
      <c r="AD602" s="9" t="s">
        <v>85</v>
      </c>
      <c r="AE602" s="56">
        <f t="shared" si="19"/>
        <v>0.17999999999999997</v>
      </c>
      <c r="AF602" s="14">
        <v>0.18</v>
      </c>
      <c r="AG602" s="14">
        <v>0.18</v>
      </c>
      <c r="AH602" s="14">
        <v>0.18</v>
      </c>
      <c r="AI602" s="14">
        <v>0.18</v>
      </c>
      <c r="AJ602" s="14">
        <v>0.18</v>
      </c>
      <c r="AK602" s="14">
        <v>0.18</v>
      </c>
      <c r="AL602" s="14">
        <v>0.18</v>
      </c>
      <c r="AM602" s="14">
        <v>0.18</v>
      </c>
      <c r="AN602" s="14">
        <v>0.18</v>
      </c>
      <c r="AO602" s="14">
        <v>0.18</v>
      </c>
    </row>
    <row r="603" spans="1:41" x14ac:dyDescent="0.2">
      <c r="A603" s="5" t="s">
        <v>67</v>
      </c>
      <c r="B603" s="25">
        <v>43361</v>
      </c>
      <c r="C603" s="26">
        <v>0.69861111111111096</v>
      </c>
      <c r="D603" s="5" t="s">
        <v>124</v>
      </c>
      <c r="E603" s="5">
        <v>3</v>
      </c>
      <c r="F603" s="32">
        <v>61</v>
      </c>
      <c r="G603" s="9">
        <v>2</v>
      </c>
      <c r="H603" s="6">
        <v>3.2786885245901641E-2</v>
      </c>
      <c r="I603" s="7">
        <v>6.83E-2</v>
      </c>
      <c r="J603" s="9">
        <v>314.15899999999999</v>
      </c>
      <c r="K603" s="9">
        <v>0.5464</v>
      </c>
      <c r="L603" s="9">
        <v>8</v>
      </c>
      <c r="M603" s="14">
        <v>287.48078330893117</v>
      </c>
      <c r="N603" s="9">
        <v>1507</v>
      </c>
      <c r="O603" s="12" t="s">
        <v>185</v>
      </c>
      <c r="P603" s="12" t="s">
        <v>82</v>
      </c>
      <c r="Q603" s="9" t="s">
        <v>133</v>
      </c>
      <c r="R603" s="9" t="s">
        <v>186</v>
      </c>
      <c r="S603" s="9"/>
      <c r="T603" s="18">
        <v>1</v>
      </c>
      <c r="U603" s="18">
        <v>3</v>
      </c>
      <c r="V603" s="9">
        <v>3.7</v>
      </c>
      <c r="Y603" s="9">
        <f t="shared" si="18"/>
        <v>287.48078330893117</v>
      </c>
      <c r="Z603" s="19" t="s">
        <v>134</v>
      </c>
      <c r="AA603" s="8" t="s">
        <v>253</v>
      </c>
      <c r="AB603" s="8" t="s">
        <v>75</v>
      </c>
      <c r="AC603" s="11" t="s">
        <v>76</v>
      </c>
      <c r="AD603" s="9" t="s">
        <v>104</v>
      </c>
      <c r="AE603" s="56">
        <f t="shared" si="19"/>
        <v>10.490554407499999</v>
      </c>
      <c r="AF603" s="14">
        <v>10.490554407499999</v>
      </c>
      <c r="AG603" s="13"/>
    </row>
    <row r="604" spans="1:41" x14ac:dyDescent="0.2">
      <c r="A604" s="5" t="s">
        <v>67</v>
      </c>
      <c r="B604" s="25">
        <v>43361</v>
      </c>
      <c r="C604" s="26">
        <v>0.69861111111111096</v>
      </c>
      <c r="D604" s="5" t="s">
        <v>124</v>
      </c>
      <c r="E604" s="5">
        <v>3</v>
      </c>
      <c r="F604" s="32">
        <v>61</v>
      </c>
      <c r="G604" s="9">
        <v>2</v>
      </c>
      <c r="H604" s="6">
        <v>3.2786885245901641E-2</v>
      </c>
      <c r="I604" s="7">
        <v>6.83E-2</v>
      </c>
      <c r="J604" s="9">
        <v>314.15899999999999</v>
      </c>
      <c r="K604" s="9">
        <v>0.5464</v>
      </c>
      <c r="L604" s="9">
        <v>8</v>
      </c>
      <c r="M604" s="14">
        <v>287.48078330893117</v>
      </c>
      <c r="N604" s="9">
        <v>1508</v>
      </c>
      <c r="O604" s="12" t="s">
        <v>132</v>
      </c>
      <c r="P604" s="12" t="s">
        <v>82</v>
      </c>
      <c r="Q604" s="9" t="s">
        <v>133</v>
      </c>
      <c r="R604" s="9" t="s">
        <v>84</v>
      </c>
      <c r="S604" s="9"/>
      <c r="T604" s="18">
        <v>1</v>
      </c>
      <c r="U604" s="18">
        <v>4</v>
      </c>
      <c r="V604" s="9">
        <v>1.9</v>
      </c>
      <c r="Y604" s="9">
        <f t="shared" si="18"/>
        <v>287.48078330893117</v>
      </c>
      <c r="Z604" s="19" t="s">
        <v>134</v>
      </c>
      <c r="AA604" s="8" t="s">
        <v>253</v>
      </c>
      <c r="AB604" s="8" t="s">
        <v>75</v>
      </c>
      <c r="AC604" s="11" t="s">
        <v>76</v>
      </c>
      <c r="AD604" s="9" t="s">
        <v>104</v>
      </c>
      <c r="AE604" s="56">
        <f t="shared" si="19"/>
        <v>5.3870414524999992</v>
      </c>
      <c r="AF604" s="14">
        <v>5.3870414524999992</v>
      </c>
      <c r="AG604" s="13"/>
    </row>
    <row r="605" spans="1:41" x14ac:dyDescent="0.2">
      <c r="A605" s="5" t="s">
        <v>67</v>
      </c>
      <c r="B605" s="25">
        <v>43361</v>
      </c>
      <c r="C605" s="26">
        <v>0.71388888888888902</v>
      </c>
      <c r="D605" s="5" t="s">
        <v>200</v>
      </c>
      <c r="E605" s="5">
        <v>3</v>
      </c>
      <c r="F605" s="32">
        <v>62</v>
      </c>
      <c r="G605" s="9">
        <v>2</v>
      </c>
      <c r="H605" s="6">
        <v>3.2258064516129031E-2</v>
      </c>
      <c r="I605" s="7">
        <v>6.83E-2</v>
      </c>
      <c r="J605" s="9">
        <v>314.15899999999999</v>
      </c>
      <c r="K605" s="9">
        <v>0.61470000000000002</v>
      </c>
      <c r="L605" s="9">
        <v>9</v>
      </c>
      <c r="M605" s="14">
        <v>255.53847405238326</v>
      </c>
      <c r="N605" s="9">
        <v>749</v>
      </c>
      <c r="O605" s="12" t="s">
        <v>190</v>
      </c>
      <c r="P605" s="8" t="s">
        <v>70</v>
      </c>
      <c r="Q605" s="9" t="s">
        <v>191</v>
      </c>
      <c r="R605" s="9" t="s">
        <v>84</v>
      </c>
      <c r="S605" s="9"/>
      <c r="T605" s="18">
        <v>1</v>
      </c>
      <c r="U605" s="18">
        <v>1</v>
      </c>
      <c r="V605" s="9">
        <v>22.2</v>
      </c>
      <c r="Y605" s="9">
        <f t="shared" si="18"/>
        <v>255.53847405238326</v>
      </c>
      <c r="Z605" s="19" t="s">
        <v>73</v>
      </c>
      <c r="AA605" s="8" t="s">
        <v>201</v>
      </c>
      <c r="AB605" s="8" t="s">
        <v>75</v>
      </c>
      <c r="AC605" s="11" t="s">
        <v>112</v>
      </c>
      <c r="AD605" s="9" t="s">
        <v>193</v>
      </c>
      <c r="AE605" s="56">
        <f t="shared" si="19"/>
        <v>114.996</v>
      </c>
      <c r="AF605" s="14">
        <v>114.996</v>
      </c>
      <c r="AG605" s="13"/>
    </row>
    <row r="606" spans="1:41" x14ac:dyDescent="0.2">
      <c r="A606" s="5" t="s">
        <v>67</v>
      </c>
      <c r="B606" s="25">
        <v>43361</v>
      </c>
      <c r="C606" s="26">
        <v>0.71388888888888902</v>
      </c>
      <c r="D606" s="5" t="s">
        <v>200</v>
      </c>
      <c r="E606" s="5">
        <v>3</v>
      </c>
      <c r="F606" s="32">
        <v>62</v>
      </c>
      <c r="G606" s="9">
        <v>2</v>
      </c>
      <c r="H606" s="6">
        <v>3.2258064516129031E-2</v>
      </c>
      <c r="I606" s="7">
        <v>6.83E-2</v>
      </c>
      <c r="J606" s="9">
        <v>314.15899999999999</v>
      </c>
      <c r="K606" s="9">
        <v>0.61470000000000002</v>
      </c>
      <c r="L606" s="9">
        <v>9</v>
      </c>
      <c r="M606" s="14">
        <v>255.53847405238326</v>
      </c>
      <c r="N606" s="9">
        <v>1031</v>
      </c>
      <c r="O606" s="12" t="s">
        <v>172</v>
      </c>
      <c r="P606" s="12" t="s">
        <v>82</v>
      </c>
      <c r="Q606" s="9" t="s">
        <v>83</v>
      </c>
      <c r="R606" s="9" t="s">
        <v>84</v>
      </c>
      <c r="S606" s="9"/>
      <c r="T606" s="18">
        <v>1</v>
      </c>
      <c r="U606" s="18">
        <v>1</v>
      </c>
      <c r="V606" s="9">
        <v>4.5999999999999996</v>
      </c>
      <c r="Y606" s="9">
        <f t="shared" si="18"/>
        <v>255.53847405238326</v>
      </c>
      <c r="Z606" s="19" t="s">
        <v>73</v>
      </c>
      <c r="AA606" s="8" t="s">
        <v>201</v>
      </c>
      <c r="AB606" s="8" t="s">
        <v>75</v>
      </c>
      <c r="AC606" s="11" t="s">
        <v>112</v>
      </c>
      <c r="AD606" s="9" t="s">
        <v>85</v>
      </c>
      <c r="AE606" s="56">
        <f t="shared" si="19"/>
        <v>40.993560713333324</v>
      </c>
      <c r="AF606" s="14">
        <v>40.993560713333324</v>
      </c>
      <c r="AG606" s="13"/>
    </row>
    <row r="607" spans="1:41" x14ac:dyDescent="0.2">
      <c r="A607" s="5" t="s">
        <v>67</v>
      </c>
      <c r="B607" s="25">
        <v>43361</v>
      </c>
      <c r="C607" s="26">
        <v>0.71388888888888902</v>
      </c>
      <c r="D607" s="5" t="s">
        <v>200</v>
      </c>
      <c r="E607" s="5">
        <v>3</v>
      </c>
      <c r="F607" s="32">
        <v>62</v>
      </c>
      <c r="G607" s="9">
        <v>2</v>
      </c>
      <c r="H607" s="6">
        <v>3.2258064516129031E-2</v>
      </c>
      <c r="I607" s="7">
        <v>6.83E-2</v>
      </c>
      <c r="J607" s="9">
        <v>314.15899999999999</v>
      </c>
      <c r="K607" s="9">
        <v>0.61470000000000002</v>
      </c>
      <c r="L607" s="9">
        <v>9</v>
      </c>
      <c r="M607" s="14">
        <v>255.53847405238326</v>
      </c>
      <c r="N607" s="9">
        <v>1037</v>
      </c>
      <c r="O607" s="12" t="s">
        <v>86</v>
      </c>
      <c r="P607" s="12" t="s">
        <v>82</v>
      </c>
      <c r="Q607" s="9" t="s">
        <v>87</v>
      </c>
      <c r="R607" s="9" t="s">
        <v>84</v>
      </c>
      <c r="S607" s="9"/>
      <c r="T607" s="18">
        <v>14</v>
      </c>
      <c r="U607" s="18">
        <v>14</v>
      </c>
      <c r="V607" s="9">
        <v>3.7</v>
      </c>
      <c r="Y607" s="9">
        <f t="shared" si="18"/>
        <v>3577.5386367333654</v>
      </c>
      <c r="Z607" s="19" t="s">
        <v>73</v>
      </c>
      <c r="AA607" s="8" t="s">
        <v>201</v>
      </c>
      <c r="AB607" s="8" t="s">
        <v>75</v>
      </c>
      <c r="AC607" s="11" t="s">
        <v>112</v>
      </c>
      <c r="AD607" s="9" t="s">
        <v>85</v>
      </c>
      <c r="AE607" s="56">
        <f t="shared" si="19"/>
        <v>9.2027643066666673</v>
      </c>
      <c r="AF607" s="14">
        <v>9.2027643066666673</v>
      </c>
      <c r="AG607" s="13"/>
    </row>
    <row r="608" spans="1:41" x14ac:dyDescent="0.2">
      <c r="A608" s="5" t="s">
        <v>67</v>
      </c>
      <c r="B608" s="25">
        <v>43361</v>
      </c>
      <c r="C608" s="26">
        <v>0.71388888888888902</v>
      </c>
      <c r="D608" s="5" t="s">
        <v>200</v>
      </c>
      <c r="E608" s="5">
        <v>3</v>
      </c>
      <c r="F608" s="32">
        <v>62</v>
      </c>
      <c r="G608" s="9">
        <v>2</v>
      </c>
      <c r="H608" s="6">
        <v>3.2258064516129031E-2</v>
      </c>
      <c r="I608" s="7">
        <v>6.83E-2</v>
      </c>
      <c r="J608" s="9">
        <v>314.15899999999999</v>
      </c>
      <c r="K608" s="9">
        <v>0.61470000000000002</v>
      </c>
      <c r="L608" s="9">
        <v>9</v>
      </c>
      <c r="M608" s="14">
        <v>255.53847405238326</v>
      </c>
      <c r="N608" s="9">
        <v>1352</v>
      </c>
      <c r="O608" s="12" t="s">
        <v>118</v>
      </c>
      <c r="P608" s="12" t="s">
        <v>82</v>
      </c>
      <c r="Q608" s="9" t="s">
        <v>119</v>
      </c>
      <c r="R608" s="9" t="s">
        <v>84</v>
      </c>
      <c r="S608" s="9"/>
      <c r="T608" s="18">
        <v>1</v>
      </c>
      <c r="U608" s="18">
        <v>1</v>
      </c>
      <c r="V608" s="9">
        <v>14.8</v>
      </c>
      <c r="Y608" s="9">
        <f t="shared" si="18"/>
        <v>255.53847405238326</v>
      </c>
      <c r="Z608" s="19" t="s">
        <v>73</v>
      </c>
      <c r="AA608" s="8" t="s">
        <v>201</v>
      </c>
      <c r="AB608" s="8" t="s">
        <v>75</v>
      </c>
      <c r="AC608" s="11" t="s">
        <v>112</v>
      </c>
      <c r="AD608" s="9" t="s">
        <v>120</v>
      </c>
      <c r="AE608" s="56">
        <f t="shared" si="19"/>
        <v>670.23309377999999</v>
      </c>
      <c r="AF608" s="14">
        <v>670.23309377999999</v>
      </c>
      <c r="AG608" s="13"/>
    </row>
    <row r="609" spans="1:41" x14ac:dyDescent="0.2">
      <c r="A609" s="5" t="s">
        <v>67</v>
      </c>
      <c r="B609" s="25">
        <v>43361</v>
      </c>
      <c r="C609" s="26">
        <v>0.71388888888888902</v>
      </c>
      <c r="D609" s="5" t="s">
        <v>200</v>
      </c>
      <c r="E609" s="5">
        <v>3</v>
      </c>
      <c r="F609" s="32">
        <v>62</v>
      </c>
      <c r="G609" s="9">
        <v>2</v>
      </c>
      <c r="H609" s="6">
        <v>3.2258064516129031E-2</v>
      </c>
      <c r="I609" s="7">
        <v>6.83E-2</v>
      </c>
      <c r="J609" s="9">
        <v>314.15899999999999</v>
      </c>
      <c r="K609" s="9">
        <v>0.61470000000000002</v>
      </c>
      <c r="L609" s="9">
        <v>9</v>
      </c>
      <c r="M609" s="14">
        <v>255.53847405238326</v>
      </c>
      <c r="N609" s="9">
        <v>1733</v>
      </c>
      <c r="O609" s="12" t="s">
        <v>92</v>
      </c>
      <c r="P609" s="12" t="s">
        <v>82</v>
      </c>
      <c r="Q609" s="9" t="s">
        <v>89</v>
      </c>
      <c r="R609" s="9" t="s">
        <v>93</v>
      </c>
      <c r="S609" s="9"/>
      <c r="T609" s="18">
        <v>1</v>
      </c>
      <c r="U609" s="18">
        <v>1</v>
      </c>
      <c r="V609" s="9">
        <v>7.4</v>
      </c>
      <c r="Y609" s="9">
        <f t="shared" si="18"/>
        <v>255.53847405238326</v>
      </c>
      <c r="Z609" s="19" t="s">
        <v>73</v>
      </c>
      <c r="AA609" s="8" t="s">
        <v>201</v>
      </c>
      <c r="AB609" s="8" t="s">
        <v>75</v>
      </c>
      <c r="AC609" s="11" t="s">
        <v>112</v>
      </c>
      <c r="AD609" s="9" t="s">
        <v>91</v>
      </c>
      <c r="AE609" s="56">
        <f t="shared" si="19"/>
        <v>186.36959076666668</v>
      </c>
      <c r="AF609" s="14">
        <v>186.36959076666668</v>
      </c>
      <c r="AG609" s="13"/>
    </row>
    <row r="610" spans="1:41" x14ac:dyDescent="0.2">
      <c r="A610" s="5" t="s">
        <v>67</v>
      </c>
      <c r="B610" s="25">
        <v>43361</v>
      </c>
      <c r="C610" s="26">
        <v>0.71388888888888902</v>
      </c>
      <c r="D610" s="5" t="s">
        <v>200</v>
      </c>
      <c r="E610" s="5">
        <v>3</v>
      </c>
      <c r="F610" s="32">
        <v>62</v>
      </c>
      <c r="G610" s="9">
        <v>2</v>
      </c>
      <c r="H610" s="6">
        <v>3.2258064516129031E-2</v>
      </c>
      <c r="I610" s="7">
        <v>6.83E-2</v>
      </c>
      <c r="J610" s="9">
        <v>314.15899999999999</v>
      </c>
      <c r="K610" s="9">
        <v>0.61470000000000002</v>
      </c>
      <c r="L610" s="9">
        <v>9</v>
      </c>
      <c r="M610" s="14">
        <v>255.53847405238326</v>
      </c>
      <c r="N610" s="9">
        <v>1365</v>
      </c>
      <c r="O610" s="12" t="s">
        <v>121</v>
      </c>
      <c r="P610" s="12" t="s">
        <v>82</v>
      </c>
      <c r="Q610" s="9" t="s">
        <v>122</v>
      </c>
      <c r="R610" s="9" t="s">
        <v>123</v>
      </c>
      <c r="S610" s="9"/>
      <c r="T610" s="18">
        <v>5</v>
      </c>
      <c r="U610" s="18">
        <v>5</v>
      </c>
      <c r="V610" s="9">
        <v>12.6</v>
      </c>
      <c r="Y610" s="9">
        <f t="shared" si="18"/>
        <v>1277.6923702619165</v>
      </c>
      <c r="Z610" s="19" t="s">
        <v>73</v>
      </c>
      <c r="AA610" s="8" t="s">
        <v>201</v>
      </c>
      <c r="AB610" s="8" t="s">
        <v>75</v>
      </c>
      <c r="AC610" s="11" t="s">
        <v>112</v>
      </c>
      <c r="AD610" s="9" t="s">
        <v>91</v>
      </c>
      <c r="AE610" s="56">
        <f t="shared" si="19"/>
        <v>831.26471399999991</v>
      </c>
      <c r="AF610" s="14">
        <v>831.26471399999991</v>
      </c>
      <c r="AG610" s="13"/>
    </row>
    <row r="611" spans="1:41" x14ac:dyDescent="0.2">
      <c r="A611" s="5" t="s">
        <v>67</v>
      </c>
      <c r="B611" s="25">
        <v>43361</v>
      </c>
      <c r="C611" s="26">
        <v>0.71388888888888902</v>
      </c>
      <c r="D611" s="5" t="s">
        <v>200</v>
      </c>
      <c r="E611" s="5">
        <v>3</v>
      </c>
      <c r="F611" s="32">
        <v>62</v>
      </c>
      <c r="G611" s="9">
        <v>2</v>
      </c>
      <c r="H611" s="6">
        <v>3.2258064516129031E-2</v>
      </c>
      <c r="I611" s="7">
        <v>6.83E-2</v>
      </c>
      <c r="J611" s="9">
        <v>314.15899999999999</v>
      </c>
      <c r="K611" s="9">
        <v>0.61470000000000002</v>
      </c>
      <c r="L611" s="9">
        <v>9</v>
      </c>
      <c r="M611" s="14">
        <v>255.53847405238326</v>
      </c>
      <c r="N611" s="9">
        <v>1419</v>
      </c>
      <c r="O611" s="12" t="s">
        <v>94</v>
      </c>
      <c r="P611" s="12" t="s">
        <v>82</v>
      </c>
      <c r="Q611" s="9" t="s">
        <v>95</v>
      </c>
      <c r="R611" s="9" t="s">
        <v>96</v>
      </c>
      <c r="S611" s="9"/>
      <c r="T611" s="18">
        <v>405</v>
      </c>
      <c r="U611" s="18">
        <v>818</v>
      </c>
      <c r="V611" s="9">
        <v>0.8</v>
      </c>
      <c r="W611" s="9">
        <v>0.8</v>
      </c>
      <c r="X611" s="9">
        <v>0.8</v>
      </c>
      <c r="Y611" s="9">
        <f t="shared" si="18"/>
        <v>103493.08199121521</v>
      </c>
      <c r="Z611" s="19" t="s">
        <v>97</v>
      </c>
      <c r="AA611" s="8" t="s">
        <v>201</v>
      </c>
      <c r="AB611" s="8" t="s">
        <v>75</v>
      </c>
      <c r="AC611" s="11" t="s">
        <v>112</v>
      </c>
      <c r="AD611" s="9" t="s">
        <v>85</v>
      </c>
      <c r="AE611" s="56">
        <f t="shared" si="19"/>
        <v>0.17999999999999997</v>
      </c>
      <c r="AF611" s="14">
        <v>0.18</v>
      </c>
      <c r="AG611" s="14">
        <v>0.18</v>
      </c>
      <c r="AH611" s="14">
        <v>0.18</v>
      </c>
      <c r="AI611" s="14">
        <v>0.18</v>
      </c>
      <c r="AJ611" s="14">
        <v>0.18</v>
      </c>
      <c r="AK611" s="14">
        <v>0.18</v>
      </c>
      <c r="AL611" s="14">
        <v>0.18</v>
      </c>
      <c r="AM611" s="14">
        <v>0.18</v>
      </c>
      <c r="AN611" s="14">
        <v>0.18</v>
      </c>
      <c r="AO611" s="14">
        <v>0.18</v>
      </c>
    </row>
    <row r="612" spans="1:41" x14ac:dyDescent="0.2">
      <c r="A612" s="5" t="s">
        <v>67</v>
      </c>
      <c r="B612" s="25">
        <v>43361</v>
      </c>
      <c r="C612" s="26">
        <v>0.71388888888888902</v>
      </c>
      <c r="D612" s="5" t="s">
        <v>200</v>
      </c>
      <c r="E612" s="5">
        <v>3</v>
      </c>
      <c r="F612" s="32">
        <v>62</v>
      </c>
      <c r="G612" s="9">
        <v>2</v>
      </c>
      <c r="H612" s="6">
        <v>3.2258064516129031E-2</v>
      </c>
      <c r="I612" s="7">
        <v>6.83E-2</v>
      </c>
      <c r="J612" s="9">
        <v>314.15899999999999</v>
      </c>
      <c r="K612" s="9">
        <v>0.61470000000000002</v>
      </c>
      <c r="L612" s="9">
        <v>9</v>
      </c>
      <c r="M612" s="14">
        <v>255.53847405238326</v>
      </c>
      <c r="N612" s="9">
        <v>1421</v>
      </c>
      <c r="O612" s="12" t="s">
        <v>130</v>
      </c>
      <c r="P612" s="12" t="s">
        <v>82</v>
      </c>
      <c r="Q612" s="9" t="s">
        <v>95</v>
      </c>
      <c r="R612" s="9" t="s">
        <v>131</v>
      </c>
      <c r="S612" s="9"/>
      <c r="T612" s="18">
        <v>5</v>
      </c>
      <c r="U612" s="18">
        <v>6</v>
      </c>
      <c r="V612" s="9">
        <v>5.6</v>
      </c>
      <c r="Y612" s="9">
        <f t="shared" si="18"/>
        <v>1277.6923702619165</v>
      </c>
      <c r="Z612" s="19" t="s">
        <v>97</v>
      </c>
      <c r="AA612" s="8" t="s">
        <v>201</v>
      </c>
      <c r="AB612" s="8" t="s">
        <v>75</v>
      </c>
      <c r="AC612" s="11" t="s">
        <v>112</v>
      </c>
      <c r="AD612" s="9" t="s">
        <v>85</v>
      </c>
      <c r="AE612" s="56">
        <f t="shared" si="19"/>
        <v>82.447887960000003</v>
      </c>
      <c r="AF612" s="14">
        <v>82.447887960000003</v>
      </c>
      <c r="AG612" s="13"/>
    </row>
    <row r="613" spans="1:41" x14ac:dyDescent="0.2">
      <c r="A613" s="5" t="s">
        <v>67</v>
      </c>
      <c r="B613" s="25">
        <v>43361</v>
      </c>
      <c r="C613" s="26">
        <v>0.71388888888888902</v>
      </c>
      <c r="D613" s="5" t="s">
        <v>200</v>
      </c>
      <c r="E613" s="5">
        <v>3</v>
      </c>
      <c r="F613" s="32">
        <v>62</v>
      </c>
      <c r="G613" s="9">
        <v>2</v>
      </c>
      <c r="H613" s="6">
        <v>3.2258064516129031E-2</v>
      </c>
      <c r="I613" s="7">
        <v>6.83E-2</v>
      </c>
      <c r="J613" s="9">
        <v>314.15899999999999</v>
      </c>
      <c r="K613" s="9">
        <v>0.61470000000000002</v>
      </c>
      <c r="L613" s="9">
        <v>9</v>
      </c>
      <c r="M613" s="14">
        <v>255.53847405238326</v>
      </c>
      <c r="N613" s="9">
        <v>1508</v>
      </c>
      <c r="O613" s="12" t="s">
        <v>132</v>
      </c>
      <c r="P613" s="12" t="s">
        <v>82</v>
      </c>
      <c r="Q613" s="9" t="s">
        <v>133</v>
      </c>
      <c r="R613" s="9" t="s">
        <v>84</v>
      </c>
      <c r="S613" s="9"/>
      <c r="T613" s="18">
        <v>1</v>
      </c>
      <c r="U613" s="18">
        <v>4</v>
      </c>
      <c r="V613" s="9">
        <v>5.6</v>
      </c>
      <c r="Y613" s="9">
        <f t="shared" si="18"/>
        <v>255.53847405238326</v>
      </c>
      <c r="Z613" s="19" t="s">
        <v>134</v>
      </c>
      <c r="AA613" s="8" t="s">
        <v>201</v>
      </c>
      <c r="AB613" s="8" t="s">
        <v>75</v>
      </c>
      <c r="AC613" s="11" t="s">
        <v>112</v>
      </c>
      <c r="AD613" s="9" t="s">
        <v>104</v>
      </c>
      <c r="AE613" s="56">
        <f t="shared" si="19"/>
        <v>12.475253889999999</v>
      </c>
      <c r="AF613" s="14">
        <v>12.475253889999999</v>
      </c>
      <c r="AG613" s="13"/>
    </row>
    <row r="614" spans="1:41" x14ac:dyDescent="0.2">
      <c r="A614" s="5" t="s">
        <v>67</v>
      </c>
      <c r="B614" s="25">
        <v>43361</v>
      </c>
      <c r="C614" s="26">
        <v>0.72222222222222199</v>
      </c>
      <c r="D614" s="5" t="s">
        <v>135</v>
      </c>
      <c r="E614" s="5"/>
      <c r="F614" s="32">
        <v>62</v>
      </c>
      <c r="G614" s="9">
        <v>2</v>
      </c>
      <c r="H614" s="6">
        <v>3.2258064516129031E-2</v>
      </c>
      <c r="I614" s="7">
        <v>6.83E-2</v>
      </c>
      <c r="J614" s="9">
        <v>314.15899999999999</v>
      </c>
      <c r="K614" s="9">
        <v>0.5464</v>
      </c>
      <c r="L614" s="9">
        <v>8</v>
      </c>
      <c r="M614" s="14">
        <v>287.48078330893117</v>
      </c>
      <c r="N614" s="9">
        <v>190</v>
      </c>
      <c r="O614" s="12" t="s">
        <v>102</v>
      </c>
      <c r="P614" s="8" t="s">
        <v>70</v>
      </c>
      <c r="Q614" s="9" t="s">
        <v>103</v>
      </c>
      <c r="R614" s="9" t="s">
        <v>84</v>
      </c>
      <c r="S614" s="9"/>
      <c r="T614" s="18">
        <v>1</v>
      </c>
      <c r="U614" s="18">
        <v>1</v>
      </c>
      <c r="V614" s="9">
        <v>4.5999999999999996</v>
      </c>
      <c r="Y614" s="9">
        <f t="shared" si="18"/>
        <v>287.48078330893117</v>
      </c>
      <c r="Z614" s="19" t="s">
        <v>73</v>
      </c>
      <c r="AA614" s="8" t="s">
        <v>242</v>
      </c>
      <c r="AB614" s="8" t="s">
        <v>75</v>
      </c>
      <c r="AC614" s="11" t="s">
        <v>76</v>
      </c>
      <c r="AD614" s="9" t="s">
        <v>104</v>
      </c>
      <c r="AE614" s="56">
        <f t="shared" si="19"/>
        <v>61.490341069999992</v>
      </c>
      <c r="AF614" s="14">
        <v>61.490341069999992</v>
      </c>
      <c r="AG614" s="13"/>
    </row>
    <row r="615" spans="1:41" x14ac:dyDescent="0.2">
      <c r="A615" s="5" t="s">
        <v>67</v>
      </c>
      <c r="B615" s="25">
        <v>43361</v>
      </c>
      <c r="C615" s="26">
        <v>0.72222222222222199</v>
      </c>
      <c r="D615" s="5" t="s">
        <v>135</v>
      </c>
      <c r="E615" s="5"/>
      <c r="F615" s="32">
        <v>62</v>
      </c>
      <c r="G615" s="9">
        <v>2</v>
      </c>
      <c r="H615" s="6">
        <v>3.2258064516129031E-2</v>
      </c>
      <c r="I615" s="7">
        <v>6.83E-2</v>
      </c>
      <c r="J615" s="9">
        <v>314.15899999999999</v>
      </c>
      <c r="K615" s="9">
        <v>0.5464</v>
      </c>
      <c r="L615" s="9">
        <v>8</v>
      </c>
      <c r="M615" s="14">
        <v>287.48078330893117</v>
      </c>
      <c r="N615" s="9">
        <v>1860</v>
      </c>
      <c r="O615" s="8" t="s">
        <v>137</v>
      </c>
      <c r="P615" s="8" t="s">
        <v>70</v>
      </c>
      <c r="Q615" s="9" t="s">
        <v>138</v>
      </c>
      <c r="R615" s="9" t="s">
        <v>139</v>
      </c>
      <c r="S615" s="9"/>
      <c r="T615" s="18">
        <v>2</v>
      </c>
      <c r="U615" s="18">
        <v>2</v>
      </c>
      <c r="V615" s="9">
        <v>9.3000000000000007</v>
      </c>
      <c r="Y615" s="9">
        <f t="shared" si="18"/>
        <v>574.96156661786233</v>
      </c>
      <c r="Z615" s="19" t="s">
        <v>73</v>
      </c>
      <c r="AA615" s="8" t="s">
        <v>242</v>
      </c>
      <c r="AB615" s="8" t="s">
        <v>75</v>
      </c>
      <c r="AC615" s="11" t="s">
        <v>76</v>
      </c>
      <c r="AD615" s="9" t="s">
        <v>140</v>
      </c>
      <c r="AE615" s="56">
        <f t="shared" si="19"/>
        <v>51.723137759999993</v>
      </c>
      <c r="AF615" s="14">
        <v>51.723137759999993</v>
      </c>
      <c r="AG615" s="13"/>
    </row>
    <row r="616" spans="1:41" x14ac:dyDescent="0.2">
      <c r="A616" s="5" t="s">
        <v>67</v>
      </c>
      <c r="B616" s="25">
        <v>43361</v>
      </c>
      <c r="C616" s="26">
        <v>0.72222222222222199</v>
      </c>
      <c r="D616" s="5" t="s">
        <v>135</v>
      </c>
      <c r="E616" s="5"/>
      <c r="F616" s="32">
        <v>62</v>
      </c>
      <c r="G616" s="9">
        <v>2</v>
      </c>
      <c r="H616" s="6">
        <v>3.2258064516129031E-2</v>
      </c>
      <c r="I616" s="7">
        <v>6.83E-2</v>
      </c>
      <c r="J616" s="9">
        <v>314.15899999999999</v>
      </c>
      <c r="K616" s="9">
        <v>0.5464</v>
      </c>
      <c r="L616" s="9">
        <v>8</v>
      </c>
      <c r="M616" s="14">
        <v>287.48078330893117</v>
      </c>
      <c r="N616" s="9">
        <v>1037</v>
      </c>
      <c r="O616" s="12" t="s">
        <v>86</v>
      </c>
      <c r="P616" s="12" t="s">
        <v>82</v>
      </c>
      <c r="Q616" s="9" t="s">
        <v>87</v>
      </c>
      <c r="R616" s="9" t="s">
        <v>84</v>
      </c>
      <c r="S616" s="9"/>
      <c r="T616" s="18">
        <v>23</v>
      </c>
      <c r="U616" s="18">
        <v>23</v>
      </c>
      <c r="V616" s="9">
        <v>2.8</v>
      </c>
      <c r="Y616" s="9">
        <f t="shared" si="18"/>
        <v>6612.0580161054177</v>
      </c>
      <c r="Z616" s="19" t="s">
        <v>73</v>
      </c>
      <c r="AA616" s="8" t="s">
        <v>242</v>
      </c>
      <c r="AB616" s="8" t="s">
        <v>75</v>
      </c>
      <c r="AC616" s="11" t="s">
        <v>76</v>
      </c>
      <c r="AD616" s="9" t="s">
        <v>85</v>
      </c>
      <c r="AE616" s="56">
        <f t="shared" si="19"/>
        <v>11.494030613333329</v>
      </c>
      <c r="AF616" s="14">
        <v>11.494030613333329</v>
      </c>
      <c r="AG616" s="13"/>
    </row>
    <row r="617" spans="1:41" x14ac:dyDescent="0.2">
      <c r="A617" s="5" t="s">
        <v>67</v>
      </c>
      <c r="B617" s="25">
        <v>43361</v>
      </c>
      <c r="C617" s="26">
        <v>0.72222222222222199</v>
      </c>
      <c r="D617" s="5" t="s">
        <v>135</v>
      </c>
      <c r="E617" s="5"/>
      <c r="F617" s="32">
        <v>62</v>
      </c>
      <c r="G617" s="9">
        <v>2</v>
      </c>
      <c r="H617" s="6">
        <v>3.2258064516129031E-2</v>
      </c>
      <c r="I617" s="7">
        <v>6.83E-2</v>
      </c>
      <c r="J617" s="9">
        <v>314.15899999999999</v>
      </c>
      <c r="K617" s="9">
        <v>0.5464</v>
      </c>
      <c r="L617" s="9">
        <v>8</v>
      </c>
      <c r="M617" s="14">
        <v>287.48078330893117</v>
      </c>
      <c r="N617" s="9">
        <v>1733</v>
      </c>
      <c r="O617" s="12" t="s">
        <v>92</v>
      </c>
      <c r="P617" s="12" t="s">
        <v>82</v>
      </c>
      <c r="Q617" s="9" t="s">
        <v>89</v>
      </c>
      <c r="R617" s="9" t="s">
        <v>93</v>
      </c>
      <c r="S617" s="9"/>
      <c r="T617" s="18">
        <v>1</v>
      </c>
      <c r="U617" s="18">
        <v>1</v>
      </c>
      <c r="V617" s="9">
        <v>7.4</v>
      </c>
      <c r="Y617" s="9">
        <f t="shared" si="18"/>
        <v>287.48078330893117</v>
      </c>
      <c r="Z617" s="19" t="s">
        <v>73</v>
      </c>
      <c r="AA617" s="8" t="s">
        <v>242</v>
      </c>
      <c r="AB617" s="8" t="s">
        <v>75</v>
      </c>
      <c r="AC617" s="11" t="s">
        <v>76</v>
      </c>
      <c r="AD617" s="9" t="s">
        <v>91</v>
      </c>
      <c r="AE617" s="56">
        <f t="shared" si="19"/>
        <v>159.13095827000001</v>
      </c>
      <c r="AF617" s="14">
        <v>159.13095827000001</v>
      </c>
      <c r="AG617" s="13"/>
    </row>
    <row r="618" spans="1:41" x14ac:dyDescent="0.2">
      <c r="A618" s="5" t="s">
        <v>67</v>
      </c>
      <c r="B618" s="25">
        <v>43361</v>
      </c>
      <c r="C618" s="26">
        <v>0.72222222222222199</v>
      </c>
      <c r="D618" s="5" t="s">
        <v>135</v>
      </c>
      <c r="E618" s="5"/>
      <c r="F618" s="32">
        <v>62</v>
      </c>
      <c r="G618" s="9">
        <v>2</v>
      </c>
      <c r="H618" s="6">
        <v>3.2258064516129031E-2</v>
      </c>
      <c r="I618" s="7">
        <v>6.83E-2</v>
      </c>
      <c r="J618" s="9">
        <v>314.15899999999999</v>
      </c>
      <c r="K618" s="9">
        <v>0.5464</v>
      </c>
      <c r="L618" s="9">
        <v>8</v>
      </c>
      <c r="M618" s="14">
        <v>287.48078330893117</v>
      </c>
      <c r="N618" s="9">
        <v>1419</v>
      </c>
      <c r="O618" s="12" t="s">
        <v>94</v>
      </c>
      <c r="P618" s="12" t="s">
        <v>82</v>
      </c>
      <c r="Q618" s="9" t="s">
        <v>95</v>
      </c>
      <c r="R618" s="9" t="s">
        <v>96</v>
      </c>
      <c r="S618" s="9"/>
      <c r="T618" s="18">
        <v>387</v>
      </c>
      <c r="U618" s="18">
        <v>786</v>
      </c>
      <c r="V618" s="9">
        <v>0.8</v>
      </c>
      <c r="W618" s="9">
        <v>0.8</v>
      </c>
      <c r="X618" s="9">
        <v>0.8</v>
      </c>
      <c r="Y618" s="9">
        <f t="shared" si="18"/>
        <v>111255.06314055636</v>
      </c>
      <c r="Z618" s="19" t="s">
        <v>97</v>
      </c>
      <c r="AA618" s="8" t="s">
        <v>242</v>
      </c>
      <c r="AB618" s="8" t="s">
        <v>75</v>
      </c>
      <c r="AC618" s="11" t="s">
        <v>76</v>
      </c>
      <c r="AD618" s="9" t="s">
        <v>85</v>
      </c>
      <c r="AE618" s="56">
        <f t="shared" si="19"/>
        <v>0.17999999999999997</v>
      </c>
      <c r="AF618" s="14">
        <v>0.18</v>
      </c>
      <c r="AG618" s="14">
        <v>0.18</v>
      </c>
      <c r="AH618" s="14">
        <v>0.18</v>
      </c>
      <c r="AI618" s="14">
        <v>0.18</v>
      </c>
      <c r="AJ618" s="14">
        <v>0.18</v>
      </c>
      <c r="AK618" s="14">
        <v>0.18</v>
      </c>
      <c r="AL618" s="14">
        <v>0.18</v>
      </c>
      <c r="AM618" s="14">
        <v>0.18</v>
      </c>
      <c r="AN618" s="14">
        <v>0.18</v>
      </c>
      <c r="AO618" s="14">
        <v>0.18</v>
      </c>
    </row>
    <row r="619" spans="1:41" x14ac:dyDescent="0.2">
      <c r="A619" s="5" t="s">
        <v>67</v>
      </c>
      <c r="B619" s="25">
        <v>43361</v>
      </c>
      <c r="C619" s="26">
        <v>0.72222222222222199</v>
      </c>
      <c r="D619" s="5" t="s">
        <v>135</v>
      </c>
      <c r="E619" s="5"/>
      <c r="F619" s="32">
        <v>62</v>
      </c>
      <c r="G619" s="9">
        <v>2</v>
      </c>
      <c r="H619" s="6">
        <v>3.2258064516129031E-2</v>
      </c>
      <c r="I619" s="7">
        <v>6.83E-2</v>
      </c>
      <c r="J619" s="9">
        <v>314.15899999999999</v>
      </c>
      <c r="K619" s="9">
        <v>0.5464</v>
      </c>
      <c r="L619" s="9">
        <v>8</v>
      </c>
      <c r="M619" s="14">
        <v>287.48078330893117</v>
      </c>
      <c r="N619" s="9">
        <v>1420</v>
      </c>
      <c r="O619" s="12" t="s">
        <v>98</v>
      </c>
      <c r="P619" s="12" t="s">
        <v>82</v>
      </c>
      <c r="Q619" s="9" t="s">
        <v>95</v>
      </c>
      <c r="R619" s="9" t="s">
        <v>99</v>
      </c>
      <c r="S619" s="9"/>
      <c r="T619" s="18">
        <v>1</v>
      </c>
      <c r="U619" s="18">
        <v>2</v>
      </c>
      <c r="V619" s="9">
        <v>2.8</v>
      </c>
      <c r="Y619" s="9">
        <f t="shared" si="18"/>
        <v>287.48078330893117</v>
      </c>
      <c r="Z619" s="19" t="s">
        <v>97</v>
      </c>
      <c r="AA619" s="8" t="s">
        <v>242</v>
      </c>
      <c r="AB619" s="8" t="s">
        <v>75</v>
      </c>
      <c r="AC619" s="11" t="s">
        <v>76</v>
      </c>
      <c r="AD619" s="9" t="s">
        <v>85</v>
      </c>
      <c r="AE619" s="56">
        <f t="shared" si="19"/>
        <v>11.494030613333329</v>
      </c>
      <c r="AF619" s="14">
        <v>11.494030613333329</v>
      </c>
      <c r="AG619" s="13"/>
    </row>
    <row r="620" spans="1:41" x14ac:dyDescent="0.2">
      <c r="A620" s="5" t="s">
        <v>67</v>
      </c>
      <c r="B620" s="25">
        <v>43361</v>
      </c>
      <c r="C620" s="26">
        <v>0.73055555555555596</v>
      </c>
      <c r="D620" s="26" t="s">
        <v>116</v>
      </c>
      <c r="E620" s="5"/>
      <c r="F620" s="32">
        <v>62.5</v>
      </c>
      <c r="G620" s="9">
        <v>1</v>
      </c>
      <c r="H620" s="6">
        <v>1.6E-2</v>
      </c>
      <c r="I620" s="7">
        <v>6.83E-2</v>
      </c>
      <c r="J620" s="9">
        <v>314.15899999999999</v>
      </c>
      <c r="K620" s="9">
        <v>0.34150000000000003</v>
      </c>
      <c r="L620" s="9">
        <v>5</v>
      </c>
      <c r="M620" s="14">
        <v>919.93850658857968</v>
      </c>
      <c r="N620" s="9">
        <v>1037</v>
      </c>
      <c r="O620" s="12" t="s">
        <v>86</v>
      </c>
      <c r="P620" s="12" t="s">
        <v>82</v>
      </c>
      <c r="Q620" s="9" t="s">
        <v>87</v>
      </c>
      <c r="R620" s="9" t="s">
        <v>84</v>
      </c>
      <c r="S620" s="9"/>
      <c r="T620" s="18">
        <v>12</v>
      </c>
      <c r="U620" s="18">
        <v>12</v>
      </c>
      <c r="V620" s="9">
        <v>2.8</v>
      </c>
      <c r="Y620" s="9">
        <f t="shared" si="18"/>
        <v>11039.262079062957</v>
      </c>
      <c r="Z620" s="19" t="s">
        <v>73</v>
      </c>
      <c r="AA620" s="8" t="s">
        <v>164</v>
      </c>
      <c r="AB620" s="8" t="s">
        <v>75</v>
      </c>
      <c r="AC620" s="11" t="s">
        <v>160</v>
      </c>
      <c r="AD620" s="9" t="s">
        <v>85</v>
      </c>
      <c r="AE620" s="56">
        <f t="shared" si="19"/>
        <v>6.3706209216666645</v>
      </c>
      <c r="AF620" s="14">
        <v>6.3706209216666645</v>
      </c>
      <c r="AG620" s="13"/>
    </row>
    <row r="621" spans="1:41" x14ac:dyDescent="0.2">
      <c r="A621" s="5" t="s">
        <v>67</v>
      </c>
      <c r="B621" s="25">
        <v>43361</v>
      </c>
      <c r="C621" s="26">
        <v>0.73055555555555596</v>
      </c>
      <c r="D621" s="26" t="s">
        <v>116</v>
      </c>
      <c r="E621" s="5"/>
      <c r="F621" s="32">
        <v>62.5</v>
      </c>
      <c r="G621" s="9">
        <v>1</v>
      </c>
      <c r="H621" s="6">
        <v>1.6E-2</v>
      </c>
      <c r="I621" s="7">
        <v>6.83E-2</v>
      </c>
      <c r="J621" s="9">
        <v>314.15899999999999</v>
      </c>
      <c r="K621" s="9">
        <v>0.34150000000000003</v>
      </c>
      <c r="L621" s="9">
        <v>5</v>
      </c>
      <c r="M621" s="14">
        <v>919.93850658857968</v>
      </c>
      <c r="N621" s="9">
        <v>1364</v>
      </c>
      <c r="O621" s="12" t="s">
        <v>88</v>
      </c>
      <c r="P621" s="12" t="s">
        <v>82</v>
      </c>
      <c r="Q621" s="9" t="s">
        <v>89</v>
      </c>
      <c r="R621" s="9" t="s">
        <v>90</v>
      </c>
      <c r="S621" s="9"/>
      <c r="T621" s="18">
        <v>4</v>
      </c>
      <c r="U621" s="18">
        <v>4</v>
      </c>
      <c r="V621" s="9">
        <v>11.1</v>
      </c>
      <c r="Y621" s="9">
        <f t="shared" si="18"/>
        <v>3679.7540263543187</v>
      </c>
      <c r="Z621" s="19" t="s">
        <v>73</v>
      </c>
      <c r="AA621" s="8" t="s">
        <v>164</v>
      </c>
      <c r="AB621" s="8" t="s">
        <v>75</v>
      </c>
      <c r="AC621" s="11" t="s">
        <v>160</v>
      </c>
      <c r="AD621" s="9" t="s">
        <v>91</v>
      </c>
      <c r="AE621" s="56">
        <f t="shared" si="19"/>
        <v>453.05916586666666</v>
      </c>
      <c r="AF621" s="14">
        <v>453.05916586666666</v>
      </c>
      <c r="AG621" s="13"/>
    </row>
    <row r="622" spans="1:41" x14ac:dyDescent="0.2">
      <c r="A622" s="5" t="s">
        <v>67</v>
      </c>
      <c r="B622" s="25">
        <v>43361</v>
      </c>
      <c r="C622" s="26">
        <v>0.73055555555555596</v>
      </c>
      <c r="D622" s="26" t="s">
        <v>116</v>
      </c>
      <c r="E622" s="5"/>
      <c r="F622" s="32">
        <v>62.5</v>
      </c>
      <c r="G622" s="9">
        <v>1</v>
      </c>
      <c r="H622" s="6">
        <v>1.6E-2</v>
      </c>
      <c r="I622" s="7">
        <v>6.83E-2</v>
      </c>
      <c r="J622" s="9">
        <v>314.15899999999999</v>
      </c>
      <c r="K622" s="9">
        <v>0.34150000000000003</v>
      </c>
      <c r="L622" s="9">
        <v>5</v>
      </c>
      <c r="M622" s="14">
        <v>919.93850658857968</v>
      </c>
      <c r="N622" s="9">
        <v>1733</v>
      </c>
      <c r="O622" s="12" t="s">
        <v>92</v>
      </c>
      <c r="P622" s="12" t="s">
        <v>82</v>
      </c>
      <c r="Q622" s="9" t="s">
        <v>89</v>
      </c>
      <c r="R622" s="9" t="s">
        <v>93</v>
      </c>
      <c r="S622" s="9"/>
      <c r="T622" s="18">
        <v>1</v>
      </c>
      <c r="U622" s="18">
        <v>1</v>
      </c>
      <c r="V622" s="9">
        <v>7.4</v>
      </c>
      <c r="Y622" s="9">
        <f t="shared" si="18"/>
        <v>919.93850658857968</v>
      </c>
      <c r="Z622" s="19" t="s">
        <v>73</v>
      </c>
      <c r="AA622" s="8" t="s">
        <v>164</v>
      </c>
      <c r="AB622" s="8" t="s">
        <v>75</v>
      </c>
      <c r="AC622" s="11" t="s">
        <v>160</v>
      </c>
      <c r="AD622" s="9" t="s">
        <v>91</v>
      </c>
      <c r="AE622" s="56">
        <f t="shared" si="19"/>
        <v>159.13095827000001</v>
      </c>
      <c r="AF622" s="14">
        <v>159.13095827000001</v>
      </c>
      <c r="AG622" s="13"/>
    </row>
    <row r="623" spans="1:41" x14ac:dyDescent="0.2">
      <c r="A623" s="5" t="s">
        <v>67</v>
      </c>
      <c r="B623" s="25">
        <v>43361</v>
      </c>
      <c r="C623" s="26">
        <v>0.73055555555555596</v>
      </c>
      <c r="D623" s="26" t="s">
        <v>116</v>
      </c>
      <c r="E623" s="5"/>
      <c r="F623" s="32">
        <v>62.5</v>
      </c>
      <c r="G623" s="9">
        <v>1</v>
      </c>
      <c r="H623" s="6">
        <v>1.6E-2</v>
      </c>
      <c r="I623" s="7">
        <v>6.83E-2</v>
      </c>
      <c r="J623" s="9">
        <v>314.15899999999999</v>
      </c>
      <c r="K623" s="9">
        <v>0.34150000000000003</v>
      </c>
      <c r="L623" s="9">
        <v>5</v>
      </c>
      <c r="M623" s="14">
        <v>919.93850658857968</v>
      </c>
      <c r="N623" s="9">
        <v>1419</v>
      </c>
      <c r="O623" s="12" t="s">
        <v>94</v>
      </c>
      <c r="P623" s="12" t="s">
        <v>82</v>
      </c>
      <c r="Q623" s="9" t="s">
        <v>95</v>
      </c>
      <c r="R623" s="9" t="s">
        <v>96</v>
      </c>
      <c r="S623" s="9"/>
      <c r="T623" s="18">
        <v>398</v>
      </c>
      <c r="U623" s="18">
        <v>798</v>
      </c>
      <c r="V623" s="9">
        <v>0.8</v>
      </c>
      <c r="W623" s="9">
        <v>0.8</v>
      </c>
      <c r="X623" s="9">
        <v>0.8</v>
      </c>
      <c r="Y623" s="9">
        <f t="shared" si="18"/>
        <v>366135.5256222547</v>
      </c>
      <c r="Z623" s="19" t="s">
        <v>97</v>
      </c>
      <c r="AA623" s="8" t="s">
        <v>164</v>
      </c>
      <c r="AB623" s="8" t="s">
        <v>75</v>
      </c>
      <c r="AC623" s="11" t="s">
        <v>160</v>
      </c>
      <c r="AD623" s="9" t="s">
        <v>85</v>
      </c>
      <c r="AE623" s="56">
        <f t="shared" si="19"/>
        <v>0.17999999999999997</v>
      </c>
      <c r="AF623" s="14">
        <v>0.18</v>
      </c>
      <c r="AG623" s="14">
        <v>0.18</v>
      </c>
      <c r="AH623" s="14">
        <v>0.18</v>
      </c>
      <c r="AI623" s="14">
        <v>0.18</v>
      </c>
      <c r="AJ623" s="14">
        <v>0.18</v>
      </c>
      <c r="AK623" s="14">
        <v>0.18</v>
      </c>
      <c r="AL623" s="14">
        <v>0.18</v>
      </c>
      <c r="AM623" s="14">
        <v>0.18</v>
      </c>
      <c r="AN623" s="14">
        <v>0.18</v>
      </c>
      <c r="AO623" s="14">
        <v>0.18</v>
      </c>
    </row>
    <row r="624" spans="1:41" x14ac:dyDescent="0.2">
      <c r="A624" s="5" t="s">
        <v>67</v>
      </c>
      <c r="B624" s="25">
        <v>43361</v>
      </c>
      <c r="C624" s="26">
        <v>0.73055555555555596</v>
      </c>
      <c r="D624" s="26" t="s">
        <v>116</v>
      </c>
      <c r="E624" s="5"/>
      <c r="F624" s="32">
        <v>62.5</v>
      </c>
      <c r="G624" s="9">
        <v>1</v>
      </c>
      <c r="H624" s="6">
        <v>1.6E-2</v>
      </c>
      <c r="I624" s="7">
        <v>6.83E-2</v>
      </c>
      <c r="J624" s="9">
        <v>314.15899999999999</v>
      </c>
      <c r="K624" s="9">
        <v>0.34150000000000003</v>
      </c>
      <c r="L624" s="9">
        <v>5</v>
      </c>
      <c r="M624" s="14">
        <v>919.93850658857968</v>
      </c>
      <c r="N624" s="9">
        <v>1420</v>
      </c>
      <c r="O624" s="12" t="s">
        <v>98</v>
      </c>
      <c r="P624" s="12" t="s">
        <v>82</v>
      </c>
      <c r="Q624" s="9" t="s">
        <v>95</v>
      </c>
      <c r="R624" s="9" t="s">
        <v>99</v>
      </c>
      <c r="S624" s="9"/>
      <c r="T624" s="18">
        <v>1</v>
      </c>
      <c r="U624" s="18">
        <v>2</v>
      </c>
      <c r="V624" s="9">
        <v>1.9</v>
      </c>
      <c r="Y624" s="9">
        <f t="shared" si="18"/>
        <v>919.93850658857968</v>
      </c>
      <c r="Z624" s="19" t="s">
        <v>97</v>
      </c>
      <c r="AA624" s="8" t="s">
        <v>164</v>
      </c>
      <c r="AB624" s="8" t="s">
        <v>75</v>
      </c>
      <c r="AC624" s="11" t="s">
        <v>160</v>
      </c>
      <c r="AD624" s="9" t="s">
        <v>85</v>
      </c>
      <c r="AE624" s="56">
        <f t="shared" si="19"/>
        <v>3.5913609683333325</v>
      </c>
      <c r="AF624" s="14">
        <v>3.5913609683333325</v>
      </c>
      <c r="AG624" s="13"/>
    </row>
    <row r="625" spans="1:41" x14ac:dyDescent="0.2">
      <c r="A625" s="5" t="s">
        <v>67</v>
      </c>
      <c r="B625" s="25">
        <v>43383</v>
      </c>
      <c r="C625" s="26">
        <v>0.625</v>
      </c>
      <c r="D625" s="5" t="s">
        <v>68</v>
      </c>
      <c r="E625" s="5">
        <v>3</v>
      </c>
      <c r="F625" s="32">
        <v>61</v>
      </c>
      <c r="G625" s="9">
        <v>2</v>
      </c>
      <c r="H625" s="6">
        <v>3.2786885245901641E-2</v>
      </c>
      <c r="I625" s="7">
        <v>6.83E-2</v>
      </c>
      <c r="J625" s="9">
        <v>314.15899999999999</v>
      </c>
      <c r="K625" s="9">
        <v>0.47809999999999997</v>
      </c>
      <c r="L625" s="9">
        <v>7</v>
      </c>
      <c r="M625" s="14">
        <v>328.54946663877848</v>
      </c>
      <c r="N625" s="9">
        <v>145</v>
      </c>
      <c r="O625" s="12" t="s">
        <v>69</v>
      </c>
      <c r="P625" s="8" t="s">
        <v>70</v>
      </c>
      <c r="Q625" s="9" t="s">
        <v>71</v>
      </c>
      <c r="R625" s="9" t="s">
        <v>72</v>
      </c>
      <c r="S625" s="9"/>
      <c r="T625" s="18">
        <v>1</v>
      </c>
      <c r="U625" s="18">
        <v>1</v>
      </c>
      <c r="V625" s="9">
        <v>20.399999999999999</v>
      </c>
      <c r="Y625" s="9">
        <f t="shared" si="18"/>
        <v>328.54946663877848</v>
      </c>
      <c r="Z625" s="19" t="s">
        <v>73</v>
      </c>
      <c r="AA625" s="8" t="s">
        <v>100</v>
      </c>
      <c r="AB625" s="8" t="s">
        <v>75</v>
      </c>
      <c r="AC625" s="11" t="s">
        <v>101</v>
      </c>
      <c r="AD625" s="9" t="s">
        <v>77</v>
      </c>
      <c r="AE625" s="56">
        <f t="shared" si="19"/>
        <v>497.96714771999984</v>
      </c>
      <c r="AF625" s="14">
        <v>497.96714771999984</v>
      </c>
      <c r="AG625" s="13"/>
    </row>
    <row r="626" spans="1:41" x14ac:dyDescent="0.2">
      <c r="A626" s="5" t="s">
        <v>67</v>
      </c>
      <c r="B626" s="25">
        <v>43383</v>
      </c>
      <c r="C626" s="26">
        <v>0.625</v>
      </c>
      <c r="D626" s="5" t="s">
        <v>68</v>
      </c>
      <c r="E626" s="5">
        <v>3</v>
      </c>
      <c r="F626" s="32">
        <v>61</v>
      </c>
      <c r="G626" s="9">
        <v>2</v>
      </c>
      <c r="H626" s="6">
        <v>3.2786885245901641E-2</v>
      </c>
      <c r="I626" s="7">
        <v>6.83E-2</v>
      </c>
      <c r="J626" s="9">
        <v>314.15899999999999</v>
      </c>
      <c r="K626" s="9">
        <v>0.47809999999999997</v>
      </c>
      <c r="L626" s="9">
        <v>7</v>
      </c>
      <c r="M626" s="14">
        <v>328.54946663877848</v>
      </c>
      <c r="N626" s="9">
        <v>190</v>
      </c>
      <c r="O626" s="12" t="s">
        <v>102</v>
      </c>
      <c r="P626" s="8" t="s">
        <v>70</v>
      </c>
      <c r="Q626" s="9" t="s">
        <v>103</v>
      </c>
      <c r="R626" s="9" t="s">
        <v>84</v>
      </c>
      <c r="S626" s="9"/>
      <c r="T626" s="18">
        <v>1</v>
      </c>
      <c r="U626" s="18">
        <v>1</v>
      </c>
      <c r="V626" s="9">
        <v>5.6</v>
      </c>
      <c r="Y626" s="9">
        <f t="shared" si="18"/>
        <v>328.54946663877848</v>
      </c>
      <c r="Z626" s="19" t="s">
        <v>73</v>
      </c>
      <c r="AA626" s="8" t="s">
        <v>100</v>
      </c>
      <c r="AB626" s="8" t="s">
        <v>75</v>
      </c>
      <c r="AC626" s="11" t="s">
        <v>101</v>
      </c>
      <c r="AD626" s="9" t="s">
        <v>104</v>
      </c>
      <c r="AE626" s="56">
        <f t="shared" si="19"/>
        <v>91.131242719999989</v>
      </c>
      <c r="AF626" s="14">
        <v>91.131242719999989</v>
      </c>
      <c r="AG626" s="13"/>
    </row>
    <row r="627" spans="1:41" x14ac:dyDescent="0.2">
      <c r="A627" s="5" t="s">
        <v>67</v>
      </c>
      <c r="B627" s="25">
        <v>43383</v>
      </c>
      <c r="C627" s="26">
        <v>0.625</v>
      </c>
      <c r="D627" s="5" t="s">
        <v>68</v>
      </c>
      <c r="E627" s="5">
        <v>3</v>
      </c>
      <c r="F627" s="32">
        <v>61</v>
      </c>
      <c r="G627" s="9">
        <v>2</v>
      </c>
      <c r="H627" s="6">
        <v>3.2786885245901641E-2</v>
      </c>
      <c r="I627" s="7">
        <v>6.83E-2</v>
      </c>
      <c r="J627" s="9">
        <v>314.15899999999999</v>
      </c>
      <c r="K627" s="9">
        <v>0.47809999999999997</v>
      </c>
      <c r="L627" s="9">
        <v>7</v>
      </c>
      <c r="M627" s="14">
        <v>328.54946663877848</v>
      </c>
      <c r="N627" s="9">
        <v>412</v>
      </c>
      <c r="O627" s="12" t="s">
        <v>105</v>
      </c>
      <c r="P627" s="8" t="s">
        <v>70</v>
      </c>
      <c r="Q627" s="9" t="s">
        <v>106</v>
      </c>
      <c r="R627" s="9" t="s">
        <v>107</v>
      </c>
      <c r="S627" s="9"/>
      <c r="T627" s="18">
        <v>1</v>
      </c>
      <c r="U627" s="18">
        <v>1</v>
      </c>
      <c r="V627" s="9">
        <v>14.8</v>
      </c>
      <c r="Y627" s="9">
        <f t="shared" si="18"/>
        <v>328.54946663877848</v>
      </c>
      <c r="Z627" s="19" t="s">
        <v>73</v>
      </c>
      <c r="AA627" s="8" t="s">
        <v>100</v>
      </c>
      <c r="AB627" s="8" t="s">
        <v>75</v>
      </c>
      <c r="AC627" s="11" t="s">
        <v>101</v>
      </c>
      <c r="AD627" s="9" t="s">
        <v>77</v>
      </c>
      <c r="AE627" s="56">
        <f t="shared" si="19"/>
        <v>240.84685576000001</v>
      </c>
      <c r="AF627" s="14">
        <v>240.84685576000001</v>
      </c>
      <c r="AG627" s="13"/>
    </row>
    <row r="628" spans="1:41" x14ac:dyDescent="0.2">
      <c r="A628" s="5" t="s">
        <v>67</v>
      </c>
      <c r="B628" s="25">
        <v>43383</v>
      </c>
      <c r="C628" s="26">
        <v>0.625</v>
      </c>
      <c r="D628" s="5" t="s">
        <v>68</v>
      </c>
      <c r="E628" s="5">
        <v>3</v>
      </c>
      <c r="F628" s="32">
        <v>61</v>
      </c>
      <c r="G628" s="9">
        <v>2</v>
      </c>
      <c r="H628" s="6">
        <v>3.2786885245901641E-2</v>
      </c>
      <c r="I628" s="7">
        <v>6.83E-2</v>
      </c>
      <c r="J628" s="9">
        <v>314.15899999999999</v>
      </c>
      <c r="K628" s="9">
        <v>0.47809999999999997</v>
      </c>
      <c r="L628" s="9">
        <v>7</v>
      </c>
      <c r="M628" s="14">
        <v>328.54946663877848</v>
      </c>
      <c r="N628" s="9">
        <v>1037</v>
      </c>
      <c r="O628" s="12" t="s">
        <v>86</v>
      </c>
      <c r="P628" s="12" t="s">
        <v>82</v>
      </c>
      <c r="Q628" s="9" t="s">
        <v>87</v>
      </c>
      <c r="R628" s="9" t="s">
        <v>84</v>
      </c>
      <c r="S628" s="9"/>
      <c r="T628" s="18">
        <v>5</v>
      </c>
      <c r="U628" s="18">
        <v>5</v>
      </c>
      <c r="V628" s="9">
        <v>2.8</v>
      </c>
      <c r="Y628" s="9">
        <f t="shared" si="18"/>
        <v>1642.7473331938927</v>
      </c>
      <c r="Z628" s="19" t="s">
        <v>73</v>
      </c>
      <c r="AA628" s="8" t="s">
        <v>100</v>
      </c>
      <c r="AB628" s="8" t="s">
        <v>75</v>
      </c>
      <c r="AC628" s="11" t="s">
        <v>101</v>
      </c>
      <c r="AD628" s="9" t="s">
        <v>85</v>
      </c>
      <c r="AE628" s="56">
        <f t="shared" si="19"/>
        <v>9.2027643066666673</v>
      </c>
      <c r="AF628" s="14">
        <v>9.2027643066666673</v>
      </c>
      <c r="AG628" s="13"/>
    </row>
    <row r="629" spans="1:41" x14ac:dyDescent="0.2">
      <c r="A629" s="5" t="s">
        <v>67</v>
      </c>
      <c r="B629" s="25">
        <v>43383</v>
      </c>
      <c r="C629" s="26">
        <v>0.625</v>
      </c>
      <c r="D629" s="5" t="s">
        <v>68</v>
      </c>
      <c r="E629" s="5">
        <v>3</v>
      </c>
      <c r="F629" s="32">
        <v>61</v>
      </c>
      <c r="G629" s="9">
        <v>2</v>
      </c>
      <c r="H629" s="6">
        <v>3.2786885245901641E-2</v>
      </c>
      <c r="I629" s="7">
        <v>6.83E-2</v>
      </c>
      <c r="J629" s="9">
        <v>314.15899999999999</v>
      </c>
      <c r="K629" s="9">
        <v>0.47809999999999997</v>
      </c>
      <c r="L629" s="9">
        <v>7</v>
      </c>
      <c r="M629" s="14">
        <v>328.54946663877848</v>
      </c>
      <c r="N629" s="9">
        <v>1364</v>
      </c>
      <c r="O629" s="12" t="s">
        <v>88</v>
      </c>
      <c r="P629" s="12" t="s">
        <v>82</v>
      </c>
      <c r="Q629" s="9" t="s">
        <v>89</v>
      </c>
      <c r="R629" s="9" t="s">
        <v>90</v>
      </c>
      <c r="S629" s="9"/>
      <c r="T629" s="18">
        <v>3</v>
      </c>
      <c r="U629" s="18">
        <v>3</v>
      </c>
      <c r="V629" s="9">
        <v>11.1</v>
      </c>
      <c r="Y629" s="9">
        <f t="shared" si="18"/>
        <v>985.64839991633551</v>
      </c>
      <c r="Z629" s="19" t="s">
        <v>73</v>
      </c>
      <c r="AA629" s="8" t="s">
        <v>100</v>
      </c>
      <c r="AB629" s="8" t="s">
        <v>75</v>
      </c>
      <c r="AC629" s="11" t="s">
        <v>101</v>
      </c>
      <c r="AD629" s="9" t="s">
        <v>91</v>
      </c>
      <c r="AE629" s="56">
        <f t="shared" si="19"/>
        <v>422.18257214999988</v>
      </c>
      <c r="AF629" s="14">
        <v>422.18257214999988</v>
      </c>
      <c r="AG629" s="13"/>
    </row>
    <row r="630" spans="1:41" x14ac:dyDescent="0.2">
      <c r="A630" s="5" t="s">
        <v>67</v>
      </c>
      <c r="B630" s="25">
        <v>43383</v>
      </c>
      <c r="C630" s="26">
        <v>0.625</v>
      </c>
      <c r="D630" s="5" t="s">
        <v>68</v>
      </c>
      <c r="E630" s="5">
        <v>3</v>
      </c>
      <c r="F630" s="32">
        <v>61</v>
      </c>
      <c r="G630" s="9">
        <v>2</v>
      </c>
      <c r="H630" s="6">
        <v>3.2786885245901641E-2</v>
      </c>
      <c r="I630" s="7">
        <v>6.83E-2</v>
      </c>
      <c r="J630" s="9">
        <v>314.15899999999999</v>
      </c>
      <c r="K630" s="9">
        <v>0.47809999999999997</v>
      </c>
      <c r="L630" s="9">
        <v>7</v>
      </c>
      <c r="M630" s="14">
        <v>328.54946663877848</v>
      </c>
      <c r="N630" s="9">
        <v>1733</v>
      </c>
      <c r="O630" s="12" t="s">
        <v>92</v>
      </c>
      <c r="P630" s="12" t="s">
        <v>82</v>
      </c>
      <c r="Q630" s="9" t="s">
        <v>89</v>
      </c>
      <c r="R630" s="9" t="s">
        <v>93</v>
      </c>
      <c r="S630" s="9"/>
      <c r="T630" s="18">
        <v>2</v>
      </c>
      <c r="U630" s="18">
        <v>2</v>
      </c>
      <c r="V630" s="9">
        <v>5.6</v>
      </c>
      <c r="Y630" s="9">
        <f t="shared" si="18"/>
        <v>657.09893327755697</v>
      </c>
      <c r="Z630" s="19" t="s">
        <v>73</v>
      </c>
      <c r="AA630" s="8" t="s">
        <v>100</v>
      </c>
      <c r="AB630" s="8" t="s">
        <v>75</v>
      </c>
      <c r="AC630" s="11" t="s">
        <v>101</v>
      </c>
      <c r="AD630" s="9" t="s">
        <v>91</v>
      </c>
      <c r="AE630" s="56">
        <f t="shared" si="19"/>
        <v>76.353203359999995</v>
      </c>
      <c r="AF630" s="14">
        <v>76.353203359999995</v>
      </c>
      <c r="AG630" s="13"/>
    </row>
    <row r="631" spans="1:41" x14ac:dyDescent="0.2">
      <c r="A631" s="5" t="s">
        <v>67</v>
      </c>
      <c r="B631" s="25">
        <v>43383</v>
      </c>
      <c r="C631" s="26">
        <v>0.625</v>
      </c>
      <c r="D631" s="5" t="s">
        <v>68</v>
      </c>
      <c r="E631" s="5">
        <v>3</v>
      </c>
      <c r="F631" s="32">
        <v>61</v>
      </c>
      <c r="G631" s="9">
        <v>2</v>
      </c>
      <c r="H631" s="6">
        <v>3.2786885245901641E-2</v>
      </c>
      <c r="I631" s="7">
        <v>6.83E-2</v>
      </c>
      <c r="J631" s="9">
        <v>314.15899999999999</v>
      </c>
      <c r="K631" s="9">
        <v>0.47809999999999997</v>
      </c>
      <c r="L631" s="9">
        <v>7</v>
      </c>
      <c r="M631" s="14">
        <v>328.54946663877848</v>
      </c>
      <c r="N631" s="9">
        <v>1419</v>
      </c>
      <c r="O631" s="12" t="s">
        <v>94</v>
      </c>
      <c r="P631" s="12" t="s">
        <v>82</v>
      </c>
      <c r="Q631" s="9" t="s">
        <v>95</v>
      </c>
      <c r="R631" s="9" t="s">
        <v>96</v>
      </c>
      <c r="S631" s="9"/>
      <c r="T631" s="18">
        <v>393</v>
      </c>
      <c r="U631" s="18">
        <v>795</v>
      </c>
      <c r="V631" s="9">
        <v>0.8</v>
      </c>
      <c r="W631" s="9">
        <v>0.8</v>
      </c>
      <c r="X631" s="9">
        <v>0.8</v>
      </c>
      <c r="Y631" s="9">
        <f t="shared" si="18"/>
        <v>129119.94038903996</v>
      </c>
      <c r="Z631" s="19" t="s">
        <v>97</v>
      </c>
      <c r="AA631" s="8" t="s">
        <v>100</v>
      </c>
      <c r="AB631" s="8" t="s">
        <v>75</v>
      </c>
      <c r="AC631" s="11" t="s">
        <v>101</v>
      </c>
      <c r="AD631" s="9" t="s">
        <v>85</v>
      </c>
      <c r="AE631" s="56">
        <f t="shared" si="19"/>
        <v>0.17999999999999997</v>
      </c>
      <c r="AF631" s="14">
        <v>0.18</v>
      </c>
      <c r="AG631" s="14">
        <v>0.18</v>
      </c>
      <c r="AH631" s="14">
        <v>0.18</v>
      </c>
      <c r="AI631" s="14">
        <v>0.18</v>
      </c>
      <c r="AJ631" s="14">
        <v>0.18</v>
      </c>
      <c r="AK631" s="14">
        <v>0.18</v>
      </c>
      <c r="AL631" s="14">
        <v>0.18</v>
      </c>
      <c r="AM631" s="14">
        <v>0.18</v>
      </c>
      <c r="AN631" s="14">
        <v>0.18</v>
      </c>
      <c r="AO631" s="14">
        <v>0.18</v>
      </c>
    </row>
    <row r="632" spans="1:41" x14ac:dyDescent="0.2">
      <c r="A632" s="49" t="s">
        <v>67</v>
      </c>
      <c r="B632" s="50">
        <v>43389</v>
      </c>
      <c r="C632" s="51">
        <v>0.53680555555555598</v>
      </c>
      <c r="D632" s="49" t="s">
        <v>173</v>
      </c>
      <c r="E632" s="49"/>
      <c r="F632" s="52">
        <v>65</v>
      </c>
      <c r="G632" s="53">
        <v>2</v>
      </c>
      <c r="H632" s="54">
        <v>3.0769230769230771E-2</v>
      </c>
      <c r="I632" s="55">
        <v>6.9746499000000003E-2</v>
      </c>
      <c r="J632" s="53">
        <v>314.15899999999999</v>
      </c>
      <c r="K632" s="53">
        <v>0.83695798799999999</v>
      </c>
      <c r="L632" s="53">
        <v>12</v>
      </c>
      <c r="M632" s="56">
        <v>187.67907380316441</v>
      </c>
      <c r="N632" s="53">
        <v>145</v>
      </c>
      <c r="O632" s="57" t="s">
        <v>69</v>
      </c>
      <c r="P632" s="58" t="s">
        <v>70</v>
      </c>
      <c r="Q632" s="53" t="s">
        <v>71</v>
      </c>
      <c r="R632" s="53" t="s">
        <v>72</v>
      </c>
      <c r="S632" s="53"/>
      <c r="T632" s="59">
        <v>1</v>
      </c>
      <c r="U632" s="59">
        <v>1</v>
      </c>
      <c r="V632" s="53">
        <v>25.9</v>
      </c>
      <c r="W632" s="53"/>
      <c r="X632" s="53"/>
      <c r="Y632" s="9">
        <f t="shared" si="18"/>
        <v>187.67907380316441</v>
      </c>
      <c r="Z632" s="60" t="s">
        <v>73</v>
      </c>
      <c r="AA632" s="58" t="s">
        <v>405</v>
      </c>
      <c r="AB632" s="58" t="s">
        <v>386</v>
      </c>
      <c r="AC632" s="61" t="s">
        <v>406</v>
      </c>
      <c r="AD632" s="53" t="s">
        <v>77</v>
      </c>
      <c r="AE632" s="56">
        <f t="shared" si="19"/>
        <v>645.44516328249983</v>
      </c>
      <c r="AF632" s="56">
        <v>645.44516328249983</v>
      </c>
      <c r="AG632" s="62"/>
      <c r="AH632" s="63"/>
      <c r="AI632" s="61"/>
      <c r="AJ632" s="58"/>
      <c r="AK632" s="58"/>
      <c r="AL632" s="58"/>
      <c r="AM632" s="58"/>
      <c r="AN632" s="58"/>
      <c r="AO632" s="58"/>
    </row>
    <row r="633" spans="1:41" x14ac:dyDescent="0.2">
      <c r="A633" s="49" t="s">
        <v>67</v>
      </c>
      <c r="B633" s="50">
        <v>43389</v>
      </c>
      <c r="C633" s="51">
        <v>0.53680555555555598</v>
      </c>
      <c r="D633" s="49" t="s">
        <v>173</v>
      </c>
      <c r="E633" s="49"/>
      <c r="F633" s="52">
        <v>65</v>
      </c>
      <c r="G633" s="53">
        <v>2</v>
      </c>
      <c r="H633" s="54">
        <v>3.0769230769230771E-2</v>
      </c>
      <c r="I633" s="55">
        <v>6.9746499000000003E-2</v>
      </c>
      <c r="J633" s="53">
        <v>314.15899999999999</v>
      </c>
      <c r="K633" s="53">
        <v>0.83695798799999999</v>
      </c>
      <c r="L633" s="53">
        <v>12</v>
      </c>
      <c r="M633" s="56">
        <v>187.67907380316441</v>
      </c>
      <c r="N633" s="53">
        <v>1037</v>
      </c>
      <c r="O633" s="57" t="s">
        <v>86</v>
      </c>
      <c r="P633" s="57" t="s">
        <v>82</v>
      </c>
      <c r="Q633" s="53" t="s">
        <v>87</v>
      </c>
      <c r="R633" s="53" t="s">
        <v>84</v>
      </c>
      <c r="S633" s="53"/>
      <c r="T633" s="59">
        <v>29</v>
      </c>
      <c r="U633" s="59">
        <v>29</v>
      </c>
      <c r="V633" s="53">
        <v>3.7</v>
      </c>
      <c r="W633" s="53"/>
      <c r="X633" s="53"/>
      <c r="Y633" s="9">
        <f t="shared" si="18"/>
        <v>5442.693140291768</v>
      </c>
      <c r="Z633" s="60" t="s">
        <v>73</v>
      </c>
      <c r="AA633" s="58" t="s">
        <v>405</v>
      </c>
      <c r="AB633" s="58" t="s">
        <v>386</v>
      </c>
      <c r="AC633" s="61" t="s">
        <v>406</v>
      </c>
      <c r="AD633" s="53" t="s">
        <v>85</v>
      </c>
      <c r="AE633" s="56">
        <f t="shared" si="19"/>
        <v>14.137154999999998</v>
      </c>
      <c r="AF633" s="56">
        <v>14.137154999999998</v>
      </c>
      <c r="AG633" s="62"/>
      <c r="AH633" s="63"/>
      <c r="AI633" s="61"/>
      <c r="AJ633" s="58"/>
      <c r="AK633" s="58"/>
      <c r="AL633" s="58"/>
      <c r="AM633" s="58"/>
      <c r="AN633" s="58"/>
      <c r="AO633" s="58"/>
    </row>
    <row r="634" spans="1:41" x14ac:dyDescent="0.2">
      <c r="A634" s="49" t="s">
        <v>67</v>
      </c>
      <c r="B634" s="50">
        <v>43389</v>
      </c>
      <c r="C634" s="51">
        <v>0.53680555555555598</v>
      </c>
      <c r="D634" s="49" t="s">
        <v>173</v>
      </c>
      <c r="E634" s="49"/>
      <c r="F634" s="52">
        <v>65</v>
      </c>
      <c r="G634" s="53">
        <v>2</v>
      </c>
      <c r="H634" s="54">
        <v>3.0769230769230771E-2</v>
      </c>
      <c r="I634" s="55">
        <v>6.9746499000000003E-2</v>
      </c>
      <c r="J634" s="53">
        <v>314.15899999999999</v>
      </c>
      <c r="K634" s="53">
        <v>0.83695798799999999</v>
      </c>
      <c r="L634" s="53">
        <v>12</v>
      </c>
      <c r="M634" s="56">
        <v>187.67907380316441</v>
      </c>
      <c r="N634" s="53">
        <v>1364</v>
      </c>
      <c r="O634" s="57" t="s">
        <v>88</v>
      </c>
      <c r="P634" s="57" t="s">
        <v>82</v>
      </c>
      <c r="Q634" s="53" t="s">
        <v>89</v>
      </c>
      <c r="R634" s="53" t="s">
        <v>90</v>
      </c>
      <c r="S634" s="53"/>
      <c r="T634" s="59">
        <v>5</v>
      </c>
      <c r="U634" s="59">
        <v>5</v>
      </c>
      <c r="V634" s="53">
        <v>9.8000000000000007</v>
      </c>
      <c r="W634" s="53"/>
      <c r="X634" s="53"/>
      <c r="Y634" s="9">
        <f t="shared" si="18"/>
        <v>938.3953690158221</v>
      </c>
      <c r="Z634" s="60" t="s">
        <v>73</v>
      </c>
      <c r="AA634" s="58" t="s">
        <v>405</v>
      </c>
      <c r="AB634" s="58" t="s">
        <v>386</v>
      </c>
      <c r="AC634" s="61" t="s">
        <v>406</v>
      </c>
      <c r="AD634" s="53" t="s">
        <v>91</v>
      </c>
      <c r="AE634" s="56">
        <f t="shared" si="19"/>
        <v>290.31956788333332</v>
      </c>
      <c r="AF634" s="56">
        <v>290.31956788333332</v>
      </c>
      <c r="AG634" s="62"/>
      <c r="AH634" s="63"/>
      <c r="AI634" s="61"/>
      <c r="AJ634" s="58"/>
      <c r="AK634" s="58"/>
      <c r="AL634" s="58"/>
      <c r="AM634" s="58"/>
      <c r="AN634" s="58"/>
      <c r="AO634" s="58"/>
    </row>
    <row r="635" spans="1:41" x14ac:dyDescent="0.2">
      <c r="A635" s="49" t="s">
        <v>67</v>
      </c>
      <c r="B635" s="50">
        <v>43389</v>
      </c>
      <c r="C635" s="51">
        <v>0.53680555555555598</v>
      </c>
      <c r="D635" s="49" t="s">
        <v>173</v>
      </c>
      <c r="E635" s="49"/>
      <c r="F635" s="52">
        <v>65</v>
      </c>
      <c r="G635" s="53">
        <v>2</v>
      </c>
      <c r="H635" s="54">
        <v>3.0769230769230771E-2</v>
      </c>
      <c r="I635" s="55">
        <v>6.9746499000000003E-2</v>
      </c>
      <c r="J635" s="53">
        <v>314.15899999999999</v>
      </c>
      <c r="K635" s="53">
        <v>0.83695798799999999</v>
      </c>
      <c r="L635" s="53">
        <v>12</v>
      </c>
      <c r="M635" s="56">
        <v>187.67907380316441</v>
      </c>
      <c r="N635" s="53">
        <v>1419</v>
      </c>
      <c r="O635" s="57" t="s">
        <v>94</v>
      </c>
      <c r="P635" s="57" t="s">
        <v>82</v>
      </c>
      <c r="Q635" s="53" t="s">
        <v>95</v>
      </c>
      <c r="R635" s="53" t="s">
        <v>96</v>
      </c>
      <c r="S635" s="53"/>
      <c r="T635" s="59">
        <v>395</v>
      </c>
      <c r="U635" s="59">
        <v>794</v>
      </c>
      <c r="V635" s="53">
        <v>0.9</v>
      </c>
      <c r="W635" s="53">
        <v>0.9</v>
      </c>
      <c r="X635" s="53">
        <v>0.9</v>
      </c>
      <c r="Y635" s="9">
        <f t="shared" si="18"/>
        <v>74133.234152249948</v>
      </c>
      <c r="Z635" s="60" t="s">
        <v>97</v>
      </c>
      <c r="AA635" s="58" t="s">
        <v>405</v>
      </c>
      <c r="AB635" s="58" t="s">
        <v>386</v>
      </c>
      <c r="AC635" s="61" t="s">
        <v>406</v>
      </c>
      <c r="AD635" s="53" t="s">
        <v>85</v>
      </c>
      <c r="AE635" s="56">
        <f t="shared" si="19"/>
        <v>0.19090395233333335</v>
      </c>
      <c r="AF635" s="56">
        <v>0.11309723999999999</v>
      </c>
      <c r="AG635" s="56">
        <v>0.17959422833333327</v>
      </c>
      <c r="AH635" s="56">
        <v>0.11309723999999999</v>
      </c>
      <c r="AI635" s="56">
        <v>0.26808234666666664</v>
      </c>
      <c r="AJ635" s="56">
        <v>0.381703185</v>
      </c>
      <c r="AK635" s="56">
        <v>0.17959422833333327</v>
      </c>
      <c r="AL635" s="56">
        <v>0.26808234666666664</v>
      </c>
      <c r="AM635" s="56">
        <v>0.11309723999999999</v>
      </c>
      <c r="AN635" s="56">
        <v>0.11309723999999999</v>
      </c>
      <c r="AO635" s="56">
        <v>0.17959422833333327</v>
      </c>
    </row>
    <row r="636" spans="1:41" x14ac:dyDescent="0.2">
      <c r="A636" s="69" t="s">
        <v>67</v>
      </c>
      <c r="B636" s="74">
        <v>43389</v>
      </c>
      <c r="C636" s="75">
        <v>0.54861111111111105</v>
      </c>
      <c r="D636" s="69" t="s">
        <v>158</v>
      </c>
      <c r="E636" s="69"/>
      <c r="F636" s="76">
        <v>63</v>
      </c>
      <c r="G636" s="69">
        <v>2</v>
      </c>
      <c r="H636" s="77">
        <v>3.1746031746031744E-2</v>
      </c>
      <c r="I636" s="78">
        <v>6.9746499000000003E-2</v>
      </c>
      <c r="J636" s="69">
        <v>314.15899999999999</v>
      </c>
      <c r="K636" s="69">
        <v>1.046197485</v>
      </c>
      <c r="L636" s="69">
        <v>15</v>
      </c>
      <c r="M636" s="79">
        <v>150.14325904253153</v>
      </c>
      <c r="N636" s="69">
        <v>44</v>
      </c>
      <c r="O636" s="80" t="s">
        <v>266</v>
      </c>
      <c r="P636" s="81" t="s">
        <v>70</v>
      </c>
      <c r="Q636" s="69" t="s">
        <v>110</v>
      </c>
      <c r="R636" s="69" t="s">
        <v>267</v>
      </c>
      <c r="S636" s="69"/>
      <c r="T636" s="60">
        <v>1</v>
      </c>
      <c r="U636" s="60">
        <v>1</v>
      </c>
      <c r="V636" s="69">
        <v>12</v>
      </c>
      <c r="W636" s="69"/>
      <c r="X636" s="69"/>
      <c r="Y636" s="9">
        <f t="shared" si="18"/>
        <v>150.14325904253153</v>
      </c>
      <c r="Z636" s="60" t="s">
        <v>73</v>
      </c>
      <c r="AA636" s="58" t="s">
        <v>413</v>
      </c>
      <c r="AB636" s="81" t="s">
        <v>386</v>
      </c>
      <c r="AC636" s="82"/>
      <c r="AD636" s="69" t="s">
        <v>77</v>
      </c>
      <c r="AE636" s="56">
        <f t="shared" si="19"/>
        <v>149.94809069999997</v>
      </c>
      <c r="AF636" s="79">
        <v>149.94809069999997</v>
      </c>
      <c r="AG636" s="83"/>
      <c r="AH636" s="84"/>
      <c r="AI636" s="82"/>
      <c r="AJ636" s="81"/>
      <c r="AK636" s="81"/>
      <c r="AL636" s="81"/>
      <c r="AM636" s="81"/>
      <c r="AN636" s="81"/>
      <c r="AO636" s="81"/>
    </row>
    <row r="637" spans="1:41" x14ac:dyDescent="0.2">
      <c r="A637" s="69" t="s">
        <v>67</v>
      </c>
      <c r="B637" s="74">
        <v>43389</v>
      </c>
      <c r="C637" s="75">
        <v>0.54861111111111105</v>
      </c>
      <c r="D637" s="69" t="s">
        <v>158</v>
      </c>
      <c r="E637" s="69"/>
      <c r="F637" s="76">
        <v>63</v>
      </c>
      <c r="G637" s="69">
        <v>2</v>
      </c>
      <c r="H637" s="77">
        <v>3.1746031746031744E-2</v>
      </c>
      <c r="I637" s="78">
        <v>6.9746499000000003E-2</v>
      </c>
      <c r="J637" s="69">
        <v>314.15899999999999</v>
      </c>
      <c r="K637" s="69">
        <v>1.046197485</v>
      </c>
      <c r="L637" s="69">
        <v>15</v>
      </c>
      <c r="M637" s="79">
        <v>150.14325904253153</v>
      </c>
      <c r="N637" s="69">
        <v>145</v>
      </c>
      <c r="O637" s="80" t="s">
        <v>69</v>
      </c>
      <c r="P637" s="81" t="s">
        <v>70</v>
      </c>
      <c r="Q637" s="69" t="s">
        <v>71</v>
      </c>
      <c r="R637" s="69" t="s">
        <v>72</v>
      </c>
      <c r="S637" s="69"/>
      <c r="T637" s="60">
        <v>3</v>
      </c>
      <c r="U637" s="60">
        <v>3</v>
      </c>
      <c r="V637" s="69">
        <v>22.2</v>
      </c>
      <c r="W637" s="69"/>
      <c r="X637" s="69"/>
      <c r="Y637" s="9">
        <f t="shared" si="18"/>
        <v>450.4297771275946</v>
      </c>
      <c r="Z637" s="60" t="s">
        <v>73</v>
      </c>
      <c r="AA637" s="58" t="s">
        <v>413</v>
      </c>
      <c r="AB637" s="81" t="s">
        <v>386</v>
      </c>
      <c r="AC637" s="82"/>
      <c r="AD637" s="69" t="s">
        <v>77</v>
      </c>
      <c r="AE637" s="56">
        <f t="shared" si="19"/>
        <v>413.20547872500003</v>
      </c>
      <c r="AF637" s="79">
        <v>413.20547872500003</v>
      </c>
      <c r="AG637" s="83"/>
      <c r="AH637" s="84"/>
      <c r="AI637" s="82"/>
      <c r="AJ637" s="81"/>
      <c r="AK637" s="81"/>
      <c r="AL637" s="81"/>
      <c r="AM637" s="81"/>
      <c r="AN637" s="81"/>
      <c r="AO637" s="81"/>
    </row>
    <row r="638" spans="1:41" x14ac:dyDescent="0.2">
      <c r="A638" s="69" t="s">
        <v>67</v>
      </c>
      <c r="B638" s="74">
        <v>43389</v>
      </c>
      <c r="C638" s="75">
        <v>0.54861111111111105</v>
      </c>
      <c r="D638" s="69" t="s">
        <v>158</v>
      </c>
      <c r="E638" s="69"/>
      <c r="F638" s="76">
        <v>63</v>
      </c>
      <c r="G638" s="69">
        <v>2</v>
      </c>
      <c r="H638" s="77">
        <v>3.1746031746031744E-2</v>
      </c>
      <c r="I638" s="78">
        <v>6.9746499000000003E-2</v>
      </c>
      <c r="J638" s="69">
        <v>314.15899999999999</v>
      </c>
      <c r="K638" s="69">
        <v>1.046197485</v>
      </c>
      <c r="L638" s="69">
        <v>15</v>
      </c>
      <c r="M638" s="79">
        <v>150.14325904253153</v>
      </c>
      <c r="N638" s="69">
        <v>145</v>
      </c>
      <c r="O638" s="80" t="s">
        <v>69</v>
      </c>
      <c r="P638" s="81" t="s">
        <v>70</v>
      </c>
      <c r="Q638" s="69" t="s">
        <v>71</v>
      </c>
      <c r="R638" s="69" t="s">
        <v>72</v>
      </c>
      <c r="S638" s="69"/>
      <c r="T638" s="60">
        <v>1</v>
      </c>
      <c r="U638" s="60">
        <v>1</v>
      </c>
      <c r="V638" s="69">
        <v>10.5</v>
      </c>
      <c r="W638" s="69"/>
      <c r="X638" s="69"/>
      <c r="Y638" s="9">
        <f t="shared" si="18"/>
        <v>150.14325904253153</v>
      </c>
      <c r="Z638" s="60" t="s">
        <v>73</v>
      </c>
      <c r="AA638" s="58" t="s">
        <v>413</v>
      </c>
      <c r="AB638" s="81" t="s">
        <v>386</v>
      </c>
      <c r="AC638" s="82" t="s">
        <v>414</v>
      </c>
      <c r="AD638" s="69" t="s">
        <v>77</v>
      </c>
      <c r="AE638" s="56">
        <f t="shared" si="19"/>
        <v>145.71872516249999</v>
      </c>
      <c r="AF638" s="79">
        <v>145.71872516249999</v>
      </c>
      <c r="AG638" s="83"/>
      <c r="AH638" s="84"/>
      <c r="AI638" s="82"/>
      <c r="AJ638" s="81"/>
      <c r="AK638" s="81"/>
      <c r="AL638" s="81"/>
      <c r="AM638" s="81"/>
      <c r="AN638" s="81"/>
      <c r="AO638" s="81"/>
    </row>
    <row r="639" spans="1:41" x14ac:dyDescent="0.2">
      <c r="A639" s="69" t="s">
        <v>67</v>
      </c>
      <c r="B639" s="74">
        <v>43389</v>
      </c>
      <c r="C639" s="75">
        <v>0.54861111111111105</v>
      </c>
      <c r="D639" s="69" t="s">
        <v>158</v>
      </c>
      <c r="E639" s="69"/>
      <c r="F639" s="76">
        <v>63</v>
      </c>
      <c r="G639" s="69">
        <v>2</v>
      </c>
      <c r="H639" s="77">
        <v>3.1746031746031744E-2</v>
      </c>
      <c r="I639" s="78">
        <v>6.9746499000000003E-2</v>
      </c>
      <c r="J639" s="69">
        <v>314.15899999999999</v>
      </c>
      <c r="K639" s="69">
        <v>1.046197485</v>
      </c>
      <c r="L639" s="69">
        <v>15</v>
      </c>
      <c r="M639" s="79">
        <v>150.14325904253153</v>
      </c>
      <c r="N639" s="69">
        <v>749</v>
      </c>
      <c r="O639" s="80" t="s">
        <v>190</v>
      </c>
      <c r="P639" s="81" t="s">
        <v>70</v>
      </c>
      <c r="Q639" s="69" t="s">
        <v>191</v>
      </c>
      <c r="R639" s="69" t="s">
        <v>84</v>
      </c>
      <c r="S639" s="69"/>
      <c r="T639" s="60">
        <v>2</v>
      </c>
      <c r="U639" s="60">
        <v>2</v>
      </c>
      <c r="V639" s="69">
        <v>17.600000000000001</v>
      </c>
      <c r="W639" s="69"/>
      <c r="X639" s="69"/>
      <c r="Y639" s="9">
        <f t="shared" si="18"/>
        <v>300.28651808506305</v>
      </c>
      <c r="Z639" s="60" t="s">
        <v>73</v>
      </c>
      <c r="AA639" s="58" t="s">
        <v>413</v>
      </c>
      <c r="AB639" s="81" t="s">
        <v>386</v>
      </c>
      <c r="AC639" s="82"/>
      <c r="AD639" s="69" t="s">
        <v>193</v>
      </c>
      <c r="AE639" s="56">
        <f t="shared" si="19"/>
        <v>48.672000000000004</v>
      </c>
      <c r="AF639" s="79">
        <v>48.672000000000004</v>
      </c>
      <c r="AG639" s="83"/>
      <c r="AH639" s="84"/>
      <c r="AI639" s="82"/>
      <c r="AJ639" s="81"/>
      <c r="AK639" s="81"/>
      <c r="AL639" s="81"/>
      <c r="AM639" s="81"/>
      <c r="AN639" s="81"/>
      <c r="AO639" s="81"/>
    </row>
    <row r="640" spans="1:41" x14ac:dyDescent="0.2">
      <c r="A640" s="69" t="s">
        <v>67</v>
      </c>
      <c r="B640" s="74">
        <v>43389</v>
      </c>
      <c r="C640" s="75">
        <v>0.54861111111111105</v>
      </c>
      <c r="D640" s="69" t="s">
        <v>158</v>
      </c>
      <c r="E640" s="69"/>
      <c r="F640" s="76">
        <v>63</v>
      </c>
      <c r="G640" s="69">
        <v>2</v>
      </c>
      <c r="H640" s="77">
        <v>3.1746031746031744E-2</v>
      </c>
      <c r="I640" s="78">
        <v>6.9746499000000003E-2</v>
      </c>
      <c r="J640" s="69">
        <v>314.15899999999999</v>
      </c>
      <c r="K640" s="69">
        <v>1.046197485</v>
      </c>
      <c r="L640" s="69">
        <v>15</v>
      </c>
      <c r="M640" s="79">
        <v>150.14325904253153</v>
      </c>
      <c r="N640" s="69">
        <v>1037</v>
      </c>
      <c r="O640" s="80" t="s">
        <v>86</v>
      </c>
      <c r="P640" s="80" t="s">
        <v>82</v>
      </c>
      <c r="Q640" s="69" t="s">
        <v>87</v>
      </c>
      <c r="R640" s="69" t="s">
        <v>84</v>
      </c>
      <c r="S640" s="69"/>
      <c r="T640" s="60">
        <v>36</v>
      </c>
      <c r="U640" s="60">
        <v>36</v>
      </c>
      <c r="V640" s="69">
        <v>3.1</v>
      </c>
      <c r="W640" s="69"/>
      <c r="X640" s="69"/>
      <c r="Y640" s="9">
        <f t="shared" si="18"/>
        <v>5405.157325531135</v>
      </c>
      <c r="Z640" s="60" t="s">
        <v>73</v>
      </c>
      <c r="AA640" s="58" t="s">
        <v>413</v>
      </c>
      <c r="AB640" s="81" t="s">
        <v>386</v>
      </c>
      <c r="AC640" s="82"/>
      <c r="AD640" s="69" t="s">
        <v>85</v>
      </c>
      <c r="AE640" s="56">
        <f t="shared" si="19"/>
        <v>10.305985995</v>
      </c>
      <c r="AF640" s="79">
        <v>10.305985995</v>
      </c>
      <c r="AG640" s="83"/>
      <c r="AH640" s="84"/>
      <c r="AI640" s="82"/>
      <c r="AJ640" s="81"/>
      <c r="AK640" s="81"/>
      <c r="AL640" s="81"/>
      <c r="AM640" s="81"/>
      <c r="AN640" s="81"/>
      <c r="AO640" s="81"/>
    </row>
    <row r="641" spans="1:41" x14ac:dyDescent="0.2">
      <c r="A641" s="69" t="s">
        <v>67</v>
      </c>
      <c r="B641" s="74">
        <v>43389</v>
      </c>
      <c r="C641" s="75">
        <v>0.54861111111111105</v>
      </c>
      <c r="D641" s="69" t="s">
        <v>158</v>
      </c>
      <c r="E641" s="69"/>
      <c r="F641" s="76">
        <v>63</v>
      </c>
      <c r="G641" s="69">
        <v>2</v>
      </c>
      <c r="H641" s="77">
        <v>3.1746031746031744E-2</v>
      </c>
      <c r="I641" s="78">
        <v>6.9746499000000003E-2</v>
      </c>
      <c r="J641" s="69">
        <v>314.15899999999999</v>
      </c>
      <c r="K641" s="69">
        <v>1.046197485</v>
      </c>
      <c r="L641" s="69">
        <v>15</v>
      </c>
      <c r="M641" s="79">
        <v>150.14325904253153</v>
      </c>
      <c r="N641" s="69">
        <v>1352</v>
      </c>
      <c r="O641" s="80" t="s">
        <v>403</v>
      </c>
      <c r="P641" s="80" t="s">
        <v>82</v>
      </c>
      <c r="Q641" s="69" t="s">
        <v>119</v>
      </c>
      <c r="R641" s="69" t="s">
        <v>84</v>
      </c>
      <c r="S641" s="69"/>
      <c r="T641" s="60">
        <v>1</v>
      </c>
      <c r="U641" s="60">
        <v>1</v>
      </c>
      <c r="V641" s="69">
        <v>8.3000000000000007</v>
      </c>
      <c r="W641" s="69"/>
      <c r="X641" s="69"/>
      <c r="Y641" s="9">
        <f t="shared" si="18"/>
        <v>150.14325904253153</v>
      </c>
      <c r="Z641" s="60" t="s">
        <v>73</v>
      </c>
      <c r="AA641" s="58" t="s">
        <v>413</v>
      </c>
      <c r="AB641" s="81" t="s">
        <v>386</v>
      </c>
      <c r="AC641" s="82" t="s">
        <v>404</v>
      </c>
      <c r="AD641" s="69" t="s">
        <v>120</v>
      </c>
      <c r="AE641" s="56">
        <f t="shared" si="19"/>
        <v>108.64665416666666</v>
      </c>
      <c r="AF641" s="79">
        <v>108.64665416666666</v>
      </c>
      <c r="AG641" s="83"/>
      <c r="AH641" s="84"/>
      <c r="AI641" s="82"/>
      <c r="AJ641" s="81"/>
      <c r="AK641" s="81"/>
      <c r="AL641" s="81"/>
      <c r="AM641" s="81"/>
      <c r="AN641" s="81"/>
      <c r="AO641" s="81"/>
    </row>
    <row r="642" spans="1:41" x14ac:dyDescent="0.2">
      <c r="A642" s="69" t="s">
        <v>67</v>
      </c>
      <c r="B642" s="74">
        <v>43389</v>
      </c>
      <c r="C642" s="75">
        <v>0.54861111111111105</v>
      </c>
      <c r="D642" s="69" t="s">
        <v>158</v>
      </c>
      <c r="E642" s="69"/>
      <c r="F642" s="76">
        <v>63</v>
      </c>
      <c r="G642" s="69">
        <v>2</v>
      </c>
      <c r="H642" s="77">
        <v>3.1746031746031744E-2</v>
      </c>
      <c r="I642" s="78">
        <v>6.9746499000000003E-2</v>
      </c>
      <c r="J642" s="69">
        <v>314.15899999999999</v>
      </c>
      <c r="K642" s="69">
        <v>1.046197485</v>
      </c>
      <c r="L642" s="69">
        <v>15</v>
      </c>
      <c r="M642" s="79">
        <v>150.14325904253153</v>
      </c>
      <c r="N642" s="69">
        <v>1364</v>
      </c>
      <c r="O642" s="80" t="s">
        <v>88</v>
      </c>
      <c r="P642" s="80" t="s">
        <v>82</v>
      </c>
      <c r="Q642" s="69" t="s">
        <v>89</v>
      </c>
      <c r="R642" s="69" t="s">
        <v>90</v>
      </c>
      <c r="S642" s="69"/>
      <c r="T642" s="60">
        <v>4</v>
      </c>
      <c r="U642" s="60">
        <v>4</v>
      </c>
      <c r="V642" s="69">
        <v>8.3000000000000007</v>
      </c>
      <c r="W642" s="69"/>
      <c r="X642" s="69"/>
      <c r="Y642" s="9">
        <f t="shared" si="18"/>
        <v>600.5730361701261</v>
      </c>
      <c r="Z642" s="60" t="s">
        <v>73</v>
      </c>
      <c r="AA642" s="58" t="s">
        <v>413</v>
      </c>
      <c r="AB642" s="81" t="s">
        <v>386</v>
      </c>
      <c r="AC642" s="82"/>
      <c r="AD642" s="69" t="s">
        <v>91</v>
      </c>
      <c r="AE642" s="56">
        <f t="shared" si="19"/>
        <v>259.70896212000002</v>
      </c>
      <c r="AF642" s="79">
        <v>259.70896212000002</v>
      </c>
      <c r="AG642" s="83"/>
      <c r="AH642" s="84"/>
      <c r="AI642" s="82"/>
      <c r="AJ642" s="81"/>
      <c r="AK642" s="81"/>
      <c r="AL642" s="81"/>
      <c r="AM642" s="81"/>
      <c r="AN642" s="81"/>
      <c r="AO642" s="81"/>
    </row>
    <row r="643" spans="1:41" x14ac:dyDescent="0.2">
      <c r="A643" s="69" t="s">
        <v>67</v>
      </c>
      <c r="B643" s="74">
        <v>43389</v>
      </c>
      <c r="C643" s="75">
        <v>0.54861111111111105</v>
      </c>
      <c r="D643" s="69" t="s">
        <v>158</v>
      </c>
      <c r="E643" s="69"/>
      <c r="F643" s="76">
        <v>63</v>
      </c>
      <c r="G643" s="69">
        <v>2</v>
      </c>
      <c r="H643" s="77">
        <v>3.1746031746031744E-2</v>
      </c>
      <c r="I643" s="78">
        <v>6.9746499000000003E-2</v>
      </c>
      <c r="J643" s="69">
        <v>314.15899999999999</v>
      </c>
      <c r="K643" s="69">
        <v>1.046197485</v>
      </c>
      <c r="L643" s="69">
        <v>15</v>
      </c>
      <c r="M643" s="79">
        <v>150.14325904253153</v>
      </c>
      <c r="N643" s="69">
        <v>1419</v>
      </c>
      <c r="O643" s="80" t="s">
        <v>94</v>
      </c>
      <c r="P643" s="80" t="s">
        <v>82</v>
      </c>
      <c r="Q643" s="69" t="s">
        <v>95</v>
      </c>
      <c r="R643" s="69" t="s">
        <v>96</v>
      </c>
      <c r="S643" s="69"/>
      <c r="T643" s="60">
        <v>358</v>
      </c>
      <c r="U643" s="60">
        <v>719</v>
      </c>
      <c r="V643" s="69">
        <v>0.9</v>
      </c>
      <c r="W643" s="69">
        <v>0.9</v>
      </c>
      <c r="X643" s="69">
        <v>0.9</v>
      </c>
      <c r="Y643" s="9">
        <f t="shared" ref="Y643:Y706" si="20">(T643*J643)/(G643*I643*L643)</f>
        <v>53751.286737226284</v>
      </c>
      <c r="Z643" s="60" t="s">
        <v>97</v>
      </c>
      <c r="AA643" s="58" t="s">
        <v>413</v>
      </c>
      <c r="AB643" s="81" t="s">
        <v>386</v>
      </c>
      <c r="AC643" s="82"/>
      <c r="AD643" s="69" t="s">
        <v>85</v>
      </c>
      <c r="AE643" s="56">
        <f t="shared" ref="AE643:AE706" si="21">AVERAGE(AF643:AO643)</f>
        <v>0.19090395233333335</v>
      </c>
      <c r="AF643" s="79">
        <v>0.11309723999999999</v>
      </c>
      <c r="AG643" s="79">
        <v>0.17959422833333327</v>
      </c>
      <c r="AH643" s="79">
        <v>0.11309723999999999</v>
      </c>
      <c r="AI643" s="79">
        <v>0.26808234666666664</v>
      </c>
      <c r="AJ643" s="79">
        <v>0.381703185</v>
      </c>
      <c r="AK643" s="79">
        <v>0.17959422833333327</v>
      </c>
      <c r="AL643" s="79">
        <v>0.26808234666666664</v>
      </c>
      <c r="AM643" s="79">
        <v>0.11309723999999999</v>
      </c>
      <c r="AN643" s="79">
        <v>0.11309723999999999</v>
      </c>
      <c r="AO643" s="79">
        <v>0.17959422833333327</v>
      </c>
    </row>
    <row r="644" spans="1:41" x14ac:dyDescent="0.2">
      <c r="A644" s="69" t="s">
        <v>67</v>
      </c>
      <c r="B644" s="74">
        <v>43389</v>
      </c>
      <c r="C644" s="75">
        <v>0.57638888888888895</v>
      </c>
      <c r="D644" s="69" t="s">
        <v>189</v>
      </c>
      <c r="E644" s="69">
        <v>3</v>
      </c>
      <c r="F644" s="76">
        <v>58</v>
      </c>
      <c r="G644" s="69">
        <v>2</v>
      </c>
      <c r="H644" s="77">
        <v>3.4482758620689655E-2</v>
      </c>
      <c r="I644" s="78">
        <v>6.9746499000000003E-2</v>
      </c>
      <c r="J644" s="69">
        <v>314.15899999999999</v>
      </c>
      <c r="K644" s="69">
        <v>0.48822549300000001</v>
      </c>
      <c r="L644" s="69">
        <v>7</v>
      </c>
      <c r="M644" s="79">
        <v>321.73555509113896</v>
      </c>
      <c r="N644" s="69">
        <v>190</v>
      </c>
      <c r="O644" s="80" t="s">
        <v>296</v>
      </c>
      <c r="P644" s="81" t="s">
        <v>70</v>
      </c>
      <c r="Q644" s="69" t="s">
        <v>103</v>
      </c>
      <c r="R644" s="69" t="s">
        <v>84</v>
      </c>
      <c r="S644" s="69"/>
      <c r="T644" s="60">
        <v>1</v>
      </c>
      <c r="U644" s="60">
        <v>1</v>
      </c>
      <c r="V644" s="69">
        <v>5.6</v>
      </c>
      <c r="W644" s="69"/>
      <c r="X644" s="69"/>
      <c r="Y644" s="9">
        <f t="shared" si="20"/>
        <v>321.73555509113896</v>
      </c>
      <c r="Z644" s="60" t="s">
        <v>73</v>
      </c>
      <c r="AA644" s="58" t="s">
        <v>410</v>
      </c>
      <c r="AB644" s="81" t="s">
        <v>386</v>
      </c>
      <c r="AC644" s="82" t="s">
        <v>406</v>
      </c>
      <c r="AD644" s="69" t="s">
        <v>104</v>
      </c>
      <c r="AE644" s="56">
        <f t="shared" si="21"/>
        <v>91.131242719999989</v>
      </c>
      <c r="AF644" s="79">
        <v>91.131242719999989</v>
      </c>
      <c r="AG644" s="83"/>
      <c r="AH644" s="84"/>
      <c r="AI644" s="82"/>
      <c r="AJ644" s="81"/>
      <c r="AK644" s="81"/>
      <c r="AL644" s="81"/>
      <c r="AM644" s="81"/>
      <c r="AN644" s="81"/>
      <c r="AO644" s="81"/>
    </row>
    <row r="645" spans="1:41" x14ac:dyDescent="0.2">
      <c r="A645" s="69" t="s">
        <v>67</v>
      </c>
      <c r="B645" s="74">
        <v>43389</v>
      </c>
      <c r="C645" s="75">
        <v>0.57638888888888895</v>
      </c>
      <c r="D645" s="69" t="s">
        <v>189</v>
      </c>
      <c r="E645" s="69">
        <v>3</v>
      </c>
      <c r="F645" s="76">
        <v>58</v>
      </c>
      <c r="G645" s="69">
        <v>2</v>
      </c>
      <c r="H645" s="77">
        <v>3.4482758620689655E-2</v>
      </c>
      <c r="I645" s="78">
        <v>6.9746499000000003E-2</v>
      </c>
      <c r="J645" s="69">
        <v>314.15899999999999</v>
      </c>
      <c r="K645" s="69">
        <v>0.48822549300000001</v>
      </c>
      <c r="L645" s="69">
        <v>7</v>
      </c>
      <c r="M645" s="79">
        <v>321.73555509113896</v>
      </c>
      <c r="N645" s="69">
        <v>1037</v>
      </c>
      <c r="O645" s="80" t="s">
        <v>86</v>
      </c>
      <c r="P645" s="80" t="s">
        <v>82</v>
      </c>
      <c r="Q645" s="69" t="s">
        <v>87</v>
      </c>
      <c r="R645" s="69" t="s">
        <v>84</v>
      </c>
      <c r="S645" s="69"/>
      <c r="T645" s="60">
        <v>28</v>
      </c>
      <c r="U645" s="60">
        <v>28</v>
      </c>
      <c r="V645" s="69">
        <v>3.7</v>
      </c>
      <c r="W645" s="69"/>
      <c r="X645" s="69"/>
      <c r="Y645" s="9">
        <f t="shared" si="20"/>
        <v>9008.5955425518914</v>
      </c>
      <c r="Z645" s="60" t="s">
        <v>73</v>
      </c>
      <c r="AA645" s="58" t="s">
        <v>410</v>
      </c>
      <c r="AB645" s="81" t="s">
        <v>386</v>
      </c>
      <c r="AC645" s="82" t="s">
        <v>406</v>
      </c>
      <c r="AD645" s="69" t="s">
        <v>85</v>
      </c>
      <c r="AE645" s="56">
        <f t="shared" si="21"/>
        <v>12.770039751666664</v>
      </c>
      <c r="AF645" s="79">
        <v>12.770039751666664</v>
      </c>
      <c r="AG645" s="83"/>
      <c r="AH645" s="84"/>
      <c r="AI645" s="82"/>
      <c r="AJ645" s="81"/>
      <c r="AK645" s="81"/>
      <c r="AL645" s="81"/>
      <c r="AM645" s="81"/>
      <c r="AN645" s="81"/>
      <c r="AO645" s="81"/>
    </row>
    <row r="646" spans="1:41" x14ac:dyDescent="0.2">
      <c r="A646" s="69" t="s">
        <v>67</v>
      </c>
      <c r="B646" s="74">
        <v>43389</v>
      </c>
      <c r="C646" s="75">
        <v>0.57638888888888895</v>
      </c>
      <c r="D646" s="69" t="s">
        <v>189</v>
      </c>
      <c r="E646" s="69">
        <v>3</v>
      </c>
      <c r="F646" s="76">
        <v>58</v>
      </c>
      <c r="G646" s="69">
        <v>2</v>
      </c>
      <c r="H646" s="77">
        <v>3.4482758620689655E-2</v>
      </c>
      <c r="I646" s="78">
        <v>6.9746499000000003E-2</v>
      </c>
      <c r="J646" s="69">
        <v>314.15899999999999</v>
      </c>
      <c r="K646" s="69">
        <v>0.48822549300000001</v>
      </c>
      <c r="L646" s="69">
        <v>7</v>
      </c>
      <c r="M646" s="79">
        <v>321.73555509113896</v>
      </c>
      <c r="N646" s="69">
        <v>1419</v>
      </c>
      <c r="O646" s="80" t="s">
        <v>94</v>
      </c>
      <c r="P646" s="80" t="s">
        <v>82</v>
      </c>
      <c r="Q646" s="69" t="s">
        <v>95</v>
      </c>
      <c r="R646" s="69" t="s">
        <v>96</v>
      </c>
      <c r="S646" s="69"/>
      <c r="T646" s="60">
        <v>445</v>
      </c>
      <c r="U646" s="60">
        <v>899</v>
      </c>
      <c r="V646" s="69">
        <v>0.9</v>
      </c>
      <c r="W646" s="69">
        <v>0.9</v>
      </c>
      <c r="X646" s="69">
        <v>0.9</v>
      </c>
      <c r="Y646" s="9">
        <f t="shared" si="20"/>
        <v>143172.32201555686</v>
      </c>
      <c r="Z646" s="60" t="s">
        <v>97</v>
      </c>
      <c r="AA646" s="58" t="s">
        <v>410</v>
      </c>
      <c r="AB646" s="81" t="s">
        <v>386</v>
      </c>
      <c r="AC646" s="82" t="s">
        <v>406</v>
      </c>
      <c r="AD646" s="69" t="s">
        <v>85</v>
      </c>
      <c r="AE646" s="56">
        <f t="shared" si="21"/>
        <v>0.19090395233333335</v>
      </c>
      <c r="AF646" s="79">
        <v>0.11309723999999999</v>
      </c>
      <c r="AG646" s="79">
        <v>0.17959422833333327</v>
      </c>
      <c r="AH646" s="79">
        <v>0.11309723999999999</v>
      </c>
      <c r="AI646" s="79">
        <v>0.26808234666666664</v>
      </c>
      <c r="AJ646" s="79">
        <v>0.381703185</v>
      </c>
      <c r="AK646" s="79">
        <v>0.17959422833333327</v>
      </c>
      <c r="AL646" s="79">
        <v>0.26808234666666664</v>
      </c>
      <c r="AM646" s="79">
        <v>0.11309723999999999</v>
      </c>
      <c r="AN646" s="79">
        <v>0.11309723999999999</v>
      </c>
      <c r="AO646" s="79">
        <v>0.17959422833333327</v>
      </c>
    </row>
    <row r="647" spans="1:41" x14ac:dyDescent="0.2">
      <c r="A647" s="69" t="s">
        <v>67</v>
      </c>
      <c r="B647" s="74">
        <v>43389</v>
      </c>
      <c r="C647" s="75">
        <v>0.57638888888888895</v>
      </c>
      <c r="D647" s="69" t="s">
        <v>189</v>
      </c>
      <c r="E647" s="69">
        <v>3</v>
      </c>
      <c r="F647" s="76">
        <v>58</v>
      </c>
      <c r="G647" s="69">
        <v>2</v>
      </c>
      <c r="H647" s="77">
        <v>3.4482758620689655E-2</v>
      </c>
      <c r="I647" s="78">
        <v>6.9746499000000003E-2</v>
      </c>
      <c r="J647" s="69">
        <v>314.15899999999999</v>
      </c>
      <c r="K647" s="69">
        <v>0.48822549300000001</v>
      </c>
      <c r="L647" s="69">
        <v>7</v>
      </c>
      <c r="M647" s="79">
        <v>321.73555509113896</v>
      </c>
      <c r="N647" s="69">
        <v>1420</v>
      </c>
      <c r="O647" s="80" t="s">
        <v>98</v>
      </c>
      <c r="P647" s="80" t="s">
        <v>82</v>
      </c>
      <c r="Q647" s="69" t="s">
        <v>95</v>
      </c>
      <c r="R647" s="69" t="s">
        <v>99</v>
      </c>
      <c r="S647" s="69"/>
      <c r="T647" s="60">
        <v>1</v>
      </c>
      <c r="U647" s="60">
        <v>2</v>
      </c>
      <c r="V647" s="69">
        <v>1.9</v>
      </c>
      <c r="W647" s="69"/>
      <c r="X647" s="69"/>
      <c r="Y647" s="9">
        <f t="shared" si="20"/>
        <v>321.73555509113896</v>
      </c>
      <c r="Z647" s="60" t="s">
        <v>97</v>
      </c>
      <c r="AA647" s="58" t="s">
        <v>410</v>
      </c>
      <c r="AB647" s="81" t="s">
        <v>386</v>
      </c>
      <c r="AC647" s="82" t="s">
        <v>406</v>
      </c>
      <c r="AD647" s="69" t="s">
        <v>85</v>
      </c>
      <c r="AE647" s="56">
        <f t="shared" si="21"/>
        <v>3.5913609683333325</v>
      </c>
      <c r="AF647" s="79">
        <v>3.5913609683333325</v>
      </c>
      <c r="AG647" s="83"/>
      <c r="AH647" s="84"/>
      <c r="AI647" s="82"/>
      <c r="AJ647" s="81"/>
      <c r="AK647" s="81"/>
      <c r="AL647" s="81"/>
      <c r="AM647" s="81"/>
      <c r="AN647" s="81"/>
      <c r="AO647" s="81"/>
    </row>
    <row r="648" spans="1:41" x14ac:dyDescent="0.2">
      <c r="A648" s="49" t="s">
        <v>67</v>
      </c>
      <c r="B648" s="50">
        <v>43389</v>
      </c>
      <c r="C648" s="51">
        <v>0.59027777777777801</v>
      </c>
      <c r="D648" s="49" t="s">
        <v>170</v>
      </c>
      <c r="E648" s="49">
        <v>3</v>
      </c>
      <c r="F648" s="52">
        <v>62.5</v>
      </c>
      <c r="G648" s="53">
        <v>2</v>
      </c>
      <c r="H648" s="54">
        <v>3.2000000000000001E-2</v>
      </c>
      <c r="I648" s="55">
        <v>6.9746499000000003E-2</v>
      </c>
      <c r="J648" s="53">
        <v>314.15899999999999</v>
      </c>
      <c r="K648" s="53">
        <v>0.48822549300000001</v>
      </c>
      <c r="L648" s="53">
        <v>7</v>
      </c>
      <c r="M648" s="56">
        <v>321.73555509113896</v>
      </c>
      <c r="N648" s="53">
        <v>1037</v>
      </c>
      <c r="O648" s="57" t="s">
        <v>86</v>
      </c>
      <c r="P648" s="57" t="s">
        <v>82</v>
      </c>
      <c r="Q648" s="53" t="s">
        <v>87</v>
      </c>
      <c r="R648" s="53" t="s">
        <v>84</v>
      </c>
      <c r="S648" s="53"/>
      <c r="T648" s="59">
        <v>29</v>
      </c>
      <c r="U648" s="59">
        <v>29</v>
      </c>
      <c r="V648" s="53">
        <v>3.7</v>
      </c>
      <c r="W648" s="53"/>
      <c r="X648" s="53"/>
      <c r="Y648" s="9">
        <f t="shared" si="20"/>
        <v>9330.3310976430294</v>
      </c>
      <c r="Z648" s="60" t="s">
        <v>73</v>
      </c>
      <c r="AA648" s="58" t="s">
        <v>411</v>
      </c>
      <c r="AB648" s="58" t="s">
        <v>386</v>
      </c>
      <c r="AC648" s="61" t="s">
        <v>412</v>
      </c>
      <c r="AD648" s="53" t="s">
        <v>85</v>
      </c>
      <c r="AE648" s="56">
        <f t="shared" si="21"/>
        <v>15.598517948333333</v>
      </c>
      <c r="AF648" s="56">
        <v>15.598517948333333</v>
      </c>
      <c r="AG648" s="62"/>
      <c r="AH648" s="63"/>
      <c r="AI648" s="61"/>
      <c r="AJ648" s="58"/>
      <c r="AK648" s="58"/>
      <c r="AL648" s="58"/>
      <c r="AM648" s="58"/>
      <c r="AN648" s="58"/>
      <c r="AO648" s="58"/>
    </row>
    <row r="649" spans="1:41" x14ac:dyDescent="0.2">
      <c r="A649" s="49" t="s">
        <v>67</v>
      </c>
      <c r="B649" s="50">
        <v>43389</v>
      </c>
      <c r="C649" s="51">
        <v>0.59027777777777801</v>
      </c>
      <c r="D649" s="49" t="s">
        <v>170</v>
      </c>
      <c r="E649" s="49">
        <v>3</v>
      </c>
      <c r="F649" s="52">
        <v>62.5</v>
      </c>
      <c r="G649" s="53">
        <v>2</v>
      </c>
      <c r="H649" s="54">
        <v>3.2000000000000001E-2</v>
      </c>
      <c r="I649" s="55">
        <v>6.9746499000000003E-2</v>
      </c>
      <c r="J649" s="53">
        <v>314.15899999999999</v>
      </c>
      <c r="K649" s="53">
        <v>0.48822549300000001</v>
      </c>
      <c r="L649" s="53">
        <v>7</v>
      </c>
      <c r="M649" s="56">
        <v>321.73555509113896</v>
      </c>
      <c r="N649" s="53">
        <v>1364</v>
      </c>
      <c r="O649" s="57" t="s">
        <v>88</v>
      </c>
      <c r="P649" s="57" t="s">
        <v>82</v>
      </c>
      <c r="Q649" s="53" t="s">
        <v>89</v>
      </c>
      <c r="R649" s="53" t="s">
        <v>90</v>
      </c>
      <c r="S649" s="53"/>
      <c r="T649" s="59">
        <v>1</v>
      </c>
      <c r="U649" s="59">
        <v>1</v>
      </c>
      <c r="V649" s="53">
        <v>9.3000000000000007</v>
      </c>
      <c r="W649" s="53"/>
      <c r="X649" s="53"/>
      <c r="Y649" s="9">
        <f t="shared" si="20"/>
        <v>321.73555509113896</v>
      </c>
      <c r="Z649" s="60" t="s">
        <v>73</v>
      </c>
      <c r="AA649" s="58" t="s">
        <v>411</v>
      </c>
      <c r="AB649" s="58" t="s">
        <v>386</v>
      </c>
      <c r="AC649" s="61" t="s">
        <v>412</v>
      </c>
      <c r="AD649" s="53" t="s">
        <v>91</v>
      </c>
      <c r="AE649" s="56">
        <f t="shared" si="21"/>
        <v>337.38084788249995</v>
      </c>
      <c r="AF649" s="56">
        <v>337.38084788249995</v>
      </c>
      <c r="AG649" s="62"/>
      <c r="AH649" s="63"/>
      <c r="AI649" s="61"/>
      <c r="AJ649" s="58"/>
      <c r="AK649" s="58"/>
      <c r="AL649" s="58"/>
      <c r="AM649" s="58"/>
      <c r="AN649" s="58"/>
      <c r="AO649" s="58"/>
    </row>
    <row r="650" spans="1:41" x14ac:dyDescent="0.2">
      <c r="A650" s="49" t="s">
        <v>67</v>
      </c>
      <c r="B650" s="50">
        <v>43389</v>
      </c>
      <c r="C650" s="51">
        <v>0.59027777777777801</v>
      </c>
      <c r="D650" s="49" t="s">
        <v>170</v>
      </c>
      <c r="E650" s="49">
        <v>3</v>
      </c>
      <c r="F650" s="52">
        <v>62.5</v>
      </c>
      <c r="G650" s="53">
        <v>2</v>
      </c>
      <c r="H650" s="54">
        <v>3.2000000000000001E-2</v>
      </c>
      <c r="I650" s="55">
        <v>6.9746499000000003E-2</v>
      </c>
      <c r="J650" s="53">
        <v>314.15899999999999</v>
      </c>
      <c r="K650" s="53">
        <v>0.48822549300000001</v>
      </c>
      <c r="L650" s="53">
        <v>7</v>
      </c>
      <c r="M650" s="56">
        <v>321.73555509113896</v>
      </c>
      <c r="N650" s="53">
        <v>1733</v>
      </c>
      <c r="O650" s="57" t="s">
        <v>391</v>
      </c>
      <c r="P650" s="57" t="s">
        <v>82</v>
      </c>
      <c r="Q650" s="53" t="s">
        <v>89</v>
      </c>
      <c r="R650" s="53" t="s">
        <v>93</v>
      </c>
      <c r="S650" s="53"/>
      <c r="T650" s="59">
        <v>4</v>
      </c>
      <c r="U650" s="59">
        <v>4</v>
      </c>
      <c r="V650" s="53">
        <v>9.3000000000000007</v>
      </c>
      <c r="W650" s="53"/>
      <c r="X650" s="53"/>
      <c r="Y650" s="9">
        <f t="shared" si="20"/>
        <v>1286.9422203645559</v>
      </c>
      <c r="Z650" s="60" t="s">
        <v>73</v>
      </c>
      <c r="AA650" s="58" t="s">
        <v>411</v>
      </c>
      <c r="AB650" s="58" t="s">
        <v>386</v>
      </c>
      <c r="AC650" s="61" t="s">
        <v>412</v>
      </c>
      <c r="AD650" s="53" t="s">
        <v>91</v>
      </c>
      <c r="AE650" s="56">
        <f t="shared" si="21"/>
        <v>169.36102250666661</v>
      </c>
      <c r="AF650" s="56">
        <v>169.36102250666661</v>
      </c>
      <c r="AG650" s="62"/>
      <c r="AH650" s="63"/>
      <c r="AI650" s="61"/>
      <c r="AJ650" s="58"/>
      <c r="AK650" s="58"/>
      <c r="AL650" s="58"/>
      <c r="AM650" s="58"/>
      <c r="AN650" s="58"/>
      <c r="AO650" s="58"/>
    </row>
    <row r="651" spans="1:41" x14ac:dyDescent="0.2">
      <c r="A651" s="49" t="s">
        <v>67</v>
      </c>
      <c r="B651" s="50">
        <v>43389</v>
      </c>
      <c r="C651" s="51">
        <v>0.59027777777777801</v>
      </c>
      <c r="D651" s="49" t="s">
        <v>170</v>
      </c>
      <c r="E651" s="49">
        <v>3</v>
      </c>
      <c r="F651" s="52">
        <v>62.5</v>
      </c>
      <c r="G651" s="53">
        <v>2</v>
      </c>
      <c r="H651" s="54">
        <v>3.2000000000000001E-2</v>
      </c>
      <c r="I651" s="55">
        <v>6.9746499000000003E-2</v>
      </c>
      <c r="J651" s="53">
        <v>314.15899999999999</v>
      </c>
      <c r="K651" s="53">
        <v>0.48822549300000001</v>
      </c>
      <c r="L651" s="53">
        <v>7</v>
      </c>
      <c r="M651" s="56">
        <v>321.73555509113896</v>
      </c>
      <c r="N651" s="53">
        <v>1419</v>
      </c>
      <c r="O651" s="57" t="s">
        <v>94</v>
      </c>
      <c r="P651" s="57" t="s">
        <v>82</v>
      </c>
      <c r="Q651" s="53" t="s">
        <v>95</v>
      </c>
      <c r="R651" s="53" t="s">
        <v>96</v>
      </c>
      <c r="S651" s="53"/>
      <c r="T651" s="59">
        <v>392</v>
      </c>
      <c r="U651" s="59">
        <v>794</v>
      </c>
      <c r="V651" s="53">
        <v>0.9</v>
      </c>
      <c r="W651" s="53">
        <v>0.9</v>
      </c>
      <c r="X651" s="53">
        <v>0.9</v>
      </c>
      <c r="Y651" s="9">
        <f t="shared" si="20"/>
        <v>126120.33759572648</v>
      </c>
      <c r="Z651" s="60" t="s">
        <v>97</v>
      </c>
      <c r="AA651" s="58" t="s">
        <v>411</v>
      </c>
      <c r="AB651" s="58" t="s">
        <v>386</v>
      </c>
      <c r="AC651" s="61" t="s">
        <v>412</v>
      </c>
      <c r="AD651" s="53" t="s">
        <v>85</v>
      </c>
      <c r="AE651" s="56">
        <f t="shared" si="21"/>
        <v>0.19090395233333335</v>
      </c>
      <c r="AF651" s="56">
        <v>0.11309723999999999</v>
      </c>
      <c r="AG651" s="56">
        <v>0.17959422833333327</v>
      </c>
      <c r="AH651" s="56">
        <v>0.11309723999999999</v>
      </c>
      <c r="AI651" s="56">
        <v>0.26808234666666664</v>
      </c>
      <c r="AJ651" s="56">
        <v>0.381703185</v>
      </c>
      <c r="AK651" s="56">
        <v>0.17959422833333327</v>
      </c>
      <c r="AL651" s="56">
        <v>0.26808234666666664</v>
      </c>
      <c r="AM651" s="56">
        <v>0.11309723999999999</v>
      </c>
      <c r="AN651" s="56">
        <v>0.11309723999999999</v>
      </c>
      <c r="AO651" s="56">
        <v>0.17959422833333327</v>
      </c>
    </row>
    <row r="652" spans="1:41" x14ac:dyDescent="0.2">
      <c r="A652" s="49" t="s">
        <v>67</v>
      </c>
      <c r="B652" s="50">
        <v>43389</v>
      </c>
      <c r="C652" s="51">
        <v>0.59027777777777801</v>
      </c>
      <c r="D652" s="49" t="s">
        <v>170</v>
      </c>
      <c r="E652" s="49">
        <v>3</v>
      </c>
      <c r="F652" s="52">
        <v>62.5</v>
      </c>
      <c r="G652" s="53">
        <v>2</v>
      </c>
      <c r="H652" s="54">
        <v>3.2000000000000001E-2</v>
      </c>
      <c r="I652" s="55">
        <v>6.9746499000000003E-2</v>
      </c>
      <c r="J652" s="53">
        <v>314.15899999999999</v>
      </c>
      <c r="K652" s="53">
        <v>0.48822549300000001</v>
      </c>
      <c r="L652" s="53">
        <v>7</v>
      </c>
      <c r="M652" s="56">
        <v>321.73555509113896</v>
      </c>
      <c r="N652" s="53">
        <v>1709</v>
      </c>
      <c r="O652" s="57" t="s">
        <v>234</v>
      </c>
      <c r="P652" s="57" t="s">
        <v>82</v>
      </c>
      <c r="Q652" s="53" t="s">
        <v>235</v>
      </c>
      <c r="R652" s="53" t="s">
        <v>84</v>
      </c>
      <c r="S652" s="53"/>
      <c r="T652" s="59">
        <v>1</v>
      </c>
      <c r="U652" s="59">
        <v>19</v>
      </c>
      <c r="V652" s="53">
        <v>1.9</v>
      </c>
      <c r="W652" s="53"/>
      <c r="X652" s="53"/>
      <c r="Y652" s="9">
        <f t="shared" si="20"/>
        <v>321.73555509113896</v>
      </c>
      <c r="Z652" s="60" t="s">
        <v>134</v>
      </c>
      <c r="AA652" s="58" t="s">
        <v>411</v>
      </c>
      <c r="AB652" s="58" t="s">
        <v>386</v>
      </c>
      <c r="AC652" s="61" t="s">
        <v>412</v>
      </c>
      <c r="AD652" s="53" t="s">
        <v>104</v>
      </c>
      <c r="AE652" s="56">
        <f t="shared" si="21"/>
        <v>0.53721188999999991</v>
      </c>
      <c r="AF652" s="56">
        <v>0.53721188999999991</v>
      </c>
      <c r="AG652" s="62"/>
      <c r="AH652" s="63"/>
      <c r="AI652" s="61"/>
      <c r="AJ652" s="58"/>
      <c r="AK652" s="58"/>
      <c r="AL652" s="58"/>
      <c r="AM652" s="58"/>
      <c r="AN652" s="58"/>
      <c r="AO652" s="58"/>
    </row>
    <row r="653" spans="1:41" x14ac:dyDescent="0.2">
      <c r="A653" s="5" t="s">
        <v>67</v>
      </c>
      <c r="B653" s="25">
        <v>43389</v>
      </c>
      <c r="C653" s="26">
        <v>0.60416666666666696</v>
      </c>
      <c r="D653" s="5" t="s">
        <v>144</v>
      </c>
      <c r="E653" s="5"/>
      <c r="F653" s="32">
        <v>63</v>
      </c>
      <c r="G653" s="9">
        <v>2</v>
      </c>
      <c r="H653" s="6">
        <v>3.1746031746031744E-2</v>
      </c>
      <c r="I653" s="7">
        <v>6.83E-2</v>
      </c>
      <c r="J653" s="9">
        <v>314.15899999999999</v>
      </c>
      <c r="K653" s="9">
        <v>0.95619999999999994</v>
      </c>
      <c r="L653" s="9">
        <v>14</v>
      </c>
      <c r="M653" s="14">
        <v>164.27473331938924</v>
      </c>
      <c r="N653" s="9">
        <v>145</v>
      </c>
      <c r="O653" s="12" t="s">
        <v>69</v>
      </c>
      <c r="P653" s="8" t="s">
        <v>70</v>
      </c>
      <c r="Q653" s="9" t="s">
        <v>71</v>
      </c>
      <c r="R653" s="9" t="s">
        <v>72</v>
      </c>
      <c r="S653" s="9"/>
      <c r="T653" s="18">
        <v>2</v>
      </c>
      <c r="U653" s="18">
        <v>2</v>
      </c>
      <c r="V653" s="9">
        <v>22.2</v>
      </c>
      <c r="Y653" s="9">
        <f t="shared" si="20"/>
        <v>328.54946663877848</v>
      </c>
      <c r="Z653" s="19" t="s">
        <v>73</v>
      </c>
      <c r="AA653" s="8" t="s">
        <v>145</v>
      </c>
      <c r="AB653" s="8" t="s">
        <v>75</v>
      </c>
      <c r="AC653" s="11" t="s">
        <v>112</v>
      </c>
      <c r="AD653" s="9" t="s">
        <v>77</v>
      </c>
      <c r="AE653" s="56">
        <f t="shared" si="21"/>
        <v>539.30418893999979</v>
      </c>
      <c r="AF653" s="14">
        <v>539.30418893999979</v>
      </c>
      <c r="AG653" s="13"/>
    </row>
    <row r="654" spans="1:41" x14ac:dyDescent="0.2">
      <c r="A654" s="5" t="s">
        <v>67</v>
      </c>
      <c r="B654" s="25">
        <v>43389</v>
      </c>
      <c r="C654" s="26">
        <v>0.60416666666666696</v>
      </c>
      <c r="D654" s="5" t="s">
        <v>144</v>
      </c>
      <c r="E654" s="5"/>
      <c r="F654" s="32">
        <v>63</v>
      </c>
      <c r="G654" s="9">
        <v>2</v>
      </c>
      <c r="H654" s="6">
        <v>3.1746031746031744E-2</v>
      </c>
      <c r="I654" s="7">
        <v>6.83E-2</v>
      </c>
      <c r="J654" s="9">
        <v>314.15899999999999</v>
      </c>
      <c r="K654" s="9">
        <v>0.95619999999999994</v>
      </c>
      <c r="L654" s="9">
        <v>14</v>
      </c>
      <c r="M654" s="14">
        <v>164.27473331938924</v>
      </c>
      <c r="N654" s="9">
        <v>631</v>
      </c>
      <c r="O654" s="12" t="s">
        <v>146</v>
      </c>
      <c r="P654" s="8" t="s">
        <v>70</v>
      </c>
      <c r="Q654" s="9" t="s">
        <v>147</v>
      </c>
      <c r="R654" s="9" t="s">
        <v>84</v>
      </c>
      <c r="S654" s="9"/>
      <c r="T654" s="18">
        <v>1</v>
      </c>
      <c r="U654" s="18">
        <v>1</v>
      </c>
      <c r="V654" s="9">
        <v>18.5</v>
      </c>
      <c r="Y654" s="9">
        <f t="shared" si="20"/>
        <v>164.27473331938924</v>
      </c>
      <c r="Z654" s="19" t="s">
        <v>73</v>
      </c>
      <c r="AA654" s="8" t="s">
        <v>145</v>
      </c>
      <c r="AB654" s="8" t="s">
        <v>75</v>
      </c>
      <c r="AC654" s="11" t="s">
        <v>112</v>
      </c>
      <c r="AD654" s="9" t="s">
        <v>77</v>
      </c>
      <c r="AE654" s="56">
        <f t="shared" si="21"/>
        <v>301.05856969999996</v>
      </c>
      <c r="AF654" s="14">
        <v>301.05856969999996</v>
      </c>
      <c r="AG654" s="13"/>
    </row>
    <row r="655" spans="1:41" x14ac:dyDescent="0.2">
      <c r="A655" s="5" t="s">
        <v>67</v>
      </c>
      <c r="B655" s="25">
        <v>43389</v>
      </c>
      <c r="C655" s="26">
        <v>0.60416666666666696</v>
      </c>
      <c r="D655" s="5" t="s">
        <v>144</v>
      </c>
      <c r="E655" s="5"/>
      <c r="F655" s="32">
        <v>63</v>
      </c>
      <c r="G655" s="9">
        <v>2</v>
      </c>
      <c r="H655" s="6">
        <v>3.1746031746031744E-2</v>
      </c>
      <c r="I655" s="7">
        <v>6.83E-2</v>
      </c>
      <c r="J655" s="9">
        <v>314.15899999999999</v>
      </c>
      <c r="K655" s="9">
        <v>0.95619999999999994</v>
      </c>
      <c r="L655" s="9">
        <v>14</v>
      </c>
      <c r="M655" s="14">
        <v>164.27473331938924</v>
      </c>
      <c r="N655" s="9">
        <v>1037</v>
      </c>
      <c r="O655" s="12" t="s">
        <v>86</v>
      </c>
      <c r="P655" s="12" t="s">
        <v>82</v>
      </c>
      <c r="Q655" s="9" t="s">
        <v>87</v>
      </c>
      <c r="R655" s="9" t="s">
        <v>84</v>
      </c>
      <c r="S655" s="9"/>
      <c r="T655" s="18">
        <v>12</v>
      </c>
      <c r="U655" s="18">
        <v>12</v>
      </c>
      <c r="V655" s="9">
        <v>2.8</v>
      </c>
      <c r="Y655" s="9">
        <f t="shared" si="20"/>
        <v>1971.296799832671</v>
      </c>
      <c r="Z655" s="19" t="s">
        <v>73</v>
      </c>
      <c r="AA655" s="8" t="s">
        <v>145</v>
      </c>
      <c r="AB655" s="8" t="s">
        <v>75</v>
      </c>
      <c r="AC655" s="11" t="s">
        <v>112</v>
      </c>
      <c r="AD655" s="9" t="s">
        <v>85</v>
      </c>
      <c r="AE655" s="56">
        <f t="shared" si="21"/>
        <v>4.8490441650000005</v>
      </c>
      <c r="AF655" s="14">
        <v>4.8490441650000005</v>
      </c>
      <c r="AG655" s="13"/>
    </row>
    <row r="656" spans="1:41" x14ac:dyDescent="0.2">
      <c r="A656" s="5" t="s">
        <v>67</v>
      </c>
      <c r="B656" s="25">
        <v>43389</v>
      </c>
      <c r="C656" s="26">
        <v>0.60416666666666696</v>
      </c>
      <c r="D656" s="5" t="s">
        <v>144</v>
      </c>
      <c r="E656" s="5"/>
      <c r="F656" s="32">
        <v>63</v>
      </c>
      <c r="G656" s="9">
        <v>2</v>
      </c>
      <c r="H656" s="6">
        <v>3.1746031746031744E-2</v>
      </c>
      <c r="I656" s="7">
        <v>6.83E-2</v>
      </c>
      <c r="J656" s="9">
        <v>314.15899999999999</v>
      </c>
      <c r="K656" s="9">
        <v>0.95619999999999994</v>
      </c>
      <c r="L656" s="9">
        <v>14</v>
      </c>
      <c r="M656" s="14">
        <v>164.27473331938924</v>
      </c>
      <c r="N656" s="9">
        <v>1365</v>
      </c>
      <c r="O656" s="8" t="s">
        <v>121</v>
      </c>
      <c r="P656" s="12" t="s">
        <v>82</v>
      </c>
      <c r="Q656" s="9" t="s">
        <v>122</v>
      </c>
      <c r="R656" s="9" t="s">
        <v>123</v>
      </c>
      <c r="S656" s="9"/>
      <c r="T656" s="18">
        <v>1</v>
      </c>
      <c r="U656" s="18">
        <v>1</v>
      </c>
      <c r="V656" s="9">
        <v>11.1</v>
      </c>
      <c r="Y656" s="9">
        <f t="shared" si="20"/>
        <v>164.27473331938924</v>
      </c>
      <c r="Z656" s="19" t="s">
        <v>73</v>
      </c>
      <c r="AA656" s="8" t="s">
        <v>145</v>
      </c>
      <c r="AB656" s="8" t="s">
        <v>75</v>
      </c>
      <c r="AC656" s="11" t="s">
        <v>112</v>
      </c>
      <c r="AD656" s="9" t="s">
        <v>91</v>
      </c>
      <c r="AE656" s="56">
        <f t="shared" si="21"/>
        <v>596.74109351249979</v>
      </c>
      <c r="AF656" s="14">
        <v>596.74109351249979</v>
      </c>
      <c r="AG656" s="13"/>
    </row>
    <row r="657" spans="1:41" x14ac:dyDescent="0.2">
      <c r="A657" s="5" t="s">
        <v>67</v>
      </c>
      <c r="B657" s="25">
        <v>43389</v>
      </c>
      <c r="C657" s="26">
        <v>0.60416666666666696</v>
      </c>
      <c r="D657" s="5" t="s">
        <v>144</v>
      </c>
      <c r="E657" s="5"/>
      <c r="F657" s="32">
        <v>63</v>
      </c>
      <c r="G657" s="9">
        <v>2</v>
      </c>
      <c r="H657" s="6">
        <v>3.1746031746031744E-2</v>
      </c>
      <c r="I657" s="7">
        <v>6.83E-2</v>
      </c>
      <c r="J657" s="9">
        <v>314.15899999999999</v>
      </c>
      <c r="K657" s="9">
        <v>0.95619999999999994</v>
      </c>
      <c r="L657" s="9">
        <v>14</v>
      </c>
      <c r="M657" s="14">
        <v>164.27473331938924</v>
      </c>
      <c r="N657" s="9">
        <v>1419</v>
      </c>
      <c r="O657" s="12" t="s">
        <v>94</v>
      </c>
      <c r="P657" s="12" t="s">
        <v>82</v>
      </c>
      <c r="Q657" s="9" t="s">
        <v>95</v>
      </c>
      <c r="R657" s="9" t="s">
        <v>96</v>
      </c>
      <c r="S657" s="9"/>
      <c r="T657" s="18">
        <v>379</v>
      </c>
      <c r="U657" s="18">
        <v>762</v>
      </c>
      <c r="V657" s="9">
        <v>0.8</v>
      </c>
      <c r="W657" s="9">
        <v>0.8</v>
      </c>
      <c r="X657" s="9">
        <v>0.8</v>
      </c>
      <c r="Y657" s="9">
        <f t="shared" si="20"/>
        <v>62260.123928048532</v>
      </c>
      <c r="Z657" s="19" t="s">
        <v>97</v>
      </c>
      <c r="AA657" s="8" t="s">
        <v>145</v>
      </c>
      <c r="AB657" s="8" t="s">
        <v>75</v>
      </c>
      <c r="AC657" s="11" t="s">
        <v>112</v>
      </c>
      <c r="AD657" s="9" t="s">
        <v>85</v>
      </c>
      <c r="AE657" s="56">
        <f t="shared" si="21"/>
        <v>0.17999999999999997</v>
      </c>
      <c r="AF657" s="14">
        <v>0.18</v>
      </c>
      <c r="AG657" s="14">
        <v>0.18</v>
      </c>
      <c r="AH657" s="14">
        <v>0.18</v>
      </c>
      <c r="AI657" s="14">
        <v>0.18</v>
      </c>
      <c r="AJ657" s="14">
        <v>0.18</v>
      </c>
      <c r="AK657" s="14">
        <v>0.18</v>
      </c>
      <c r="AL657" s="14">
        <v>0.18</v>
      </c>
      <c r="AM657" s="14">
        <v>0.18</v>
      </c>
      <c r="AN657" s="14">
        <v>0.18</v>
      </c>
      <c r="AO657" s="14">
        <v>0.18</v>
      </c>
    </row>
    <row r="658" spans="1:41" x14ac:dyDescent="0.2">
      <c r="A658" s="5" t="s">
        <v>67</v>
      </c>
      <c r="B658" s="25">
        <v>43389</v>
      </c>
      <c r="C658" s="26">
        <v>0.60416666666666696</v>
      </c>
      <c r="D658" s="5" t="s">
        <v>144</v>
      </c>
      <c r="E658" s="5"/>
      <c r="F658" s="32">
        <v>63</v>
      </c>
      <c r="G658" s="9">
        <v>2</v>
      </c>
      <c r="H658" s="6">
        <v>3.1746031746031744E-2</v>
      </c>
      <c r="I658" s="7">
        <v>6.83E-2</v>
      </c>
      <c r="J658" s="9">
        <v>314.15899999999999</v>
      </c>
      <c r="K658" s="9">
        <v>0.95619999999999994</v>
      </c>
      <c r="L658" s="9">
        <v>14</v>
      </c>
      <c r="M658" s="14">
        <v>164.27473331938924</v>
      </c>
      <c r="N658" s="9">
        <v>1629</v>
      </c>
      <c r="O658" s="12" t="s">
        <v>148</v>
      </c>
      <c r="P658" s="12" t="s">
        <v>82</v>
      </c>
      <c r="Q658" s="9" t="s">
        <v>149</v>
      </c>
      <c r="R658" s="9" t="s">
        <v>84</v>
      </c>
      <c r="S658" s="9"/>
      <c r="T658" s="18">
        <v>1</v>
      </c>
      <c r="U658" s="18">
        <v>1</v>
      </c>
      <c r="V658" s="9">
        <v>22.2</v>
      </c>
      <c r="Y658" s="9">
        <f t="shared" si="20"/>
        <v>164.27473331938924</v>
      </c>
      <c r="Z658" s="19" t="s">
        <v>73</v>
      </c>
      <c r="AA658" s="8" t="s">
        <v>145</v>
      </c>
      <c r="AB658" s="8" t="s">
        <v>75</v>
      </c>
      <c r="AC658" s="11" t="s">
        <v>112</v>
      </c>
      <c r="AD658" s="9" t="s">
        <v>150</v>
      </c>
      <c r="AE658" s="56">
        <f t="shared" si="21"/>
        <v>4386.8534441999991</v>
      </c>
      <c r="AF658" s="14">
        <v>4386.8534441999991</v>
      </c>
      <c r="AG658" s="13"/>
    </row>
    <row r="659" spans="1:41" x14ac:dyDescent="0.2">
      <c r="A659" s="5" t="s">
        <v>67</v>
      </c>
      <c r="B659" s="25">
        <v>43389</v>
      </c>
      <c r="C659" s="26">
        <v>0.60416666666666696</v>
      </c>
      <c r="D659" s="5" t="s">
        <v>144</v>
      </c>
      <c r="E659" s="5"/>
      <c r="F659" s="32">
        <v>63</v>
      </c>
      <c r="G659" s="9">
        <v>2</v>
      </c>
      <c r="H659" s="6">
        <v>3.1746031746031744E-2</v>
      </c>
      <c r="I659" s="7">
        <v>6.83E-2</v>
      </c>
      <c r="J659" s="9">
        <v>314.15899999999999</v>
      </c>
      <c r="K659" s="9">
        <v>0.95619999999999994</v>
      </c>
      <c r="L659" s="9">
        <v>14</v>
      </c>
      <c r="M659" s="14">
        <v>164.27473331938924</v>
      </c>
      <c r="N659" s="9">
        <v>1824</v>
      </c>
      <c r="O659" s="12" t="s">
        <v>151</v>
      </c>
      <c r="P659" s="12" t="s">
        <v>152</v>
      </c>
      <c r="Q659" s="9" t="s">
        <v>153</v>
      </c>
      <c r="R659" s="9" t="s">
        <v>84</v>
      </c>
      <c r="S659" s="9"/>
      <c r="T659" s="18">
        <v>1</v>
      </c>
      <c r="U659" s="18">
        <v>1</v>
      </c>
      <c r="V659" s="9">
        <v>18.5</v>
      </c>
      <c r="Y659" s="9">
        <f t="shared" si="20"/>
        <v>164.27473331938924</v>
      </c>
      <c r="Z659" s="19" t="s">
        <v>73</v>
      </c>
      <c r="AA659" s="8" t="s">
        <v>145</v>
      </c>
      <c r="AB659" s="8" t="s">
        <v>75</v>
      </c>
      <c r="AC659" s="11" t="s">
        <v>112</v>
      </c>
      <c r="AD659" s="9" t="s">
        <v>120</v>
      </c>
      <c r="AE659" s="56">
        <f t="shared" si="21"/>
        <v>3315.228297291666</v>
      </c>
      <c r="AF659" s="14">
        <v>3315.228297291666</v>
      </c>
      <c r="AG659" s="13"/>
    </row>
    <row r="660" spans="1:41" x14ac:dyDescent="0.2">
      <c r="A660" s="5" t="s">
        <v>67</v>
      </c>
      <c r="B660" s="25">
        <v>43389</v>
      </c>
      <c r="C660" s="26">
        <v>0.61458333333333304</v>
      </c>
      <c r="D660" s="5" t="s">
        <v>113</v>
      </c>
      <c r="E660" s="5"/>
      <c r="F660" s="32">
        <v>61</v>
      </c>
      <c r="G660" s="9">
        <v>2</v>
      </c>
      <c r="H660" s="6">
        <v>3.2786885245901641E-2</v>
      </c>
      <c r="I660" s="7">
        <v>6.83E-2</v>
      </c>
      <c r="J660" s="9">
        <v>314.15899999999999</v>
      </c>
      <c r="K660" s="9">
        <v>0.68300000000000005</v>
      </c>
      <c r="L660" s="9">
        <v>10</v>
      </c>
      <c r="M660" s="14">
        <v>229.98462664714492</v>
      </c>
      <c r="N660" s="9">
        <v>145</v>
      </c>
      <c r="O660" s="12" t="s">
        <v>69</v>
      </c>
      <c r="P660" s="8" t="s">
        <v>70</v>
      </c>
      <c r="Q660" s="9" t="s">
        <v>71</v>
      </c>
      <c r="R660" s="9" t="s">
        <v>72</v>
      </c>
      <c r="S660" s="9"/>
      <c r="T660" s="18">
        <v>1</v>
      </c>
      <c r="U660" s="18">
        <v>1</v>
      </c>
      <c r="V660" s="9">
        <v>16.7</v>
      </c>
      <c r="Y660" s="9">
        <f t="shared" si="20"/>
        <v>229.98462664714492</v>
      </c>
      <c r="Z660" s="19" t="s">
        <v>73</v>
      </c>
      <c r="AA660" s="8" t="s">
        <v>114</v>
      </c>
      <c r="AB660" s="8" t="s">
        <v>75</v>
      </c>
      <c r="AC660" s="11" t="s">
        <v>115</v>
      </c>
      <c r="AD660" s="9" t="s">
        <v>77</v>
      </c>
      <c r="AE660" s="56">
        <f t="shared" si="21"/>
        <v>538.67979792749998</v>
      </c>
      <c r="AF660" s="14">
        <v>538.67979792749998</v>
      </c>
      <c r="AG660" s="13"/>
    </row>
    <row r="661" spans="1:41" x14ac:dyDescent="0.2">
      <c r="A661" s="5" t="s">
        <v>67</v>
      </c>
      <c r="B661" s="25">
        <v>43389</v>
      </c>
      <c r="C661" s="26">
        <v>0.61458333333333304</v>
      </c>
      <c r="D661" s="5" t="s">
        <v>113</v>
      </c>
      <c r="E661" s="5"/>
      <c r="F661" s="32">
        <v>61</v>
      </c>
      <c r="G661" s="9">
        <v>2</v>
      </c>
      <c r="H661" s="6">
        <v>3.2786885245901641E-2</v>
      </c>
      <c r="I661" s="7">
        <v>6.83E-2</v>
      </c>
      <c r="J661" s="9">
        <v>314.15899999999999</v>
      </c>
      <c r="K661" s="9">
        <v>0.68300000000000005</v>
      </c>
      <c r="L661" s="9">
        <v>10</v>
      </c>
      <c r="M661" s="14">
        <v>229.98462664714492</v>
      </c>
      <c r="N661" s="9">
        <v>1037</v>
      </c>
      <c r="O661" s="12" t="s">
        <v>86</v>
      </c>
      <c r="P661" s="12" t="s">
        <v>82</v>
      </c>
      <c r="Q661" s="9" t="s">
        <v>87</v>
      </c>
      <c r="R661" s="9" t="s">
        <v>84</v>
      </c>
      <c r="S661" s="9"/>
      <c r="T661" s="18">
        <v>9</v>
      </c>
      <c r="U661" s="18">
        <v>9</v>
      </c>
      <c r="V661" s="9">
        <v>2.8</v>
      </c>
      <c r="Y661" s="9">
        <f t="shared" si="20"/>
        <v>2069.8616398243043</v>
      </c>
      <c r="Z661" s="19" t="s">
        <v>73</v>
      </c>
      <c r="AA661" s="8" t="s">
        <v>114</v>
      </c>
      <c r="AB661" s="8" t="s">
        <v>75</v>
      </c>
      <c r="AC661" s="11" t="s">
        <v>115</v>
      </c>
      <c r="AD661" s="9" t="s">
        <v>85</v>
      </c>
      <c r="AE661" s="56">
        <f t="shared" si="21"/>
        <v>7.2382233599999992</v>
      </c>
      <c r="AF661" s="14">
        <v>7.2382233599999992</v>
      </c>
      <c r="AG661" s="13"/>
    </row>
    <row r="662" spans="1:41" x14ac:dyDescent="0.2">
      <c r="A662" s="5" t="s">
        <v>67</v>
      </c>
      <c r="B662" s="25">
        <v>43389</v>
      </c>
      <c r="C662" s="26">
        <v>0.61458333333333304</v>
      </c>
      <c r="D662" s="5" t="s">
        <v>113</v>
      </c>
      <c r="E662" s="5"/>
      <c r="F662" s="32">
        <v>61</v>
      </c>
      <c r="G662" s="9">
        <v>2</v>
      </c>
      <c r="H662" s="6">
        <v>3.2786885245901641E-2</v>
      </c>
      <c r="I662" s="7">
        <v>6.83E-2</v>
      </c>
      <c r="J662" s="9">
        <v>314.15899999999999</v>
      </c>
      <c r="K662" s="9">
        <v>0.68300000000000005</v>
      </c>
      <c r="L662" s="9">
        <v>10</v>
      </c>
      <c r="M662" s="14">
        <v>229.98462664714492</v>
      </c>
      <c r="N662" s="9">
        <v>1364</v>
      </c>
      <c r="O662" s="12" t="s">
        <v>88</v>
      </c>
      <c r="P662" s="12" t="s">
        <v>82</v>
      </c>
      <c r="Q662" s="9" t="s">
        <v>89</v>
      </c>
      <c r="R662" s="9" t="s">
        <v>90</v>
      </c>
      <c r="S662" s="9"/>
      <c r="T662" s="18">
        <v>1</v>
      </c>
      <c r="U662" s="18">
        <v>1</v>
      </c>
      <c r="V662" s="9">
        <v>9.3000000000000007</v>
      </c>
      <c r="Y662" s="9">
        <f t="shared" si="20"/>
        <v>229.98462664714492</v>
      </c>
      <c r="Z662" s="19" t="s">
        <v>73</v>
      </c>
      <c r="AA662" s="8" t="s">
        <v>114</v>
      </c>
      <c r="AB662" s="8" t="s">
        <v>75</v>
      </c>
      <c r="AC662" s="11" t="s">
        <v>115</v>
      </c>
      <c r="AD662" s="9" t="s">
        <v>91</v>
      </c>
      <c r="AE662" s="56">
        <f t="shared" si="21"/>
        <v>337.38084788249995</v>
      </c>
      <c r="AF662" s="14">
        <v>337.38084788249995</v>
      </c>
      <c r="AG662" s="13"/>
    </row>
    <row r="663" spans="1:41" x14ac:dyDescent="0.2">
      <c r="A663" s="5" t="s">
        <v>67</v>
      </c>
      <c r="B663" s="25">
        <v>43389</v>
      </c>
      <c r="C663" s="26">
        <v>0.61458333333333304</v>
      </c>
      <c r="D663" s="5" t="s">
        <v>113</v>
      </c>
      <c r="E663" s="5"/>
      <c r="F663" s="32">
        <v>61</v>
      </c>
      <c r="G663" s="9">
        <v>2</v>
      </c>
      <c r="H663" s="6">
        <v>3.2786885245901641E-2</v>
      </c>
      <c r="I663" s="7">
        <v>6.83E-2</v>
      </c>
      <c r="J663" s="9">
        <v>314.15899999999999</v>
      </c>
      <c r="K663" s="9">
        <v>0.68300000000000005</v>
      </c>
      <c r="L663" s="9">
        <v>10</v>
      </c>
      <c r="M663" s="14">
        <v>229.98462664714492</v>
      </c>
      <c r="N663" s="9">
        <v>1733</v>
      </c>
      <c r="O663" s="12" t="s">
        <v>92</v>
      </c>
      <c r="P663" s="12" t="s">
        <v>82</v>
      </c>
      <c r="Q663" s="9" t="s">
        <v>89</v>
      </c>
      <c r="R663" s="9" t="s">
        <v>93</v>
      </c>
      <c r="S663" s="9"/>
      <c r="T663" s="18">
        <v>1</v>
      </c>
      <c r="U663" s="18">
        <v>1</v>
      </c>
      <c r="V663" s="9">
        <v>7.4</v>
      </c>
      <c r="Y663" s="9">
        <f t="shared" si="20"/>
        <v>229.98462664714492</v>
      </c>
      <c r="Z663" s="19" t="s">
        <v>73</v>
      </c>
      <c r="AA663" s="8" t="s">
        <v>114</v>
      </c>
      <c r="AB663" s="8" t="s">
        <v>75</v>
      </c>
      <c r="AC663" s="11" t="s">
        <v>115</v>
      </c>
      <c r="AD663" s="9" t="s">
        <v>91</v>
      </c>
      <c r="AE663" s="56">
        <f t="shared" si="21"/>
        <v>172.0334684</v>
      </c>
      <c r="AF663" s="14">
        <v>172.0334684</v>
      </c>
      <c r="AG663" s="13"/>
    </row>
    <row r="664" spans="1:41" x14ac:dyDescent="0.2">
      <c r="A664" s="5" t="s">
        <v>67</v>
      </c>
      <c r="B664" s="25">
        <v>43389</v>
      </c>
      <c r="C664" s="26">
        <v>0.61458333333333304</v>
      </c>
      <c r="D664" s="5" t="s">
        <v>113</v>
      </c>
      <c r="E664" s="5"/>
      <c r="F664" s="32">
        <v>61</v>
      </c>
      <c r="G664" s="9">
        <v>2</v>
      </c>
      <c r="H664" s="6">
        <v>3.2786885245901641E-2</v>
      </c>
      <c r="I664" s="7">
        <v>6.83E-2</v>
      </c>
      <c r="J664" s="9">
        <v>314.15899999999999</v>
      </c>
      <c r="K664" s="9">
        <v>0.68300000000000005</v>
      </c>
      <c r="L664" s="9">
        <v>10</v>
      </c>
      <c r="M664" s="14">
        <v>229.98462664714492</v>
      </c>
      <c r="N664" s="9">
        <v>1419</v>
      </c>
      <c r="O664" s="12" t="s">
        <v>94</v>
      </c>
      <c r="P664" s="12" t="s">
        <v>82</v>
      </c>
      <c r="Q664" s="9" t="s">
        <v>95</v>
      </c>
      <c r="R664" s="9" t="s">
        <v>96</v>
      </c>
      <c r="S664" s="9"/>
      <c r="T664" s="18">
        <v>414</v>
      </c>
      <c r="U664" s="18">
        <v>831</v>
      </c>
      <c r="V664" s="9">
        <v>0.8</v>
      </c>
      <c r="W664" s="9">
        <v>0.8</v>
      </c>
      <c r="X664" s="9">
        <v>0.8</v>
      </c>
      <c r="Y664" s="9">
        <f t="shared" si="20"/>
        <v>95213.635431917995</v>
      </c>
      <c r="Z664" s="19" t="s">
        <v>97</v>
      </c>
      <c r="AA664" s="8" t="s">
        <v>114</v>
      </c>
      <c r="AB664" s="8" t="s">
        <v>75</v>
      </c>
      <c r="AC664" s="11" t="s">
        <v>115</v>
      </c>
      <c r="AD664" s="9" t="s">
        <v>85</v>
      </c>
      <c r="AE664" s="56">
        <f t="shared" si="21"/>
        <v>0.17999999999999997</v>
      </c>
      <c r="AF664" s="14">
        <v>0.18</v>
      </c>
      <c r="AG664" s="14">
        <v>0.18</v>
      </c>
      <c r="AH664" s="14">
        <v>0.18</v>
      </c>
      <c r="AI664" s="14">
        <v>0.18</v>
      </c>
      <c r="AJ664" s="14">
        <v>0.18</v>
      </c>
      <c r="AK664" s="14">
        <v>0.18</v>
      </c>
      <c r="AL664" s="14">
        <v>0.18</v>
      </c>
      <c r="AM664" s="14">
        <v>0.18</v>
      </c>
      <c r="AN664" s="14">
        <v>0.18</v>
      </c>
      <c r="AO664" s="14">
        <v>0.18</v>
      </c>
    </row>
    <row r="665" spans="1:41" x14ac:dyDescent="0.2">
      <c r="A665" s="5" t="s">
        <v>67</v>
      </c>
      <c r="B665" s="25">
        <v>43389</v>
      </c>
      <c r="C665" s="26">
        <v>0.64236111111111105</v>
      </c>
      <c r="D665" s="5" t="s">
        <v>108</v>
      </c>
      <c r="E665" s="5">
        <v>3</v>
      </c>
      <c r="F665" s="32">
        <v>64</v>
      </c>
      <c r="G665" s="9">
        <v>2</v>
      </c>
      <c r="H665" s="6">
        <v>3.125E-2</v>
      </c>
      <c r="I665" s="7">
        <v>6.83E-2</v>
      </c>
      <c r="J665" s="9">
        <v>314.15899999999999</v>
      </c>
      <c r="K665" s="9">
        <v>1.0928</v>
      </c>
      <c r="L665" s="9">
        <v>16</v>
      </c>
      <c r="M665" s="14">
        <v>143.74039165446558</v>
      </c>
      <c r="N665" s="9">
        <v>46</v>
      </c>
      <c r="O665" s="12" t="s">
        <v>109</v>
      </c>
      <c r="P665" s="8" t="s">
        <v>70</v>
      </c>
      <c r="Q665" s="9" t="s">
        <v>110</v>
      </c>
      <c r="R665" s="9" t="s">
        <v>84</v>
      </c>
      <c r="S665" s="9"/>
      <c r="T665" s="18">
        <v>1</v>
      </c>
      <c r="U665" s="18">
        <v>1</v>
      </c>
      <c r="V665" s="9">
        <v>11.1</v>
      </c>
      <c r="Y665" s="9">
        <f t="shared" si="20"/>
        <v>143.74039165446558</v>
      </c>
      <c r="Z665" s="19" t="s">
        <v>73</v>
      </c>
      <c r="AA665" s="8" t="s">
        <v>111</v>
      </c>
      <c r="AB665" s="8" t="s">
        <v>75</v>
      </c>
      <c r="AC665" s="11" t="s">
        <v>112</v>
      </c>
      <c r="AD665" s="9" t="s">
        <v>77</v>
      </c>
      <c r="AE665" s="56">
        <f t="shared" si="21"/>
        <v>90.317570909999986</v>
      </c>
      <c r="AF665" s="14">
        <v>90.317570909999986</v>
      </c>
      <c r="AG665" s="13"/>
    </row>
    <row r="666" spans="1:41" x14ac:dyDescent="0.2">
      <c r="A666" s="5" t="s">
        <v>67</v>
      </c>
      <c r="B666" s="25">
        <v>43389</v>
      </c>
      <c r="C666" s="26">
        <v>0.64236111111111105</v>
      </c>
      <c r="D666" s="5" t="s">
        <v>108</v>
      </c>
      <c r="E666" s="5">
        <v>3</v>
      </c>
      <c r="F666" s="32">
        <v>64</v>
      </c>
      <c r="G666" s="9">
        <v>2</v>
      </c>
      <c r="H666" s="6">
        <v>3.125E-2</v>
      </c>
      <c r="I666" s="7">
        <v>6.83E-2</v>
      </c>
      <c r="J666" s="9">
        <v>314.15899999999999</v>
      </c>
      <c r="K666" s="9">
        <v>1.0928</v>
      </c>
      <c r="L666" s="9">
        <v>16</v>
      </c>
      <c r="M666" s="14">
        <v>143.74039165446558</v>
      </c>
      <c r="N666" s="9">
        <v>145</v>
      </c>
      <c r="O666" s="12" t="s">
        <v>69</v>
      </c>
      <c r="P666" s="8" t="s">
        <v>70</v>
      </c>
      <c r="Q666" s="9" t="s">
        <v>71</v>
      </c>
      <c r="R666" s="9" t="s">
        <v>72</v>
      </c>
      <c r="S666" s="9"/>
      <c r="T666" s="18">
        <v>1</v>
      </c>
      <c r="U666" s="18">
        <v>1</v>
      </c>
      <c r="V666" s="9">
        <v>10.199999999999999</v>
      </c>
      <c r="Y666" s="9">
        <f t="shared" si="20"/>
        <v>143.74039165446558</v>
      </c>
      <c r="Z666" s="19" t="s">
        <v>73</v>
      </c>
      <c r="AA666" s="8" t="s">
        <v>111</v>
      </c>
      <c r="AB666" s="8" t="s">
        <v>75</v>
      </c>
      <c r="AC666" s="11" t="s">
        <v>112</v>
      </c>
      <c r="AD666" s="9" t="s">
        <v>77</v>
      </c>
      <c r="AE666" s="56">
        <f t="shared" si="21"/>
        <v>98.936523074999968</v>
      </c>
      <c r="AF666" s="14">
        <v>98.936523074999968</v>
      </c>
      <c r="AG666" s="13"/>
    </row>
    <row r="667" spans="1:41" x14ac:dyDescent="0.2">
      <c r="A667" s="5" t="s">
        <v>67</v>
      </c>
      <c r="B667" s="25">
        <v>43389</v>
      </c>
      <c r="C667" s="26">
        <v>0.64236111111111105</v>
      </c>
      <c r="D667" s="5" t="s">
        <v>108</v>
      </c>
      <c r="E667" s="5">
        <v>3</v>
      </c>
      <c r="F667" s="32">
        <v>64</v>
      </c>
      <c r="G667" s="9">
        <v>2</v>
      </c>
      <c r="H667" s="6">
        <v>3.125E-2</v>
      </c>
      <c r="I667" s="7">
        <v>6.83E-2</v>
      </c>
      <c r="J667" s="9">
        <v>314.15899999999999</v>
      </c>
      <c r="K667" s="9">
        <v>1.0928</v>
      </c>
      <c r="L667" s="9">
        <v>16</v>
      </c>
      <c r="M667" s="14">
        <v>143.74039165446558</v>
      </c>
      <c r="N667" s="9">
        <v>1037</v>
      </c>
      <c r="O667" s="12" t="s">
        <v>86</v>
      </c>
      <c r="P667" s="12" t="s">
        <v>82</v>
      </c>
      <c r="Q667" s="9" t="s">
        <v>87</v>
      </c>
      <c r="R667" s="9" t="s">
        <v>84</v>
      </c>
      <c r="S667" s="9"/>
      <c r="T667" s="18">
        <v>33</v>
      </c>
      <c r="U667" s="18">
        <v>33</v>
      </c>
      <c r="V667" s="9">
        <v>2.8</v>
      </c>
      <c r="Y667" s="9">
        <f t="shared" si="20"/>
        <v>4743.432924597364</v>
      </c>
      <c r="Z667" s="19" t="s">
        <v>73</v>
      </c>
      <c r="AA667" s="8" t="s">
        <v>111</v>
      </c>
      <c r="AB667" s="8" t="s">
        <v>75</v>
      </c>
      <c r="AC667" s="11" t="s">
        <v>112</v>
      </c>
      <c r="AD667" s="9" t="s">
        <v>85</v>
      </c>
      <c r="AE667" s="56">
        <f t="shared" si="21"/>
        <v>6.3706209216666645</v>
      </c>
      <c r="AF667" s="14">
        <v>6.3706209216666645</v>
      </c>
      <c r="AG667" s="13"/>
    </row>
    <row r="668" spans="1:41" x14ac:dyDescent="0.2">
      <c r="A668" s="5" t="s">
        <v>67</v>
      </c>
      <c r="B668" s="25">
        <v>43389</v>
      </c>
      <c r="C668" s="26">
        <v>0.64236111111111105</v>
      </c>
      <c r="D668" s="5" t="s">
        <v>108</v>
      </c>
      <c r="E668" s="5">
        <v>3</v>
      </c>
      <c r="F668" s="32">
        <v>64</v>
      </c>
      <c r="G668" s="9">
        <v>2</v>
      </c>
      <c r="H668" s="6">
        <v>3.125E-2</v>
      </c>
      <c r="I668" s="7">
        <v>6.83E-2</v>
      </c>
      <c r="J668" s="9">
        <v>314.15899999999999</v>
      </c>
      <c r="K668" s="9">
        <v>1.0928</v>
      </c>
      <c r="L668" s="9">
        <v>16</v>
      </c>
      <c r="M668" s="14">
        <v>143.74039165446558</v>
      </c>
      <c r="N668" s="9">
        <v>1364</v>
      </c>
      <c r="O668" s="12" t="s">
        <v>88</v>
      </c>
      <c r="P668" s="12" t="s">
        <v>82</v>
      </c>
      <c r="Q668" s="9" t="s">
        <v>89</v>
      </c>
      <c r="R668" s="9" t="s">
        <v>90</v>
      </c>
      <c r="S668" s="9"/>
      <c r="T668" s="18">
        <v>1</v>
      </c>
      <c r="U668" s="18">
        <v>1</v>
      </c>
      <c r="V668" s="9">
        <v>9.3000000000000007</v>
      </c>
      <c r="Y668" s="9">
        <f t="shared" si="20"/>
        <v>143.74039165446558</v>
      </c>
      <c r="Z668" s="19" t="s">
        <v>73</v>
      </c>
      <c r="AA668" s="8" t="s">
        <v>111</v>
      </c>
      <c r="AB668" s="8" t="s">
        <v>75</v>
      </c>
      <c r="AC668" s="11" t="s">
        <v>112</v>
      </c>
      <c r="AD668" s="9" t="s">
        <v>91</v>
      </c>
      <c r="AE668" s="56">
        <f t="shared" si="21"/>
        <v>337.38084788249995</v>
      </c>
      <c r="AF668" s="14">
        <v>337.38084788249995</v>
      </c>
      <c r="AG668" s="13"/>
    </row>
    <row r="669" spans="1:41" x14ac:dyDescent="0.2">
      <c r="A669" s="5" t="s">
        <v>67</v>
      </c>
      <c r="B669" s="25">
        <v>43389</v>
      </c>
      <c r="C669" s="26">
        <v>0.64236111111111105</v>
      </c>
      <c r="D669" s="5" t="s">
        <v>108</v>
      </c>
      <c r="E669" s="5">
        <v>3</v>
      </c>
      <c r="F669" s="32">
        <v>64</v>
      </c>
      <c r="G669" s="9">
        <v>2</v>
      </c>
      <c r="H669" s="6">
        <v>3.125E-2</v>
      </c>
      <c r="I669" s="7">
        <v>6.83E-2</v>
      </c>
      <c r="J669" s="9">
        <v>314.15899999999999</v>
      </c>
      <c r="K669" s="9">
        <v>1.0928</v>
      </c>
      <c r="L669" s="9">
        <v>16</v>
      </c>
      <c r="M669" s="14">
        <v>143.74039165446558</v>
      </c>
      <c r="N669" s="9">
        <v>1419</v>
      </c>
      <c r="O669" s="12" t="s">
        <v>94</v>
      </c>
      <c r="P669" s="12" t="s">
        <v>82</v>
      </c>
      <c r="Q669" s="9" t="s">
        <v>95</v>
      </c>
      <c r="R669" s="9" t="s">
        <v>96</v>
      </c>
      <c r="S669" s="9"/>
      <c r="T669" s="18">
        <v>364</v>
      </c>
      <c r="U669" s="18">
        <v>727</v>
      </c>
      <c r="V669" s="9">
        <v>0.8</v>
      </c>
      <c r="W669" s="9">
        <v>0.8</v>
      </c>
      <c r="X669" s="9">
        <v>0.8</v>
      </c>
      <c r="Y669" s="9">
        <f t="shared" si="20"/>
        <v>52321.502562225476</v>
      </c>
      <c r="Z669" s="19" t="s">
        <v>97</v>
      </c>
      <c r="AA669" s="8" t="s">
        <v>111</v>
      </c>
      <c r="AB669" s="8" t="s">
        <v>75</v>
      </c>
      <c r="AC669" s="11" t="s">
        <v>112</v>
      </c>
      <c r="AD669" s="9" t="s">
        <v>85</v>
      </c>
      <c r="AE669" s="56">
        <f t="shared" si="21"/>
        <v>0.17999999999999997</v>
      </c>
      <c r="AF669" s="14">
        <v>0.18</v>
      </c>
      <c r="AG669" s="14">
        <v>0.18</v>
      </c>
      <c r="AH669" s="14">
        <v>0.18</v>
      </c>
      <c r="AI669" s="14">
        <v>0.18</v>
      </c>
      <c r="AJ669" s="14">
        <v>0.18</v>
      </c>
      <c r="AK669" s="14">
        <v>0.18</v>
      </c>
      <c r="AL669" s="14">
        <v>0.18</v>
      </c>
      <c r="AM669" s="14">
        <v>0.18</v>
      </c>
      <c r="AN669" s="14">
        <v>0.18</v>
      </c>
      <c r="AO669" s="14">
        <v>0.18</v>
      </c>
    </row>
    <row r="670" spans="1:41" x14ac:dyDescent="0.2">
      <c r="A670" s="69" t="s">
        <v>67</v>
      </c>
      <c r="B670" s="74">
        <v>43390</v>
      </c>
      <c r="C670" s="75">
        <v>0.51666666666666705</v>
      </c>
      <c r="D670" s="69" t="s">
        <v>226</v>
      </c>
      <c r="E670" s="69">
        <v>3</v>
      </c>
      <c r="F670" s="76">
        <v>60.5</v>
      </c>
      <c r="G670" s="69">
        <v>2</v>
      </c>
      <c r="H670" s="77">
        <v>3.3057851239669422E-2</v>
      </c>
      <c r="I670" s="78">
        <v>6.9746499000000003E-2</v>
      </c>
      <c r="J670" s="69">
        <v>314.15899999999999</v>
      </c>
      <c r="K670" s="69">
        <v>0.41847899399999999</v>
      </c>
      <c r="L670" s="69">
        <v>6</v>
      </c>
      <c r="M670" s="79">
        <v>375.35814760632883</v>
      </c>
      <c r="N670" s="69">
        <v>190</v>
      </c>
      <c r="O670" s="80" t="s">
        <v>296</v>
      </c>
      <c r="P670" s="81" t="s">
        <v>70</v>
      </c>
      <c r="Q670" s="69" t="s">
        <v>103</v>
      </c>
      <c r="R670" s="69" t="s">
        <v>84</v>
      </c>
      <c r="S670" s="69"/>
      <c r="T670" s="60">
        <v>1</v>
      </c>
      <c r="U670" s="60">
        <v>1</v>
      </c>
      <c r="V670" s="69">
        <v>7.4</v>
      </c>
      <c r="W670" s="69"/>
      <c r="X670" s="69"/>
      <c r="Y670" s="9">
        <f t="shared" si="20"/>
        <v>375.35814760632883</v>
      </c>
      <c r="Z670" s="60" t="s">
        <v>73</v>
      </c>
      <c r="AA670" s="58" t="s">
        <v>419</v>
      </c>
      <c r="AB670" s="81" t="s">
        <v>386</v>
      </c>
      <c r="AC670" s="82" t="s">
        <v>112</v>
      </c>
      <c r="AD670" s="69" t="s">
        <v>104</v>
      </c>
      <c r="AE670" s="56">
        <f t="shared" si="21"/>
        <v>197.83848866</v>
      </c>
      <c r="AF670" s="79">
        <v>197.83848866</v>
      </c>
      <c r="AG670" s="83"/>
      <c r="AH670" s="84"/>
      <c r="AI670" s="82"/>
      <c r="AJ670" s="81"/>
      <c r="AK670" s="81"/>
      <c r="AL670" s="81"/>
      <c r="AM670" s="81"/>
      <c r="AN670" s="81"/>
      <c r="AO670" s="81"/>
    </row>
    <row r="671" spans="1:41" x14ac:dyDescent="0.2">
      <c r="A671" s="69" t="s">
        <v>67</v>
      </c>
      <c r="B671" s="74">
        <v>43390</v>
      </c>
      <c r="C671" s="75">
        <v>0.51666666666666705</v>
      </c>
      <c r="D671" s="69" t="s">
        <v>226</v>
      </c>
      <c r="E671" s="69">
        <v>3</v>
      </c>
      <c r="F671" s="76">
        <v>60.5</v>
      </c>
      <c r="G671" s="69">
        <v>2</v>
      </c>
      <c r="H671" s="77">
        <v>3.3057851239669422E-2</v>
      </c>
      <c r="I671" s="78">
        <v>6.9746499000000003E-2</v>
      </c>
      <c r="J671" s="69">
        <v>314.15899999999999</v>
      </c>
      <c r="K671" s="69">
        <v>0.41847899399999999</v>
      </c>
      <c r="L671" s="69">
        <v>6</v>
      </c>
      <c r="M671" s="79">
        <v>375.35814760632883</v>
      </c>
      <c r="N671" s="69">
        <v>631</v>
      </c>
      <c r="O671" s="80" t="s">
        <v>393</v>
      </c>
      <c r="P671" s="81" t="s">
        <v>70</v>
      </c>
      <c r="Q671" s="69" t="s">
        <v>147</v>
      </c>
      <c r="R671" s="69" t="s">
        <v>84</v>
      </c>
      <c r="S671" s="69"/>
      <c r="T671" s="60">
        <v>1</v>
      </c>
      <c r="U671" s="60">
        <v>1</v>
      </c>
      <c r="V671" s="69">
        <v>14.8</v>
      </c>
      <c r="W671" s="69"/>
      <c r="X671" s="69"/>
      <c r="Y671" s="9">
        <f t="shared" si="20"/>
        <v>375.35814760632883</v>
      </c>
      <c r="Z671" s="60" t="s">
        <v>73</v>
      </c>
      <c r="AA671" s="58" t="s">
        <v>419</v>
      </c>
      <c r="AB671" s="81" t="s">
        <v>386</v>
      </c>
      <c r="AC671" s="82" t="s">
        <v>420</v>
      </c>
      <c r="AD671" s="69" t="s">
        <v>77</v>
      </c>
      <c r="AE671" s="56">
        <f t="shared" si="21"/>
        <v>481.69371151999997</v>
      </c>
      <c r="AF671" s="79">
        <v>481.69371151999997</v>
      </c>
      <c r="AG671" s="83"/>
      <c r="AH671" s="84"/>
      <c r="AI671" s="82"/>
      <c r="AJ671" s="81"/>
      <c r="AK671" s="81"/>
      <c r="AL671" s="81"/>
      <c r="AM671" s="81"/>
      <c r="AN671" s="81"/>
      <c r="AO671" s="81"/>
    </row>
    <row r="672" spans="1:41" x14ac:dyDescent="0.2">
      <c r="A672" s="69" t="s">
        <v>67</v>
      </c>
      <c r="B672" s="74">
        <v>43390</v>
      </c>
      <c r="C672" s="75">
        <v>0.51666666666666705</v>
      </c>
      <c r="D672" s="69" t="s">
        <v>226</v>
      </c>
      <c r="E672" s="69">
        <v>3</v>
      </c>
      <c r="F672" s="76">
        <v>60.5</v>
      </c>
      <c r="G672" s="69">
        <v>2</v>
      </c>
      <c r="H672" s="77">
        <v>3.3057851239669422E-2</v>
      </c>
      <c r="I672" s="78">
        <v>6.9746499000000003E-2</v>
      </c>
      <c r="J672" s="69">
        <v>314.15899999999999</v>
      </c>
      <c r="K672" s="69">
        <v>0.41847899399999999</v>
      </c>
      <c r="L672" s="69">
        <v>6</v>
      </c>
      <c r="M672" s="79">
        <v>375.35814760632883</v>
      </c>
      <c r="N672" s="69">
        <v>987</v>
      </c>
      <c r="O672" s="80" t="s">
        <v>421</v>
      </c>
      <c r="P672" s="81" t="s">
        <v>70</v>
      </c>
      <c r="Q672" s="69" t="s">
        <v>422</v>
      </c>
      <c r="R672" s="69" t="s">
        <v>84</v>
      </c>
      <c r="S672" s="69"/>
      <c r="T672" s="60">
        <v>1</v>
      </c>
      <c r="U672" s="60">
        <v>1</v>
      </c>
      <c r="V672" s="69">
        <v>4.5999999999999996</v>
      </c>
      <c r="W672" s="69"/>
      <c r="X672" s="69"/>
      <c r="Y672" s="9">
        <f t="shared" si="20"/>
        <v>375.35814760632883</v>
      </c>
      <c r="Z672" s="60" t="s">
        <v>73</v>
      </c>
      <c r="AA672" s="58" t="s">
        <v>419</v>
      </c>
      <c r="AB672" s="81" t="s">
        <v>386</v>
      </c>
      <c r="AC672" s="82" t="s">
        <v>112</v>
      </c>
      <c r="AD672" s="69" t="s">
        <v>104</v>
      </c>
      <c r="AE672" s="56">
        <f t="shared" si="21"/>
        <v>46.533231079999993</v>
      </c>
      <c r="AF672" s="79">
        <v>46.533231079999993</v>
      </c>
      <c r="AG672" s="83"/>
      <c r="AH672" s="84"/>
      <c r="AI672" s="82"/>
      <c r="AJ672" s="81"/>
      <c r="AK672" s="81"/>
      <c r="AL672" s="81"/>
      <c r="AM672" s="81"/>
      <c r="AN672" s="81"/>
      <c r="AO672" s="81"/>
    </row>
    <row r="673" spans="1:41" x14ac:dyDescent="0.2">
      <c r="A673" s="69" t="s">
        <v>67</v>
      </c>
      <c r="B673" s="74">
        <v>43390</v>
      </c>
      <c r="C673" s="75">
        <v>0.51666666666666705</v>
      </c>
      <c r="D673" s="69" t="s">
        <v>226</v>
      </c>
      <c r="E673" s="69">
        <v>3</v>
      </c>
      <c r="F673" s="76">
        <v>60.5</v>
      </c>
      <c r="G673" s="69">
        <v>2</v>
      </c>
      <c r="H673" s="77">
        <v>3.3057851239669422E-2</v>
      </c>
      <c r="I673" s="78">
        <v>6.9746499000000003E-2</v>
      </c>
      <c r="J673" s="69">
        <v>314.15899999999999</v>
      </c>
      <c r="K673" s="69">
        <v>0.41847899399999999</v>
      </c>
      <c r="L673" s="69">
        <v>6</v>
      </c>
      <c r="M673" s="79">
        <v>375.35814760632883</v>
      </c>
      <c r="N673" s="69">
        <v>1037</v>
      </c>
      <c r="O673" s="80" t="s">
        <v>86</v>
      </c>
      <c r="P673" s="80" t="s">
        <v>82</v>
      </c>
      <c r="Q673" s="69" t="s">
        <v>87</v>
      </c>
      <c r="R673" s="69" t="s">
        <v>84</v>
      </c>
      <c r="S673" s="69"/>
      <c r="T673" s="60">
        <v>42</v>
      </c>
      <c r="U673" s="60">
        <v>42</v>
      </c>
      <c r="V673" s="69">
        <v>3.7</v>
      </c>
      <c r="W673" s="69"/>
      <c r="X673" s="69"/>
      <c r="Y673" s="9">
        <f t="shared" si="20"/>
        <v>15765.042199465812</v>
      </c>
      <c r="Z673" s="60" t="s">
        <v>73</v>
      </c>
      <c r="AA673" s="58" t="s">
        <v>419</v>
      </c>
      <c r="AB673" s="81" t="s">
        <v>386</v>
      </c>
      <c r="AC673" s="82" t="s">
        <v>112</v>
      </c>
      <c r="AD673" s="69" t="s">
        <v>85</v>
      </c>
      <c r="AE673" s="56">
        <f t="shared" si="21"/>
        <v>14.137154999999998</v>
      </c>
      <c r="AF673" s="79">
        <v>14.137154999999998</v>
      </c>
      <c r="AG673" s="83"/>
      <c r="AH673" s="84"/>
      <c r="AI673" s="82"/>
      <c r="AJ673" s="81"/>
      <c r="AK673" s="81"/>
      <c r="AL673" s="81"/>
      <c r="AM673" s="81"/>
      <c r="AN673" s="81"/>
      <c r="AO673" s="81"/>
    </row>
    <row r="674" spans="1:41" x14ac:dyDescent="0.2">
      <c r="A674" s="69" t="s">
        <v>67</v>
      </c>
      <c r="B674" s="74">
        <v>43390</v>
      </c>
      <c r="C674" s="75">
        <v>0.51666666666666705</v>
      </c>
      <c r="D674" s="69" t="s">
        <v>226</v>
      </c>
      <c r="E674" s="69">
        <v>3</v>
      </c>
      <c r="F674" s="76">
        <v>60.5</v>
      </c>
      <c r="G674" s="69">
        <v>2</v>
      </c>
      <c r="H674" s="77">
        <v>3.3057851239669422E-2</v>
      </c>
      <c r="I674" s="78">
        <v>6.9746499000000003E-2</v>
      </c>
      <c r="J674" s="69">
        <v>314.15899999999999</v>
      </c>
      <c r="K674" s="69">
        <v>0.41847899399999999</v>
      </c>
      <c r="L674" s="69">
        <v>6</v>
      </c>
      <c r="M674" s="79">
        <v>375.35814760632883</v>
      </c>
      <c r="N674" s="69">
        <v>1364</v>
      </c>
      <c r="O674" s="80" t="s">
        <v>88</v>
      </c>
      <c r="P674" s="80" t="s">
        <v>82</v>
      </c>
      <c r="Q674" s="69" t="s">
        <v>89</v>
      </c>
      <c r="R674" s="69" t="s">
        <v>90</v>
      </c>
      <c r="S674" s="69"/>
      <c r="T674" s="60">
        <v>1</v>
      </c>
      <c r="U674" s="60">
        <v>1</v>
      </c>
      <c r="V674" s="69">
        <v>13</v>
      </c>
      <c r="W674" s="69"/>
      <c r="X674" s="69"/>
      <c r="Y674" s="9">
        <f t="shared" si="20"/>
        <v>375.35814760632883</v>
      </c>
      <c r="Z674" s="60" t="s">
        <v>73</v>
      </c>
      <c r="AA674" s="58" t="s">
        <v>419</v>
      </c>
      <c r="AB674" s="81" t="s">
        <v>386</v>
      </c>
      <c r="AC674" s="82" t="s">
        <v>112</v>
      </c>
      <c r="AD674" s="69" t="s">
        <v>91</v>
      </c>
      <c r="AE674" s="56">
        <f t="shared" si="21"/>
        <v>929.12524250000001</v>
      </c>
      <c r="AF674" s="79">
        <v>929.12524250000001</v>
      </c>
      <c r="AG674" s="83"/>
      <c r="AH674" s="84"/>
      <c r="AI674" s="82"/>
      <c r="AJ674" s="81"/>
      <c r="AK674" s="81"/>
      <c r="AL674" s="81"/>
      <c r="AM674" s="81"/>
      <c r="AN674" s="81"/>
      <c r="AO674" s="81"/>
    </row>
    <row r="675" spans="1:41" x14ac:dyDescent="0.2">
      <c r="A675" s="69" t="s">
        <v>67</v>
      </c>
      <c r="B675" s="74">
        <v>43390</v>
      </c>
      <c r="C675" s="75">
        <v>0.51666666666666705</v>
      </c>
      <c r="D675" s="69" t="s">
        <v>226</v>
      </c>
      <c r="E675" s="69">
        <v>3</v>
      </c>
      <c r="F675" s="76">
        <v>60.5</v>
      </c>
      <c r="G675" s="69">
        <v>2</v>
      </c>
      <c r="H675" s="77">
        <v>3.3057851239669422E-2</v>
      </c>
      <c r="I675" s="78">
        <v>6.9746499000000003E-2</v>
      </c>
      <c r="J675" s="69">
        <v>314.15899999999999</v>
      </c>
      <c r="K675" s="69">
        <v>0.41847899399999999</v>
      </c>
      <c r="L675" s="69">
        <v>6</v>
      </c>
      <c r="M675" s="79">
        <v>375.35814760632883</v>
      </c>
      <c r="N675" s="69">
        <v>1903</v>
      </c>
      <c r="O675" s="80" t="s">
        <v>423</v>
      </c>
      <c r="P675" s="80" t="s">
        <v>82</v>
      </c>
      <c r="Q675" s="69" t="s">
        <v>89</v>
      </c>
      <c r="R675" s="69" t="s">
        <v>424</v>
      </c>
      <c r="S675" s="69"/>
      <c r="T675" s="60">
        <v>3</v>
      </c>
      <c r="U675" s="60">
        <v>3</v>
      </c>
      <c r="V675" s="69">
        <v>11.7</v>
      </c>
      <c r="W675" s="69"/>
      <c r="X675" s="69"/>
      <c r="Y675" s="9">
        <f t="shared" si="20"/>
        <v>1126.0744428189864</v>
      </c>
      <c r="Z675" s="60" t="s">
        <v>73</v>
      </c>
      <c r="AA675" s="58" t="s">
        <v>419</v>
      </c>
      <c r="AB675" s="81" t="s">
        <v>386</v>
      </c>
      <c r="AC675" s="82" t="s">
        <v>112</v>
      </c>
      <c r="AD675" s="69" t="s">
        <v>91</v>
      </c>
      <c r="AE675" s="56">
        <f t="shared" si="21"/>
        <v>344.95967195833327</v>
      </c>
      <c r="AF675" s="79">
        <v>344.95967195833327</v>
      </c>
      <c r="AG675" s="83"/>
      <c r="AH675" s="84"/>
      <c r="AI675" s="82"/>
      <c r="AJ675" s="81"/>
      <c r="AK675" s="81"/>
      <c r="AL675" s="81"/>
      <c r="AM675" s="81"/>
      <c r="AN675" s="81"/>
      <c r="AO675" s="81"/>
    </row>
    <row r="676" spans="1:41" x14ac:dyDescent="0.2">
      <c r="A676" s="69" t="s">
        <v>67</v>
      </c>
      <c r="B676" s="74">
        <v>43390</v>
      </c>
      <c r="C676" s="75">
        <v>0.51666666666666705</v>
      </c>
      <c r="D676" s="69" t="s">
        <v>226</v>
      </c>
      <c r="E676" s="69">
        <v>3</v>
      </c>
      <c r="F676" s="76">
        <v>60.5</v>
      </c>
      <c r="G676" s="69">
        <v>2</v>
      </c>
      <c r="H676" s="77">
        <v>3.3057851239669422E-2</v>
      </c>
      <c r="I676" s="78">
        <v>6.9746499000000003E-2</v>
      </c>
      <c r="J676" s="69">
        <v>314.15899999999999</v>
      </c>
      <c r="K676" s="69">
        <v>0.41847899399999999</v>
      </c>
      <c r="L676" s="69">
        <v>6</v>
      </c>
      <c r="M676" s="79">
        <v>375.35814760632883</v>
      </c>
      <c r="N676" s="69">
        <v>1419</v>
      </c>
      <c r="O676" s="80" t="s">
        <v>94</v>
      </c>
      <c r="P676" s="80" t="s">
        <v>82</v>
      </c>
      <c r="Q676" s="69" t="s">
        <v>95</v>
      </c>
      <c r="R676" s="69" t="s">
        <v>96</v>
      </c>
      <c r="S676" s="69"/>
      <c r="T676" s="60">
        <v>411</v>
      </c>
      <c r="U676" s="60">
        <v>831</v>
      </c>
      <c r="V676" s="69">
        <v>0.9</v>
      </c>
      <c r="W676" s="69">
        <v>0.9</v>
      </c>
      <c r="X676" s="69">
        <v>0.9</v>
      </c>
      <c r="Y676" s="9">
        <f t="shared" si="20"/>
        <v>154272.19866620115</v>
      </c>
      <c r="Z676" s="60" t="s">
        <v>97</v>
      </c>
      <c r="AA676" s="58" t="s">
        <v>419</v>
      </c>
      <c r="AB676" s="81" t="s">
        <v>386</v>
      </c>
      <c r="AC676" s="82" t="s">
        <v>112</v>
      </c>
      <c r="AD676" s="69" t="s">
        <v>85</v>
      </c>
      <c r="AE676" s="56">
        <f t="shared" si="21"/>
        <v>0.19090395233333335</v>
      </c>
      <c r="AF676" s="79">
        <v>0.11309723999999999</v>
      </c>
      <c r="AG676" s="79">
        <v>0.17959422833333327</v>
      </c>
      <c r="AH676" s="79">
        <v>0.11309723999999999</v>
      </c>
      <c r="AI676" s="79">
        <v>0.26808234666666664</v>
      </c>
      <c r="AJ676" s="79">
        <v>0.381703185</v>
      </c>
      <c r="AK676" s="79">
        <v>0.17959422833333327</v>
      </c>
      <c r="AL676" s="79">
        <v>0.26808234666666664</v>
      </c>
      <c r="AM676" s="79">
        <v>0.11309723999999999</v>
      </c>
      <c r="AN676" s="79">
        <v>0.11309723999999999</v>
      </c>
      <c r="AO676" s="79">
        <v>0.17959422833333327</v>
      </c>
    </row>
    <row r="677" spans="1:41" x14ac:dyDescent="0.2">
      <c r="A677" s="49" t="s">
        <v>67</v>
      </c>
      <c r="B677" s="50">
        <v>43390</v>
      </c>
      <c r="C677" s="51">
        <v>0.53125</v>
      </c>
      <c r="D677" s="49" t="s">
        <v>222</v>
      </c>
      <c r="E677" s="49">
        <v>3</v>
      </c>
      <c r="F677" s="52">
        <v>64.5</v>
      </c>
      <c r="G677" s="53">
        <v>2</v>
      </c>
      <c r="H677" s="54">
        <v>3.1007751937984496E-2</v>
      </c>
      <c r="I677" s="55">
        <v>6.9746499000000003E-2</v>
      </c>
      <c r="J677" s="53">
        <v>314.15899999999999</v>
      </c>
      <c r="K677" s="53">
        <v>0.41847899399999999</v>
      </c>
      <c r="L677" s="53">
        <v>6</v>
      </c>
      <c r="M677" s="56">
        <v>375.35814760632883</v>
      </c>
      <c r="N677" s="53">
        <v>1037</v>
      </c>
      <c r="O677" s="57" t="s">
        <v>86</v>
      </c>
      <c r="P677" s="57" t="s">
        <v>82</v>
      </c>
      <c r="Q677" s="53" t="s">
        <v>87</v>
      </c>
      <c r="R677" s="53" t="s">
        <v>84</v>
      </c>
      <c r="S677" s="53"/>
      <c r="T677" s="59">
        <v>26</v>
      </c>
      <c r="U677" s="59">
        <v>26</v>
      </c>
      <c r="V677" s="53">
        <v>3.1</v>
      </c>
      <c r="W677" s="53"/>
      <c r="X677" s="53"/>
      <c r="Y677" s="9">
        <f t="shared" si="20"/>
        <v>9759.3118377645496</v>
      </c>
      <c r="Z677" s="60" t="s">
        <v>73</v>
      </c>
      <c r="AA677" s="58" t="s">
        <v>427</v>
      </c>
      <c r="AB677" s="58" t="s">
        <v>386</v>
      </c>
      <c r="AC677" s="61" t="s">
        <v>412</v>
      </c>
      <c r="AD677" s="53" t="s">
        <v>85</v>
      </c>
      <c r="AE677" s="56">
        <f t="shared" si="21"/>
        <v>11.494030613333329</v>
      </c>
      <c r="AF677" s="56">
        <v>11.494030613333329</v>
      </c>
      <c r="AG677" s="62"/>
      <c r="AH677" s="63"/>
      <c r="AI677" s="61"/>
      <c r="AJ677" s="58"/>
      <c r="AK677" s="58"/>
      <c r="AL677" s="58"/>
      <c r="AM677" s="58"/>
      <c r="AN677" s="58"/>
      <c r="AO677" s="58"/>
    </row>
    <row r="678" spans="1:41" x14ac:dyDescent="0.2">
      <c r="A678" s="49" t="s">
        <v>67</v>
      </c>
      <c r="B678" s="50">
        <v>43390</v>
      </c>
      <c r="C678" s="51">
        <v>0.53125</v>
      </c>
      <c r="D678" s="49" t="s">
        <v>222</v>
      </c>
      <c r="E678" s="49">
        <v>3</v>
      </c>
      <c r="F678" s="52">
        <v>64.5</v>
      </c>
      <c r="G678" s="53">
        <v>2</v>
      </c>
      <c r="H678" s="54">
        <v>3.1007751937984496E-2</v>
      </c>
      <c r="I678" s="55">
        <v>6.9746499000000003E-2</v>
      </c>
      <c r="J678" s="53">
        <v>314.15899999999999</v>
      </c>
      <c r="K678" s="53">
        <v>0.41847899399999999</v>
      </c>
      <c r="L678" s="53">
        <v>6</v>
      </c>
      <c r="M678" s="56">
        <v>375.35814760632883</v>
      </c>
      <c r="N678" s="53">
        <v>1733</v>
      </c>
      <c r="O678" s="57" t="s">
        <v>92</v>
      </c>
      <c r="P678" s="57" t="s">
        <v>82</v>
      </c>
      <c r="Q678" s="53" t="s">
        <v>89</v>
      </c>
      <c r="R678" s="53" t="s">
        <v>93</v>
      </c>
      <c r="S678" s="53"/>
      <c r="T678" s="59">
        <v>3</v>
      </c>
      <c r="U678" s="59">
        <v>3</v>
      </c>
      <c r="V678" s="53">
        <v>6.5</v>
      </c>
      <c r="W678" s="53"/>
      <c r="X678" s="53"/>
      <c r="Y678" s="9">
        <f t="shared" si="20"/>
        <v>1126.0744428189864</v>
      </c>
      <c r="Z678" s="60" t="s">
        <v>73</v>
      </c>
      <c r="AA678" s="58" t="s">
        <v>427</v>
      </c>
      <c r="AB678" s="58" t="s">
        <v>386</v>
      </c>
      <c r="AC678" s="61" t="s">
        <v>412</v>
      </c>
      <c r="AD678" s="53" t="s">
        <v>91</v>
      </c>
      <c r="AE678" s="56">
        <f t="shared" si="21"/>
        <v>79.104450802499997</v>
      </c>
      <c r="AF678" s="56">
        <v>79.104450802499997</v>
      </c>
      <c r="AG678" s="62"/>
      <c r="AH678" s="63"/>
      <c r="AI678" s="61"/>
      <c r="AJ678" s="58"/>
      <c r="AK678" s="58"/>
      <c r="AL678" s="58"/>
      <c r="AM678" s="58"/>
      <c r="AN678" s="58"/>
      <c r="AO678" s="58"/>
    </row>
    <row r="679" spans="1:41" x14ac:dyDescent="0.2">
      <c r="A679" s="49" t="s">
        <v>67</v>
      </c>
      <c r="B679" s="50">
        <v>43390</v>
      </c>
      <c r="C679" s="51">
        <v>0.53125</v>
      </c>
      <c r="D679" s="49" t="s">
        <v>222</v>
      </c>
      <c r="E679" s="49">
        <v>3</v>
      </c>
      <c r="F679" s="52">
        <v>64.5</v>
      </c>
      <c r="G679" s="53">
        <v>2</v>
      </c>
      <c r="H679" s="54">
        <v>3.1007751937984496E-2</v>
      </c>
      <c r="I679" s="55">
        <v>6.9746499000000003E-2</v>
      </c>
      <c r="J679" s="53">
        <v>314.15899999999999</v>
      </c>
      <c r="K679" s="53">
        <v>0.41847899399999999</v>
      </c>
      <c r="L679" s="53">
        <v>6</v>
      </c>
      <c r="M679" s="56">
        <v>375.35814760632883</v>
      </c>
      <c r="N679" s="53">
        <v>1419</v>
      </c>
      <c r="O679" s="57" t="s">
        <v>94</v>
      </c>
      <c r="P679" s="57" t="s">
        <v>82</v>
      </c>
      <c r="Q679" s="53" t="s">
        <v>95</v>
      </c>
      <c r="R679" s="53" t="s">
        <v>96</v>
      </c>
      <c r="S679" s="53"/>
      <c r="T679" s="59">
        <v>418</v>
      </c>
      <c r="U679" s="59">
        <v>841</v>
      </c>
      <c r="V679" s="53">
        <v>0.9</v>
      </c>
      <c r="W679" s="53">
        <v>0.9</v>
      </c>
      <c r="X679" s="53">
        <v>0.9</v>
      </c>
      <c r="Y679" s="9">
        <f t="shared" si="20"/>
        <v>156899.70569944545</v>
      </c>
      <c r="Z679" s="60" t="s">
        <v>97</v>
      </c>
      <c r="AA679" s="58" t="s">
        <v>427</v>
      </c>
      <c r="AB679" s="58" t="s">
        <v>386</v>
      </c>
      <c r="AC679" s="61" t="s">
        <v>412</v>
      </c>
      <c r="AD679" s="53" t="s">
        <v>85</v>
      </c>
      <c r="AE679" s="56">
        <f t="shared" si="21"/>
        <v>0.19090395233333335</v>
      </c>
      <c r="AF679" s="56">
        <v>0.11309723999999999</v>
      </c>
      <c r="AG679" s="56">
        <v>0.17959422833333327</v>
      </c>
      <c r="AH679" s="56">
        <v>0.11309723999999999</v>
      </c>
      <c r="AI679" s="56">
        <v>0.26808234666666664</v>
      </c>
      <c r="AJ679" s="56">
        <v>0.381703185</v>
      </c>
      <c r="AK679" s="56">
        <v>0.17959422833333327</v>
      </c>
      <c r="AL679" s="56">
        <v>0.26808234666666664</v>
      </c>
      <c r="AM679" s="56">
        <v>0.11309723999999999</v>
      </c>
      <c r="AN679" s="56">
        <v>0.11309723999999999</v>
      </c>
      <c r="AO679" s="56">
        <v>0.17959422833333327</v>
      </c>
    </row>
    <row r="680" spans="1:41" x14ac:dyDescent="0.2">
      <c r="A680" s="49" t="s">
        <v>67</v>
      </c>
      <c r="B680" s="50">
        <v>43390</v>
      </c>
      <c r="C680" s="51">
        <v>0.54513888888888895</v>
      </c>
      <c r="D680" s="49" t="s">
        <v>224</v>
      </c>
      <c r="E680" s="49"/>
      <c r="F680" s="52">
        <v>63</v>
      </c>
      <c r="G680" s="53">
        <v>2</v>
      </c>
      <c r="H680" s="54">
        <v>3.1746031746031744E-2</v>
      </c>
      <c r="I680" s="55">
        <v>6.9746499000000003E-2</v>
      </c>
      <c r="J680" s="53">
        <v>314.15899999999999</v>
      </c>
      <c r="K680" s="53">
        <v>0.41847899399999999</v>
      </c>
      <c r="L680" s="53">
        <v>6</v>
      </c>
      <c r="M680" s="56">
        <v>375.35814760632883</v>
      </c>
      <c r="N680" s="53">
        <v>1037</v>
      </c>
      <c r="O680" s="57" t="s">
        <v>86</v>
      </c>
      <c r="P680" s="57" t="s">
        <v>82</v>
      </c>
      <c r="Q680" s="53" t="s">
        <v>87</v>
      </c>
      <c r="R680" s="53" t="s">
        <v>84</v>
      </c>
      <c r="S680" s="53"/>
      <c r="T680" s="59">
        <v>30</v>
      </c>
      <c r="U680" s="59">
        <v>30</v>
      </c>
      <c r="V680" s="53">
        <v>3.7</v>
      </c>
      <c r="W680" s="53"/>
      <c r="X680" s="53"/>
      <c r="Y680" s="9">
        <f t="shared" si="20"/>
        <v>11260.744428189866</v>
      </c>
      <c r="Z680" s="60" t="s">
        <v>73</v>
      </c>
      <c r="AA680" s="58" t="s">
        <v>425</v>
      </c>
      <c r="AB680" s="58" t="s">
        <v>386</v>
      </c>
      <c r="AC680" s="61" t="s">
        <v>112</v>
      </c>
      <c r="AD680" s="53" t="s">
        <v>85</v>
      </c>
      <c r="AE680" s="56">
        <f t="shared" si="21"/>
        <v>15.598517948333333</v>
      </c>
      <c r="AF680" s="56">
        <v>15.598517948333333</v>
      </c>
      <c r="AG680" s="62"/>
      <c r="AH680" s="63"/>
      <c r="AI680" s="61"/>
      <c r="AJ680" s="58"/>
      <c r="AK680" s="58"/>
      <c r="AL680" s="58"/>
      <c r="AM680" s="58"/>
      <c r="AN680" s="58"/>
      <c r="AO680" s="58"/>
    </row>
    <row r="681" spans="1:41" x14ac:dyDescent="0.2">
      <c r="A681" s="49" t="s">
        <v>67</v>
      </c>
      <c r="B681" s="50">
        <v>43390</v>
      </c>
      <c r="C681" s="51">
        <v>0.54513888888888895</v>
      </c>
      <c r="D681" s="49" t="s">
        <v>224</v>
      </c>
      <c r="E681" s="49"/>
      <c r="F681" s="52">
        <v>63</v>
      </c>
      <c r="G681" s="53">
        <v>2</v>
      </c>
      <c r="H681" s="54">
        <v>3.1746031746031744E-2</v>
      </c>
      <c r="I681" s="55">
        <v>6.9746499000000003E-2</v>
      </c>
      <c r="J681" s="53">
        <v>314.15899999999999</v>
      </c>
      <c r="K681" s="53">
        <v>0.41847899399999999</v>
      </c>
      <c r="L681" s="53">
        <v>6</v>
      </c>
      <c r="M681" s="56">
        <v>375.35814760632883</v>
      </c>
      <c r="N681" s="53">
        <v>1761</v>
      </c>
      <c r="O681" s="57" t="s">
        <v>287</v>
      </c>
      <c r="P681" s="57" t="s">
        <v>82</v>
      </c>
      <c r="Q681" s="53" t="s">
        <v>288</v>
      </c>
      <c r="R681" s="53" t="s">
        <v>289</v>
      </c>
      <c r="S681" s="53"/>
      <c r="T681" s="59">
        <v>1</v>
      </c>
      <c r="U681" s="59">
        <v>1</v>
      </c>
      <c r="V681" s="53">
        <v>7.4</v>
      </c>
      <c r="W681" s="53"/>
      <c r="X681" s="53"/>
      <c r="Y681" s="9">
        <f t="shared" si="20"/>
        <v>375.35814760632883</v>
      </c>
      <c r="Z681" s="60" t="s">
        <v>73</v>
      </c>
      <c r="AA681" s="58" t="s">
        <v>425</v>
      </c>
      <c r="AB681" s="58" t="s">
        <v>386</v>
      </c>
      <c r="AC681" s="61" t="s">
        <v>112</v>
      </c>
      <c r="AD681" s="53" t="s">
        <v>215</v>
      </c>
      <c r="AE681" s="56">
        <f t="shared" si="21"/>
        <v>4.9939500037500002</v>
      </c>
      <c r="AF681" s="56">
        <v>4.9939500037500002</v>
      </c>
      <c r="AG681" s="62"/>
      <c r="AH681" s="63"/>
      <c r="AI681" s="61"/>
      <c r="AJ681" s="58"/>
      <c r="AK681" s="58"/>
      <c r="AL681" s="58"/>
      <c r="AM681" s="58"/>
      <c r="AN681" s="58"/>
      <c r="AO681" s="58"/>
    </row>
    <row r="682" spans="1:41" x14ac:dyDescent="0.2">
      <c r="A682" s="49" t="s">
        <v>67</v>
      </c>
      <c r="B682" s="50">
        <v>43390</v>
      </c>
      <c r="C682" s="51">
        <v>0.54513888888888895</v>
      </c>
      <c r="D682" s="49" t="s">
        <v>224</v>
      </c>
      <c r="E682" s="49"/>
      <c r="F682" s="52">
        <v>63</v>
      </c>
      <c r="G682" s="53">
        <v>2</v>
      </c>
      <c r="H682" s="54">
        <v>3.1746031746031744E-2</v>
      </c>
      <c r="I682" s="55">
        <v>6.9746499000000003E-2</v>
      </c>
      <c r="J682" s="53">
        <v>314.15899999999999</v>
      </c>
      <c r="K682" s="53">
        <v>0.41847899399999999</v>
      </c>
      <c r="L682" s="53">
        <v>6</v>
      </c>
      <c r="M682" s="56">
        <v>375.35814760632883</v>
      </c>
      <c r="N682" s="53">
        <v>1364</v>
      </c>
      <c r="O682" s="57" t="s">
        <v>88</v>
      </c>
      <c r="P682" s="57" t="s">
        <v>82</v>
      </c>
      <c r="Q682" s="53" t="s">
        <v>89</v>
      </c>
      <c r="R682" s="53" t="s">
        <v>90</v>
      </c>
      <c r="S682" s="53"/>
      <c r="T682" s="59">
        <v>3</v>
      </c>
      <c r="U682" s="59">
        <v>3</v>
      </c>
      <c r="V682" s="53">
        <v>13.9</v>
      </c>
      <c r="W682" s="53"/>
      <c r="X682" s="53"/>
      <c r="Y682" s="9">
        <f t="shared" si="20"/>
        <v>1126.0744428189864</v>
      </c>
      <c r="Z682" s="60" t="s">
        <v>73</v>
      </c>
      <c r="AA682" s="58" t="s">
        <v>425</v>
      </c>
      <c r="AB682" s="58" t="s">
        <v>386</v>
      </c>
      <c r="AC682" s="61" t="s">
        <v>112</v>
      </c>
      <c r="AD682" s="53" t="s">
        <v>91</v>
      </c>
      <c r="AE682" s="56">
        <f t="shared" si="21"/>
        <v>740.35757136666655</v>
      </c>
      <c r="AF682" s="56">
        <v>740.35757136666655</v>
      </c>
      <c r="AG682" s="62"/>
      <c r="AH682" s="63"/>
      <c r="AI682" s="61"/>
      <c r="AJ682" s="58"/>
      <c r="AK682" s="58"/>
      <c r="AL682" s="58"/>
      <c r="AM682" s="58"/>
      <c r="AN682" s="58"/>
      <c r="AO682" s="58"/>
    </row>
    <row r="683" spans="1:41" x14ac:dyDescent="0.2">
      <c r="A683" s="49" t="s">
        <v>67</v>
      </c>
      <c r="B683" s="50">
        <v>43390</v>
      </c>
      <c r="C683" s="51">
        <v>0.54513888888888895</v>
      </c>
      <c r="D683" s="49" t="s">
        <v>224</v>
      </c>
      <c r="E683" s="49"/>
      <c r="F683" s="52">
        <v>63</v>
      </c>
      <c r="G683" s="53">
        <v>2</v>
      </c>
      <c r="H683" s="54">
        <v>3.1746031746031744E-2</v>
      </c>
      <c r="I683" s="55">
        <v>6.9746499000000003E-2</v>
      </c>
      <c r="J683" s="53">
        <v>314.15899999999999</v>
      </c>
      <c r="K683" s="53">
        <v>0.41847899399999999</v>
      </c>
      <c r="L683" s="53">
        <v>6</v>
      </c>
      <c r="M683" s="56">
        <v>375.35814760632883</v>
      </c>
      <c r="N683" s="53">
        <v>1733</v>
      </c>
      <c r="O683" s="57" t="s">
        <v>92</v>
      </c>
      <c r="P683" s="57" t="s">
        <v>82</v>
      </c>
      <c r="Q683" s="53" t="s">
        <v>89</v>
      </c>
      <c r="R683" s="53" t="s">
        <v>93</v>
      </c>
      <c r="S683" s="53"/>
      <c r="T683" s="59">
        <v>3</v>
      </c>
      <c r="U683" s="59">
        <v>3</v>
      </c>
      <c r="V683" s="53">
        <v>6.5</v>
      </c>
      <c r="W683" s="53"/>
      <c r="X683" s="53"/>
      <c r="Y683" s="9">
        <f t="shared" si="20"/>
        <v>1126.0744428189864</v>
      </c>
      <c r="Z683" s="60" t="s">
        <v>73</v>
      </c>
      <c r="AA683" s="58" t="s">
        <v>425</v>
      </c>
      <c r="AB683" s="58" t="s">
        <v>386</v>
      </c>
      <c r="AC683" s="61" t="s">
        <v>112</v>
      </c>
      <c r="AD683" s="53" t="s">
        <v>91</v>
      </c>
      <c r="AE683" s="56">
        <f t="shared" si="21"/>
        <v>76.353203359999995</v>
      </c>
      <c r="AF683" s="56">
        <v>76.353203359999995</v>
      </c>
      <c r="AG683" s="62"/>
      <c r="AH683" s="63"/>
      <c r="AI683" s="61"/>
      <c r="AJ683" s="58"/>
      <c r="AK683" s="58"/>
      <c r="AL683" s="58"/>
      <c r="AM683" s="58"/>
      <c r="AN683" s="58"/>
      <c r="AO683" s="58"/>
    </row>
    <row r="684" spans="1:41" x14ac:dyDescent="0.2">
      <c r="A684" s="49" t="s">
        <v>67</v>
      </c>
      <c r="B684" s="50">
        <v>43390</v>
      </c>
      <c r="C684" s="51">
        <v>0.54513888888888895</v>
      </c>
      <c r="D684" s="49" t="s">
        <v>224</v>
      </c>
      <c r="E684" s="49"/>
      <c r="F684" s="52">
        <v>63</v>
      </c>
      <c r="G684" s="53">
        <v>2</v>
      </c>
      <c r="H684" s="54">
        <v>3.1746031746031744E-2</v>
      </c>
      <c r="I684" s="55">
        <v>6.9746499000000003E-2</v>
      </c>
      <c r="J684" s="53">
        <v>314.15899999999999</v>
      </c>
      <c r="K684" s="53">
        <v>0.41847899399999999</v>
      </c>
      <c r="L684" s="53">
        <v>6</v>
      </c>
      <c r="M684" s="56">
        <v>375.35814760632883</v>
      </c>
      <c r="N684" s="53">
        <v>1419</v>
      </c>
      <c r="O684" s="57" t="s">
        <v>94</v>
      </c>
      <c r="P684" s="57" t="s">
        <v>82</v>
      </c>
      <c r="Q684" s="53" t="s">
        <v>95</v>
      </c>
      <c r="R684" s="53" t="s">
        <v>96</v>
      </c>
      <c r="S684" s="53"/>
      <c r="T684" s="59">
        <v>386</v>
      </c>
      <c r="U684" s="59">
        <v>1166</v>
      </c>
      <c r="V684" s="53">
        <v>0.9</v>
      </c>
      <c r="W684" s="53">
        <v>0.9</v>
      </c>
      <c r="X684" s="53">
        <v>0.9</v>
      </c>
      <c r="Y684" s="9">
        <f t="shared" si="20"/>
        <v>144888.24497604292</v>
      </c>
      <c r="Z684" s="60" t="s">
        <v>97</v>
      </c>
      <c r="AA684" s="58" t="s">
        <v>425</v>
      </c>
      <c r="AB684" s="58" t="s">
        <v>386</v>
      </c>
      <c r="AC684" s="61" t="s">
        <v>112</v>
      </c>
      <c r="AD684" s="53" t="s">
        <v>85</v>
      </c>
      <c r="AE684" s="56">
        <f t="shared" si="21"/>
        <v>0.19090395233333335</v>
      </c>
      <c r="AF684" s="56">
        <v>0.11309723999999999</v>
      </c>
      <c r="AG684" s="56">
        <v>0.17959422833333327</v>
      </c>
      <c r="AH684" s="56">
        <v>0.11309723999999999</v>
      </c>
      <c r="AI684" s="56">
        <v>0.26808234666666664</v>
      </c>
      <c r="AJ684" s="56">
        <v>0.381703185</v>
      </c>
      <c r="AK684" s="56">
        <v>0.17959422833333327</v>
      </c>
      <c r="AL684" s="56">
        <v>0.26808234666666664</v>
      </c>
      <c r="AM684" s="56">
        <v>0.11309723999999999</v>
      </c>
      <c r="AN684" s="56">
        <v>0.11309723999999999</v>
      </c>
      <c r="AO684" s="56">
        <v>0.17959422833333327</v>
      </c>
    </row>
    <row r="685" spans="1:41" x14ac:dyDescent="0.2">
      <c r="A685" s="69" t="s">
        <v>67</v>
      </c>
      <c r="B685" s="74">
        <v>43390</v>
      </c>
      <c r="C685" s="75">
        <v>0.5625</v>
      </c>
      <c r="D685" s="69" t="s">
        <v>219</v>
      </c>
      <c r="E685" s="69"/>
      <c r="F685" s="76">
        <v>58.5</v>
      </c>
      <c r="G685" s="69">
        <v>2</v>
      </c>
      <c r="H685" s="77">
        <v>3.4188034188034191E-2</v>
      </c>
      <c r="I685" s="78">
        <v>6.9746499000000003E-2</v>
      </c>
      <c r="J685" s="69">
        <v>314.15899999999999</v>
      </c>
      <c r="K685" s="69">
        <v>0.41847899399999999</v>
      </c>
      <c r="L685" s="69">
        <v>6</v>
      </c>
      <c r="M685" s="79">
        <v>375.35814760632883</v>
      </c>
      <c r="N685" s="69">
        <v>1037</v>
      </c>
      <c r="O685" s="80" t="s">
        <v>86</v>
      </c>
      <c r="P685" s="80" t="s">
        <v>82</v>
      </c>
      <c r="Q685" s="69" t="s">
        <v>87</v>
      </c>
      <c r="R685" s="69" t="s">
        <v>84</v>
      </c>
      <c r="S685" s="69"/>
      <c r="T685" s="60">
        <v>27</v>
      </c>
      <c r="U685" s="60">
        <v>27</v>
      </c>
      <c r="V685" s="69">
        <v>3.7</v>
      </c>
      <c r="W685" s="69"/>
      <c r="X685" s="69"/>
      <c r="Y685" s="9">
        <f t="shared" si="20"/>
        <v>10134.669985370878</v>
      </c>
      <c r="Z685" s="60" t="s">
        <v>73</v>
      </c>
      <c r="AA685" s="58" t="s">
        <v>426</v>
      </c>
      <c r="AB685" s="81" t="s">
        <v>386</v>
      </c>
      <c r="AC685" s="82" t="s">
        <v>412</v>
      </c>
      <c r="AD685" s="69" t="s">
        <v>85</v>
      </c>
      <c r="AE685" s="56">
        <f t="shared" si="21"/>
        <v>10.305985995</v>
      </c>
      <c r="AF685" s="79">
        <v>10.305985995</v>
      </c>
      <c r="AG685" s="83"/>
      <c r="AH685" s="84"/>
      <c r="AI685" s="82"/>
      <c r="AJ685" s="81"/>
      <c r="AK685" s="81"/>
      <c r="AL685" s="81"/>
      <c r="AM685" s="81"/>
      <c r="AN685" s="81"/>
      <c r="AO685" s="81"/>
    </row>
    <row r="686" spans="1:41" x14ac:dyDescent="0.2">
      <c r="A686" s="69" t="s">
        <v>67</v>
      </c>
      <c r="B686" s="74">
        <v>43390</v>
      </c>
      <c r="C686" s="75">
        <v>0.5625</v>
      </c>
      <c r="D686" s="69" t="s">
        <v>219</v>
      </c>
      <c r="E686" s="69"/>
      <c r="F686" s="76">
        <v>58.5</v>
      </c>
      <c r="G686" s="69">
        <v>2</v>
      </c>
      <c r="H686" s="77">
        <v>3.4188034188034191E-2</v>
      </c>
      <c r="I686" s="78">
        <v>6.9746499000000003E-2</v>
      </c>
      <c r="J686" s="69">
        <v>314.15899999999999</v>
      </c>
      <c r="K686" s="69">
        <v>0.41847899399999999</v>
      </c>
      <c r="L686" s="69">
        <v>6</v>
      </c>
      <c r="M686" s="79">
        <v>375.35814760632883</v>
      </c>
      <c r="N686" s="69">
        <v>1364</v>
      </c>
      <c r="O686" s="80" t="s">
        <v>88</v>
      </c>
      <c r="P686" s="80" t="s">
        <v>82</v>
      </c>
      <c r="Q686" s="69" t="s">
        <v>89</v>
      </c>
      <c r="R686" s="69" t="s">
        <v>90</v>
      </c>
      <c r="S686" s="69"/>
      <c r="T686" s="60">
        <v>7</v>
      </c>
      <c r="U686" s="60">
        <v>7</v>
      </c>
      <c r="V686" s="69">
        <v>11.1</v>
      </c>
      <c r="W686" s="69"/>
      <c r="X686" s="69"/>
      <c r="Y686" s="9">
        <f t="shared" si="20"/>
        <v>2627.5070332443015</v>
      </c>
      <c r="Z686" s="60" t="s">
        <v>73</v>
      </c>
      <c r="AA686" s="58" t="s">
        <v>426</v>
      </c>
      <c r="AB686" s="81" t="s">
        <v>386</v>
      </c>
      <c r="AC686" s="82" t="s">
        <v>412</v>
      </c>
      <c r="AD686" s="69" t="s">
        <v>91</v>
      </c>
      <c r="AE686" s="56">
        <f t="shared" si="21"/>
        <v>354.67294463999997</v>
      </c>
      <c r="AF686" s="79">
        <v>354.67294463999997</v>
      </c>
      <c r="AG686" s="83"/>
      <c r="AH686" s="84"/>
      <c r="AI686" s="82"/>
      <c r="AJ686" s="81"/>
      <c r="AK686" s="81"/>
      <c r="AL686" s="81"/>
      <c r="AM686" s="81"/>
      <c r="AN686" s="81"/>
      <c r="AO686" s="81"/>
    </row>
    <row r="687" spans="1:41" x14ac:dyDescent="0.2">
      <c r="A687" s="69" t="s">
        <v>67</v>
      </c>
      <c r="B687" s="74">
        <v>43390</v>
      </c>
      <c r="C687" s="75">
        <v>0.5625</v>
      </c>
      <c r="D687" s="69" t="s">
        <v>219</v>
      </c>
      <c r="E687" s="69"/>
      <c r="F687" s="76">
        <v>58.5</v>
      </c>
      <c r="G687" s="69">
        <v>2</v>
      </c>
      <c r="H687" s="77">
        <v>3.4188034188034191E-2</v>
      </c>
      <c r="I687" s="78">
        <v>6.9746499000000003E-2</v>
      </c>
      <c r="J687" s="69">
        <v>314.15899999999999</v>
      </c>
      <c r="K687" s="69">
        <v>0.41847899399999999</v>
      </c>
      <c r="L687" s="69">
        <v>6</v>
      </c>
      <c r="M687" s="79">
        <v>375.35814760632883</v>
      </c>
      <c r="N687" s="69">
        <v>1733</v>
      </c>
      <c r="O687" s="80" t="s">
        <v>391</v>
      </c>
      <c r="P687" s="80" t="s">
        <v>82</v>
      </c>
      <c r="Q687" s="69" t="s">
        <v>89</v>
      </c>
      <c r="R687" s="69" t="s">
        <v>93</v>
      </c>
      <c r="S687" s="69"/>
      <c r="T687" s="60">
        <v>2</v>
      </c>
      <c r="U687" s="60">
        <v>2</v>
      </c>
      <c r="V687" s="69">
        <v>7.4</v>
      </c>
      <c r="W687" s="69"/>
      <c r="X687" s="69"/>
      <c r="Y687" s="9">
        <f t="shared" si="20"/>
        <v>750.71629521265766</v>
      </c>
      <c r="Z687" s="60" t="s">
        <v>73</v>
      </c>
      <c r="AA687" s="58" t="s">
        <v>426</v>
      </c>
      <c r="AB687" s="81" t="s">
        <v>386</v>
      </c>
      <c r="AC687" s="82" t="s">
        <v>412</v>
      </c>
      <c r="AD687" s="69" t="s">
        <v>91</v>
      </c>
      <c r="AE687" s="56">
        <f t="shared" si="21"/>
        <v>123.47705335999997</v>
      </c>
      <c r="AF687" s="79">
        <v>123.47705335999997</v>
      </c>
      <c r="AG687" s="83"/>
      <c r="AH687" s="84"/>
      <c r="AI687" s="82"/>
      <c r="AJ687" s="81"/>
      <c r="AK687" s="81"/>
      <c r="AL687" s="81"/>
      <c r="AM687" s="81"/>
      <c r="AN687" s="81"/>
      <c r="AO687" s="81"/>
    </row>
    <row r="688" spans="1:41" x14ac:dyDescent="0.2">
      <c r="A688" s="69" t="s">
        <v>67</v>
      </c>
      <c r="B688" s="74">
        <v>43390</v>
      </c>
      <c r="C688" s="75">
        <v>0.5625</v>
      </c>
      <c r="D688" s="69" t="s">
        <v>219</v>
      </c>
      <c r="E688" s="69"/>
      <c r="F688" s="76">
        <v>58.5</v>
      </c>
      <c r="G688" s="69">
        <v>2</v>
      </c>
      <c r="H688" s="77">
        <v>3.4188034188034191E-2</v>
      </c>
      <c r="I688" s="78">
        <v>6.9746499000000003E-2</v>
      </c>
      <c r="J688" s="69">
        <v>314.15899999999999</v>
      </c>
      <c r="K688" s="69">
        <v>0.41847899399999999</v>
      </c>
      <c r="L688" s="69">
        <v>6</v>
      </c>
      <c r="M688" s="79">
        <v>375.35814760632883</v>
      </c>
      <c r="N688" s="69">
        <v>1419</v>
      </c>
      <c r="O688" s="80" t="s">
        <v>94</v>
      </c>
      <c r="P688" s="80" t="s">
        <v>82</v>
      </c>
      <c r="Q688" s="69" t="s">
        <v>95</v>
      </c>
      <c r="R688" s="69" t="s">
        <v>96</v>
      </c>
      <c r="S688" s="69"/>
      <c r="T688" s="60">
        <v>408</v>
      </c>
      <c r="U688" s="60">
        <v>817</v>
      </c>
      <c r="V688" s="69">
        <v>0.9</v>
      </c>
      <c r="W688" s="69">
        <v>0.9</v>
      </c>
      <c r="X688" s="69">
        <v>0.9</v>
      </c>
      <c r="Y688" s="9">
        <f t="shared" si="20"/>
        <v>153146.12422338218</v>
      </c>
      <c r="Z688" s="60" t="s">
        <v>97</v>
      </c>
      <c r="AA688" s="58" t="s">
        <v>426</v>
      </c>
      <c r="AB688" s="81" t="s">
        <v>386</v>
      </c>
      <c r="AC688" s="82" t="s">
        <v>412</v>
      </c>
      <c r="AD688" s="69" t="s">
        <v>85</v>
      </c>
      <c r="AE688" s="56">
        <f t="shared" si="21"/>
        <v>0.19090395233333335</v>
      </c>
      <c r="AF688" s="79">
        <v>0.11309723999999999</v>
      </c>
      <c r="AG688" s="79">
        <v>0.17959422833333327</v>
      </c>
      <c r="AH688" s="79">
        <v>0.11309723999999999</v>
      </c>
      <c r="AI688" s="79">
        <v>0.26808234666666664</v>
      </c>
      <c r="AJ688" s="79">
        <v>0.381703185</v>
      </c>
      <c r="AK688" s="79">
        <v>0.17959422833333327</v>
      </c>
      <c r="AL688" s="79">
        <v>0.26808234666666664</v>
      </c>
      <c r="AM688" s="79">
        <v>0.11309723999999999</v>
      </c>
      <c r="AN688" s="79">
        <v>0.11309723999999999</v>
      </c>
      <c r="AO688" s="79">
        <v>0.17959422833333327</v>
      </c>
    </row>
    <row r="689" spans="1:41" x14ac:dyDescent="0.2">
      <c r="A689" s="5" t="s">
        <v>67</v>
      </c>
      <c r="B689" s="25">
        <v>43390</v>
      </c>
      <c r="C689" s="26">
        <v>0.58819444444444402</v>
      </c>
      <c r="D689" s="26" t="s">
        <v>124</v>
      </c>
      <c r="E689" s="5">
        <v>3</v>
      </c>
      <c r="F689" s="32">
        <v>62.5</v>
      </c>
      <c r="G689" s="9">
        <v>2</v>
      </c>
      <c r="H689" s="6">
        <v>3.2000000000000001E-2</v>
      </c>
      <c r="I689" s="7">
        <v>6.83E-2</v>
      </c>
      <c r="J689" s="9">
        <v>314.15899999999999</v>
      </c>
      <c r="K689" s="9">
        <v>0.75129999999999997</v>
      </c>
      <c r="L689" s="9">
        <v>11</v>
      </c>
      <c r="M689" s="14">
        <v>209.07693331558633</v>
      </c>
      <c r="N689" s="9">
        <v>190</v>
      </c>
      <c r="O689" s="12" t="s">
        <v>102</v>
      </c>
      <c r="P689" s="8" t="s">
        <v>70</v>
      </c>
      <c r="Q689" s="9" t="s">
        <v>103</v>
      </c>
      <c r="R689" s="9" t="s">
        <v>84</v>
      </c>
      <c r="S689" s="9"/>
      <c r="T689" s="18">
        <v>3</v>
      </c>
      <c r="U689" s="18">
        <v>3</v>
      </c>
      <c r="V689" s="9">
        <v>7.4</v>
      </c>
      <c r="Y689" s="9">
        <f t="shared" si="20"/>
        <v>627.23079994675891</v>
      </c>
      <c r="Z689" s="19" t="s">
        <v>73</v>
      </c>
      <c r="AA689" s="8" t="s">
        <v>125</v>
      </c>
      <c r="AB689" s="8" t="s">
        <v>75</v>
      </c>
      <c r="AC689" s="11" t="s">
        <v>112</v>
      </c>
      <c r="AD689" s="9" t="s">
        <v>104</v>
      </c>
      <c r="AE689" s="56">
        <f t="shared" si="21"/>
        <v>95.033097499999997</v>
      </c>
      <c r="AF689" s="14">
        <v>95.033097499999997</v>
      </c>
      <c r="AG689" s="13"/>
    </row>
    <row r="690" spans="1:41" x14ac:dyDescent="0.2">
      <c r="A690" s="5" t="s">
        <v>67</v>
      </c>
      <c r="B690" s="25">
        <v>43390</v>
      </c>
      <c r="C690" s="26">
        <v>0.58819444444444402</v>
      </c>
      <c r="D690" s="26" t="s">
        <v>124</v>
      </c>
      <c r="E690" s="5">
        <v>3</v>
      </c>
      <c r="F690" s="32">
        <v>62.5</v>
      </c>
      <c r="G690" s="9">
        <v>2</v>
      </c>
      <c r="H690" s="6">
        <v>3.2000000000000001E-2</v>
      </c>
      <c r="I690" s="7">
        <v>6.83E-2</v>
      </c>
      <c r="J690" s="9">
        <v>314.15899999999999</v>
      </c>
      <c r="K690" s="9">
        <v>0.75129999999999997</v>
      </c>
      <c r="L690" s="9">
        <v>11</v>
      </c>
      <c r="M690" s="14">
        <v>209.07693331558633</v>
      </c>
      <c r="N690" s="9">
        <v>1037</v>
      </c>
      <c r="O690" s="12" t="s">
        <v>86</v>
      </c>
      <c r="P690" s="12" t="s">
        <v>82</v>
      </c>
      <c r="Q690" s="9" t="s">
        <v>87</v>
      </c>
      <c r="R690" s="9" t="s">
        <v>84</v>
      </c>
      <c r="S690" s="9"/>
      <c r="T690" s="18">
        <v>20</v>
      </c>
      <c r="U690" s="18">
        <v>20</v>
      </c>
      <c r="V690" s="9">
        <v>2.8</v>
      </c>
      <c r="Y690" s="9">
        <f t="shared" si="20"/>
        <v>4181.538666311727</v>
      </c>
      <c r="Z690" s="19" t="s">
        <v>73</v>
      </c>
      <c r="AA690" s="8" t="s">
        <v>125</v>
      </c>
      <c r="AB690" s="8" t="s">
        <v>75</v>
      </c>
      <c r="AC690" s="11" t="s">
        <v>112</v>
      </c>
      <c r="AD690" s="9" t="s">
        <v>85</v>
      </c>
      <c r="AE690" s="56">
        <f t="shared" si="21"/>
        <v>7.2382233599999992</v>
      </c>
      <c r="AF690" s="14">
        <v>7.2382233599999992</v>
      </c>
      <c r="AG690" s="13"/>
    </row>
    <row r="691" spans="1:41" x14ac:dyDescent="0.2">
      <c r="A691" s="5" t="s">
        <v>67</v>
      </c>
      <c r="B691" s="25">
        <v>43390</v>
      </c>
      <c r="C691" s="26">
        <v>0.58819444444444402</v>
      </c>
      <c r="D691" s="26" t="s">
        <v>124</v>
      </c>
      <c r="E691" s="5">
        <v>3</v>
      </c>
      <c r="F691" s="32">
        <v>62.5</v>
      </c>
      <c r="G691" s="9">
        <v>2</v>
      </c>
      <c r="H691" s="6">
        <v>3.2000000000000001E-2</v>
      </c>
      <c r="I691" s="7">
        <v>6.83E-2</v>
      </c>
      <c r="J691" s="9">
        <v>314.15899999999999</v>
      </c>
      <c r="K691" s="9">
        <v>0.75129999999999997</v>
      </c>
      <c r="L691" s="9">
        <v>11</v>
      </c>
      <c r="M691" s="14">
        <v>209.07693331558633</v>
      </c>
      <c r="N691" s="9">
        <v>1140</v>
      </c>
      <c r="O691" s="12" t="s">
        <v>126</v>
      </c>
      <c r="P691" s="12" t="s">
        <v>82</v>
      </c>
      <c r="Q691" s="9" t="s">
        <v>127</v>
      </c>
      <c r="R691" s="9" t="s">
        <v>128</v>
      </c>
      <c r="S691" s="9"/>
      <c r="T691" s="18">
        <v>1</v>
      </c>
      <c r="U691" s="18">
        <v>1</v>
      </c>
      <c r="V691" s="9">
        <v>16.7</v>
      </c>
      <c r="Y691" s="9">
        <f t="shared" si="20"/>
        <v>209.07693331558633</v>
      </c>
      <c r="Z691" s="19" t="s">
        <v>73</v>
      </c>
      <c r="AA691" s="8" t="s">
        <v>125</v>
      </c>
      <c r="AB691" s="8" t="s">
        <v>75</v>
      </c>
      <c r="AC691" s="11" t="s">
        <v>112</v>
      </c>
      <c r="AD691" s="9" t="s">
        <v>129</v>
      </c>
      <c r="AE691" s="56">
        <f t="shared" si="21"/>
        <v>7.0827146549999993</v>
      </c>
      <c r="AF691" s="14">
        <v>7.0827146549999993</v>
      </c>
      <c r="AG691" s="13"/>
    </row>
    <row r="692" spans="1:41" x14ac:dyDescent="0.2">
      <c r="A692" s="5" t="s">
        <v>67</v>
      </c>
      <c r="B692" s="25">
        <v>43390</v>
      </c>
      <c r="C692" s="26">
        <v>0.58819444444444402</v>
      </c>
      <c r="D692" s="26" t="s">
        <v>124</v>
      </c>
      <c r="E692" s="5">
        <v>3</v>
      </c>
      <c r="F692" s="32">
        <v>62.5</v>
      </c>
      <c r="G692" s="9">
        <v>2</v>
      </c>
      <c r="H692" s="6">
        <v>3.2000000000000001E-2</v>
      </c>
      <c r="I692" s="7">
        <v>6.83E-2</v>
      </c>
      <c r="J692" s="9">
        <v>314.15899999999999</v>
      </c>
      <c r="K692" s="9">
        <v>0.75129999999999997</v>
      </c>
      <c r="L692" s="9">
        <v>11</v>
      </c>
      <c r="M692" s="14">
        <v>209.07693331558633</v>
      </c>
      <c r="N692" s="9">
        <v>1419</v>
      </c>
      <c r="O692" s="12" t="s">
        <v>94</v>
      </c>
      <c r="P692" s="12" t="s">
        <v>82</v>
      </c>
      <c r="Q692" s="9" t="s">
        <v>95</v>
      </c>
      <c r="R692" s="9" t="s">
        <v>96</v>
      </c>
      <c r="S692" s="9"/>
      <c r="T692" s="18">
        <v>410</v>
      </c>
      <c r="U692" s="18">
        <v>828</v>
      </c>
      <c r="V692" s="9">
        <v>0.8</v>
      </c>
      <c r="W692" s="9">
        <v>0.8</v>
      </c>
      <c r="X692" s="9">
        <v>0.8</v>
      </c>
      <c r="Y692" s="9">
        <f t="shared" si="20"/>
        <v>85721.542659390398</v>
      </c>
      <c r="Z692" s="19" t="s">
        <v>97</v>
      </c>
      <c r="AA692" s="8" t="s">
        <v>125</v>
      </c>
      <c r="AB692" s="8" t="s">
        <v>75</v>
      </c>
      <c r="AC692" s="11" t="s">
        <v>112</v>
      </c>
      <c r="AD692" s="9" t="s">
        <v>85</v>
      </c>
      <c r="AE692" s="56">
        <f t="shared" si="21"/>
        <v>0.17999999999999997</v>
      </c>
      <c r="AF692" s="14">
        <v>0.18</v>
      </c>
      <c r="AG692" s="14">
        <v>0.18</v>
      </c>
      <c r="AH692" s="14">
        <v>0.18</v>
      </c>
      <c r="AI692" s="14">
        <v>0.18</v>
      </c>
      <c r="AJ692" s="14">
        <v>0.18</v>
      </c>
      <c r="AK692" s="14">
        <v>0.18</v>
      </c>
      <c r="AL692" s="14">
        <v>0.18</v>
      </c>
      <c r="AM692" s="14">
        <v>0.18</v>
      </c>
      <c r="AN692" s="14">
        <v>0.18</v>
      </c>
      <c r="AO692" s="14">
        <v>0.18</v>
      </c>
    </row>
    <row r="693" spans="1:41" x14ac:dyDescent="0.2">
      <c r="A693" s="5" t="s">
        <v>67</v>
      </c>
      <c r="B693" s="25">
        <v>43390</v>
      </c>
      <c r="C693" s="26">
        <v>0.58819444444444402</v>
      </c>
      <c r="D693" s="26" t="s">
        <v>124</v>
      </c>
      <c r="E693" s="5">
        <v>3</v>
      </c>
      <c r="F693" s="32">
        <v>62.5</v>
      </c>
      <c r="G693" s="9">
        <v>2</v>
      </c>
      <c r="H693" s="6">
        <v>3.2000000000000001E-2</v>
      </c>
      <c r="I693" s="7">
        <v>6.83E-2</v>
      </c>
      <c r="J693" s="9">
        <v>314.15899999999999</v>
      </c>
      <c r="K693" s="9">
        <v>0.75129999999999997</v>
      </c>
      <c r="L693" s="9">
        <v>11</v>
      </c>
      <c r="M693" s="14">
        <v>209.07693331558633</v>
      </c>
      <c r="N693" s="9">
        <v>1420</v>
      </c>
      <c r="O693" s="12" t="s">
        <v>98</v>
      </c>
      <c r="P693" s="12" t="s">
        <v>82</v>
      </c>
      <c r="Q693" s="9" t="s">
        <v>95</v>
      </c>
      <c r="R693" s="9" t="s">
        <v>99</v>
      </c>
      <c r="S693" s="9"/>
      <c r="T693" s="18">
        <v>1</v>
      </c>
      <c r="U693" s="18">
        <v>2</v>
      </c>
      <c r="V693" s="9">
        <v>1.9</v>
      </c>
      <c r="Y693" s="9">
        <f t="shared" si="20"/>
        <v>209.07693331558633</v>
      </c>
      <c r="Z693" s="19" t="s">
        <v>97</v>
      </c>
      <c r="AA693" s="8" t="s">
        <v>125</v>
      </c>
      <c r="AB693" s="8" t="s">
        <v>75</v>
      </c>
      <c r="AC693" s="11" t="s">
        <v>112</v>
      </c>
      <c r="AD693" s="9" t="s">
        <v>85</v>
      </c>
      <c r="AE693" s="56">
        <f t="shared" si="21"/>
        <v>3.5913609683333325</v>
      </c>
      <c r="AF693" s="14">
        <v>3.5913609683333325</v>
      </c>
      <c r="AG693" s="13"/>
    </row>
    <row r="694" spans="1:41" x14ac:dyDescent="0.2">
      <c r="A694" s="5" t="s">
        <v>67</v>
      </c>
      <c r="B694" s="25">
        <v>43390</v>
      </c>
      <c r="C694" s="26">
        <v>0.58819444444444402</v>
      </c>
      <c r="D694" s="26" t="s">
        <v>124</v>
      </c>
      <c r="E694" s="5">
        <v>3</v>
      </c>
      <c r="F694" s="32">
        <v>62.5</v>
      </c>
      <c r="G694" s="9">
        <v>2</v>
      </c>
      <c r="H694" s="6">
        <v>3.2000000000000001E-2</v>
      </c>
      <c r="I694" s="7">
        <v>6.83E-2</v>
      </c>
      <c r="J694" s="9">
        <v>314.15899999999999</v>
      </c>
      <c r="K694" s="9">
        <v>0.75129999999999997</v>
      </c>
      <c r="L694" s="9">
        <v>11</v>
      </c>
      <c r="M694" s="14">
        <v>209.07693331558633</v>
      </c>
      <c r="N694" s="9">
        <v>1421</v>
      </c>
      <c r="O694" s="12" t="s">
        <v>130</v>
      </c>
      <c r="P694" s="12" t="s">
        <v>82</v>
      </c>
      <c r="Q694" s="9" t="s">
        <v>95</v>
      </c>
      <c r="R694" s="9" t="s">
        <v>131</v>
      </c>
      <c r="S694" s="9"/>
      <c r="T694" s="18">
        <v>5</v>
      </c>
      <c r="U694" s="18">
        <v>6</v>
      </c>
      <c r="V694" s="9">
        <v>5.6</v>
      </c>
      <c r="Y694" s="9">
        <f t="shared" si="20"/>
        <v>1045.3846665779317</v>
      </c>
      <c r="Z694" s="19" t="s">
        <v>97</v>
      </c>
      <c r="AA694" s="8" t="s">
        <v>125</v>
      </c>
      <c r="AB694" s="8" t="s">
        <v>75</v>
      </c>
      <c r="AC694" s="11" t="s">
        <v>112</v>
      </c>
      <c r="AD694" s="9" t="s">
        <v>85</v>
      </c>
      <c r="AE694" s="56">
        <f t="shared" si="21"/>
        <v>82.447887960000003</v>
      </c>
      <c r="AF694" s="14">
        <v>82.447887960000003</v>
      </c>
      <c r="AG694" s="13"/>
    </row>
    <row r="695" spans="1:41" x14ac:dyDescent="0.2">
      <c r="A695" s="5" t="s">
        <v>67</v>
      </c>
      <c r="B695" s="25">
        <v>43390</v>
      </c>
      <c r="C695" s="26">
        <v>0.58819444444444402</v>
      </c>
      <c r="D695" s="26" t="s">
        <v>124</v>
      </c>
      <c r="E695" s="5">
        <v>3</v>
      </c>
      <c r="F695" s="32">
        <v>62.5</v>
      </c>
      <c r="G695" s="9">
        <v>2</v>
      </c>
      <c r="H695" s="6">
        <v>3.2000000000000001E-2</v>
      </c>
      <c r="I695" s="7">
        <v>6.83E-2</v>
      </c>
      <c r="J695" s="9">
        <v>314.15899999999999</v>
      </c>
      <c r="K695" s="9">
        <v>0.75129999999999997</v>
      </c>
      <c r="L695" s="9">
        <v>11</v>
      </c>
      <c r="M695" s="14">
        <v>209.07693331558633</v>
      </c>
      <c r="N695" s="9">
        <v>1508</v>
      </c>
      <c r="O695" s="12" t="s">
        <v>132</v>
      </c>
      <c r="P695" s="12" t="s">
        <v>82</v>
      </c>
      <c r="Q695" s="9" t="s">
        <v>133</v>
      </c>
      <c r="R695" s="9" t="s">
        <v>84</v>
      </c>
      <c r="S695" s="9"/>
      <c r="T695" s="18">
        <v>1</v>
      </c>
      <c r="U695" s="18">
        <v>28</v>
      </c>
      <c r="V695" s="9">
        <v>6.5</v>
      </c>
      <c r="Y695" s="9">
        <f t="shared" si="20"/>
        <v>209.07693331558633</v>
      </c>
      <c r="Z695" s="19" t="s">
        <v>134</v>
      </c>
      <c r="AA695" s="8" t="s">
        <v>125</v>
      </c>
      <c r="AB695" s="8" t="s">
        <v>75</v>
      </c>
      <c r="AC695" s="11" t="s">
        <v>112</v>
      </c>
      <c r="AD695" s="9" t="s">
        <v>104</v>
      </c>
      <c r="AE695" s="56">
        <f t="shared" si="21"/>
        <v>55.910877230000004</v>
      </c>
      <c r="AF695" s="14">
        <v>55.910877230000004</v>
      </c>
      <c r="AG695" s="13"/>
    </row>
    <row r="696" spans="1:41" x14ac:dyDescent="0.2">
      <c r="A696" s="5" t="s">
        <v>67</v>
      </c>
      <c r="B696" s="25">
        <v>43390</v>
      </c>
      <c r="C696" s="26">
        <v>0.59027777777777801</v>
      </c>
      <c r="D696" s="5" t="s">
        <v>200</v>
      </c>
      <c r="E696" s="5">
        <v>3</v>
      </c>
      <c r="F696" s="32">
        <v>62</v>
      </c>
      <c r="G696" s="9">
        <v>2</v>
      </c>
      <c r="H696" s="6">
        <v>3.2258064516129031E-2</v>
      </c>
      <c r="I696" s="7">
        <v>6.83E-2</v>
      </c>
      <c r="J696" s="9">
        <v>314.15899999999999</v>
      </c>
      <c r="K696" s="9">
        <v>0.68300000000000005</v>
      </c>
      <c r="L696" s="9">
        <v>10</v>
      </c>
      <c r="M696" s="14">
        <v>229.98462664714492</v>
      </c>
      <c r="N696" s="9">
        <v>749</v>
      </c>
      <c r="O696" s="12" t="s">
        <v>261</v>
      </c>
      <c r="P696" s="8" t="s">
        <v>70</v>
      </c>
      <c r="Q696" s="9" t="s">
        <v>191</v>
      </c>
      <c r="R696" s="9" t="s">
        <v>84</v>
      </c>
      <c r="S696" s="9"/>
      <c r="T696" s="18">
        <v>3</v>
      </c>
      <c r="U696" s="18">
        <v>3</v>
      </c>
      <c r="V696" s="9">
        <v>16.7</v>
      </c>
      <c r="Y696" s="9">
        <f t="shared" si="20"/>
        <v>689.95387994143482</v>
      </c>
      <c r="Z696" s="19" t="s">
        <v>73</v>
      </c>
      <c r="AA696" s="8" t="s">
        <v>262</v>
      </c>
      <c r="AB696" s="8" t="s">
        <v>75</v>
      </c>
      <c r="AC696" s="11" t="s">
        <v>76</v>
      </c>
      <c r="AD696" s="9" t="s">
        <v>193</v>
      </c>
      <c r="AE696" s="56">
        <f t="shared" si="21"/>
        <v>80.289999999999992</v>
      </c>
      <c r="AF696" s="14">
        <v>80.289999999999992</v>
      </c>
      <c r="AG696" s="13"/>
    </row>
    <row r="697" spans="1:41" x14ac:dyDescent="0.2">
      <c r="A697" s="5" t="s">
        <v>67</v>
      </c>
      <c r="B697" s="25">
        <v>43390</v>
      </c>
      <c r="C697" s="26">
        <v>0.59027777777777801</v>
      </c>
      <c r="D697" s="5" t="s">
        <v>200</v>
      </c>
      <c r="E697" s="5">
        <v>3</v>
      </c>
      <c r="F697" s="32">
        <v>62</v>
      </c>
      <c r="G697" s="9">
        <v>2</v>
      </c>
      <c r="H697" s="6">
        <v>3.2258064516129031E-2</v>
      </c>
      <c r="I697" s="7">
        <v>6.83E-2</v>
      </c>
      <c r="J697" s="9">
        <v>314.15899999999999</v>
      </c>
      <c r="K697" s="9">
        <v>0.68300000000000005</v>
      </c>
      <c r="L697" s="9">
        <v>10</v>
      </c>
      <c r="M697" s="14">
        <v>229.98462664714492</v>
      </c>
      <c r="N697" s="9">
        <v>1037</v>
      </c>
      <c r="O697" s="12" t="s">
        <v>86</v>
      </c>
      <c r="P697" s="12" t="s">
        <v>82</v>
      </c>
      <c r="Q697" s="9" t="s">
        <v>87</v>
      </c>
      <c r="R697" s="9" t="s">
        <v>84</v>
      </c>
      <c r="S697" s="9"/>
      <c r="T697" s="18">
        <v>5</v>
      </c>
      <c r="U697" s="18">
        <v>5</v>
      </c>
      <c r="V697" s="9">
        <v>2.8</v>
      </c>
      <c r="Y697" s="9">
        <f t="shared" si="20"/>
        <v>1149.9231332357247</v>
      </c>
      <c r="Z697" s="19" t="s">
        <v>73</v>
      </c>
      <c r="AA697" s="8" t="s">
        <v>262</v>
      </c>
      <c r="AB697" s="8" t="s">
        <v>75</v>
      </c>
      <c r="AC697" s="11" t="s">
        <v>76</v>
      </c>
      <c r="AD697" s="9" t="s">
        <v>85</v>
      </c>
      <c r="AE697" s="56">
        <f t="shared" si="21"/>
        <v>7.2382233599999992</v>
      </c>
      <c r="AF697" s="14">
        <v>7.2382233599999992</v>
      </c>
      <c r="AG697" s="13"/>
    </row>
    <row r="698" spans="1:41" x14ac:dyDescent="0.2">
      <c r="A698" s="5" t="s">
        <v>67</v>
      </c>
      <c r="B698" s="25">
        <v>43390</v>
      </c>
      <c r="C698" s="26">
        <v>0.59027777777777801</v>
      </c>
      <c r="D698" s="5" t="s">
        <v>200</v>
      </c>
      <c r="E698" s="5">
        <v>3</v>
      </c>
      <c r="F698" s="32">
        <v>62</v>
      </c>
      <c r="G698" s="9">
        <v>2</v>
      </c>
      <c r="H698" s="6">
        <v>3.2258064516129031E-2</v>
      </c>
      <c r="I698" s="7">
        <v>6.83E-2</v>
      </c>
      <c r="J698" s="9">
        <v>314.15899999999999</v>
      </c>
      <c r="K698" s="9">
        <v>0.68300000000000005</v>
      </c>
      <c r="L698" s="9">
        <v>10</v>
      </c>
      <c r="M698" s="14">
        <v>229.98462664714492</v>
      </c>
      <c r="N698" s="9">
        <v>1365</v>
      </c>
      <c r="O698" s="12" t="s">
        <v>121</v>
      </c>
      <c r="P698" s="12" t="s">
        <v>82</v>
      </c>
      <c r="Q698" s="9" t="s">
        <v>122</v>
      </c>
      <c r="R698" s="9" t="s">
        <v>123</v>
      </c>
      <c r="S698" s="9"/>
      <c r="T698" s="18">
        <v>2</v>
      </c>
      <c r="U698" s="18">
        <v>2</v>
      </c>
      <c r="V698" s="9">
        <v>11.1</v>
      </c>
      <c r="Y698" s="9">
        <f t="shared" si="20"/>
        <v>459.96925329428984</v>
      </c>
      <c r="Z698" s="19" t="s">
        <v>73</v>
      </c>
      <c r="AA698" s="8" t="s">
        <v>262</v>
      </c>
      <c r="AB698" s="8" t="s">
        <v>75</v>
      </c>
      <c r="AC698" s="11" t="s">
        <v>76</v>
      </c>
      <c r="AD698" s="9" t="s">
        <v>91</v>
      </c>
      <c r="AE698" s="56">
        <f t="shared" si="21"/>
        <v>596.74109351249979</v>
      </c>
      <c r="AF698" s="14">
        <v>596.74109351249979</v>
      </c>
      <c r="AG698" s="13"/>
    </row>
    <row r="699" spans="1:41" x14ac:dyDescent="0.2">
      <c r="A699" s="5" t="s">
        <v>67</v>
      </c>
      <c r="B699" s="25">
        <v>43390</v>
      </c>
      <c r="C699" s="26">
        <v>0.59027777777777801</v>
      </c>
      <c r="D699" s="5" t="s">
        <v>200</v>
      </c>
      <c r="E699" s="5">
        <v>3</v>
      </c>
      <c r="F699" s="32">
        <v>62</v>
      </c>
      <c r="G699" s="9">
        <v>2</v>
      </c>
      <c r="H699" s="6">
        <v>3.2258064516129031E-2</v>
      </c>
      <c r="I699" s="7">
        <v>6.83E-2</v>
      </c>
      <c r="J699" s="9">
        <v>314.15899999999999</v>
      </c>
      <c r="K699" s="9">
        <v>0.68300000000000005</v>
      </c>
      <c r="L699" s="9">
        <v>10</v>
      </c>
      <c r="M699" s="14">
        <v>229.98462664714492</v>
      </c>
      <c r="N699" s="9">
        <v>1419</v>
      </c>
      <c r="O699" s="12" t="s">
        <v>94</v>
      </c>
      <c r="P699" s="12" t="s">
        <v>82</v>
      </c>
      <c r="Q699" s="9" t="s">
        <v>95</v>
      </c>
      <c r="R699" s="9" t="s">
        <v>96</v>
      </c>
      <c r="S699" s="9"/>
      <c r="T699" s="18">
        <v>401</v>
      </c>
      <c r="U699" s="18">
        <v>811</v>
      </c>
      <c r="V699" s="9">
        <v>0.8</v>
      </c>
      <c r="W699" s="9">
        <v>0.8</v>
      </c>
      <c r="X699" s="9">
        <v>0.8</v>
      </c>
      <c r="Y699" s="9">
        <f t="shared" si="20"/>
        <v>92223.835285505105</v>
      </c>
      <c r="Z699" s="19" t="s">
        <v>97</v>
      </c>
      <c r="AA699" s="8" t="s">
        <v>262</v>
      </c>
      <c r="AB699" s="8" t="s">
        <v>75</v>
      </c>
      <c r="AC699" s="11" t="s">
        <v>76</v>
      </c>
      <c r="AD699" s="9" t="s">
        <v>85</v>
      </c>
      <c r="AE699" s="56">
        <f t="shared" si="21"/>
        <v>0.17999999999999997</v>
      </c>
      <c r="AF699" s="14">
        <v>0.18</v>
      </c>
      <c r="AG699" s="14">
        <v>0.18</v>
      </c>
      <c r="AH699" s="14">
        <v>0.18</v>
      </c>
      <c r="AI699" s="14">
        <v>0.18</v>
      </c>
      <c r="AJ699" s="14">
        <v>0.18</v>
      </c>
      <c r="AK699" s="14">
        <v>0.18</v>
      </c>
      <c r="AL699" s="14">
        <v>0.18</v>
      </c>
      <c r="AM699" s="14">
        <v>0.18</v>
      </c>
      <c r="AN699" s="14">
        <v>0.18</v>
      </c>
      <c r="AO699" s="14">
        <v>0.18</v>
      </c>
    </row>
    <row r="700" spans="1:41" x14ac:dyDescent="0.2">
      <c r="A700" s="5" t="s">
        <v>67</v>
      </c>
      <c r="B700" s="25">
        <v>43390</v>
      </c>
      <c r="C700" s="26">
        <v>0.59027777777777801</v>
      </c>
      <c r="D700" s="5" t="s">
        <v>200</v>
      </c>
      <c r="E700" s="5">
        <v>3</v>
      </c>
      <c r="F700" s="32">
        <v>62</v>
      </c>
      <c r="G700" s="9">
        <v>2</v>
      </c>
      <c r="H700" s="6">
        <v>3.2258064516129031E-2</v>
      </c>
      <c r="I700" s="7">
        <v>6.83E-2</v>
      </c>
      <c r="J700" s="9">
        <v>314.15899999999999</v>
      </c>
      <c r="K700" s="9">
        <v>0.68300000000000005</v>
      </c>
      <c r="L700" s="9">
        <v>10</v>
      </c>
      <c r="M700" s="14">
        <v>229.98462664714492</v>
      </c>
      <c r="N700" s="9">
        <v>1526</v>
      </c>
      <c r="O700" s="8" t="s">
        <v>156</v>
      </c>
      <c r="P700" s="12" t="s">
        <v>82</v>
      </c>
      <c r="Q700" s="9" t="s">
        <v>157</v>
      </c>
      <c r="R700" s="9" t="s">
        <v>84</v>
      </c>
      <c r="S700" s="9"/>
      <c r="T700" s="18">
        <v>1</v>
      </c>
      <c r="U700" s="18">
        <v>2</v>
      </c>
      <c r="V700" s="9">
        <v>2.8</v>
      </c>
      <c r="Y700" s="9">
        <f t="shared" si="20"/>
        <v>229.98462664714492</v>
      </c>
      <c r="Z700" s="19" t="s">
        <v>97</v>
      </c>
      <c r="AA700" s="8" t="s">
        <v>262</v>
      </c>
      <c r="AB700" s="8" t="s">
        <v>75</v>
      </c>
      <c r="AC700" s="11" t="s">
        <v>76</v>
      </c>
      <c r="AD700" s="9" t="s">
        <v>85</v>
      </c>
      <c r="AE700" s="56">
        <f t="shared" si="21"/>
        <v>11.494030613333329</v>
      </c>
      <c r="AF700" s="14">
        <v>11.494030613333329</v>
      </c>
      <c r="AG700" s="13"/>
    </row>
    <row r="701" spans="1:41" x14ac:dyDescent="0.2">
      <c r="A701" s="5" t="s">
        <v>67</v>
      </c>
      <c r="B701" s="25">
        <v>43390</v>
      </c>
      <c r="C701" s="26">
        <v>0.62013888888888902</v>
      </c>
      <c r="D701" s="5" t="s">
        <v>135</v>
      </c>
      <c r="E701" s="5"/>
      <c r="F701" s="32">
        <v>64</v>
      </c>
      <c r="G701" s="9">
        <v>2</v>
      </c>
      <c r="H701" s="6">
        <v>3.125E-2</v>
      </c>
      <c r="I701" s="7">
        <v>6.83E-2</v>
      </c>
      <c r="J701" s="9">
        <v>314.15899999999999</v>
      </c>
      <c r="K701" s="9">
        <v>0.61470000000000002</v>
      </c>
      <c r="L701" s="9">
        <v>9</v>
      </c>
      <c r="M701" s="14">
        <v>255.53847405238326</v>
      </c>
      <c r="N701" s="9">
        <v>190</v>
      </c>
      <c r="O701" s="12" t="s">
        <v>102</v>
      </c>
      <c r="P701" s="8" t="s">
        <v>70</v>
      </c>
      <c r="Q701" s="9" t="s">
        <v>103</v>
      </c>
      <c r="R701" s="9" t="s">
        <v>84</v>
      </c>
      <c r="S701" s="9"/>
      <c r="T701" s="18">
        <v>2</v>
      </c>
      <c r="U701" s="18">
        <v>2</v>
      </c>
      <c r="V701" s="9">
        <v>7.4</v>
      </c>
      <c r="Y701" s="9">
        <f t="shared" si="20"/>
        <v>511.07694810476653</v>
      </c>
      <c r="Z701" s="19" t="s">
        <v>73</v>
      </c>
      <c r="AA701" s="8" t="s">
        <v>136</v>
      </c>
      <c r="AB701" s="8" t="s">
        <v>75</v>
      </c>
      <c r="AC701" s="11" t="s">
        <v>76</v>
      </c>
      <c r="AD701" s="9" t="s">
        <v>104</v>
      </c>
      <c r="AE701" s="56">
        <f t="shared" si="21"/>
        <v>132.88925699999999</v>
      </c>
      <c r="AF701" s="14">
        <v>132.88925699999999</v>
      </c>
      <c r="AG701" s="13"/>
    </row>
    <row r="702" spans="1:41" x14ac:dyDescent="0.2">
      <c r="A702" s="5" t="s">
        <v>67</v>
      </c>
      <c r="B702" s="25">
        <v>43390</v>
      </c>
      <c r="C702" s="26">
        <v>0.62013888888888902</v>
      </c>
      <c r="D702" s="5" t="s">
        <v>135</v>
      </c>
      <c r="E702" s="5"/>
      <c r="F702" s="32">
        <v>64</v>
      </c>
      <c r="G702" s="9">
        <v>2</v>
      </c>
      <c r="H702" s="6">
        <v>3.125E-2</v>
      </c>
      <c r="I702" s="7">
        <v>6.83E-2</v>
      </c>
      <c r="J702" s="9">
        <v>314.15899999999999</v>
      </c>
      <c r="K702" s="9">
        <v>0.61470000000000002</v>
      </c>
      <c r="L702" s="9">
        <v>9</v>
      </c>
      <c r="M702" s="14">
        <v>255.53847405238326</v>
      </c>
      <c r="N702" s="9">
        <v>1860</v>
      </c>
      <c r="O702" s="8" t="s">
        <v>137</v>
      </c>
      <c r="P702" s="8" t="s">
        <v>70</v>
      </c>
      <c r="Q702" s="9" t="s">
        <v>138</v>
      </c>
      <c r="R702" s="9" t="s">
        <v>139</v>
      </c>
      <c r="S702" s="9"/>
      <c r="T702" s="18">
        <v>1</v>
      </c>
      <c r="U702" s="18">
        <v>1</v>
      </c>
      <c r="V702" s="9">
        <v>9.3000000000000007</v>
      </c>
      <c r="Y702" s="9">
        <f t="shared" si="20"/>
        <v>255.53847405238326</v>
      </c>
      <c r="Z702" s="19" t="s">
        <v>73</v>
      </c>
      <c r="AA702" s="8" t="s">
        <v>136</v>
      </c>
      <c r="AB702" s="8" t="s">
        <v>75</v>
      </c>
      <c r="AC702" s="11" t="s">
        <v>76</v>
      </c>
      <c r="AD702" s="9" t="s">
        <v>140</v>
      </c>
      <c r="AE702" s="56">
        <f t="shared" si="21"/>
        <v>57.264902519999993</v>
      </c>
      <c r="AF702" s="14">
        <v>57.264902519999993</v>
      </c>
      <c r="AG702" s="13"/>
    </row>
    <row r="703" spans="1:41" x14ac:dyDescent="0.2">
      <c r="A703" s="5" t="s">
        <v>67</v>
      </c>
      <c r="B703" s="25">
        <v>43390</v>
      </c>
      <c r="C703" s="26">
        <v>0.62013888888888902</v>
      </c>
      <c r="D703" s="5" t="s">
        <v>135</v>
      </c>
      <c r="E703" s="5"/>
      <c r="F703" s="32">
        <v>64</v>
      </c>
      <c r="G703" s="9">
        <v>2</v>
      </c>
      <c r="H703" s="6">
        <v>3.125E-2</v>
      </c>
      <c r="I703" s="7">
        <v>6.83E-2</v>
      </c>
      <c r="J703" s="9">
        <v>314.15899999999999</v>
      </c>
      <c r="K703" s="9">
        <v>0.61470000000000002</v>
      </c>
      <c r="L703" s="9">
        <v>9</v>
      </c>
      <c r="M703" s="14">
        <v>255.53847405238326</v>
      </c>
      <c r="N703" s="9">
        <v>1031</v>
      </c>
      <c r="O703" s="12" t="s">
        <v>81</v>
      </c>
      <c r="P703" s="12" t="s">
        <v>82</v>
      </c>
      <c r="Q703" s="9" t="s">
        <v>83</v>
      </c>
      <c r="R703" s="9" t="s">
        <v>84</v>
      </c>
      <c r="S703" s="9"/>
      <c r="T703" s="18">
        <v>1</v>
      </c>
      <c r="U703" s="18">
        <v>1</v>
      </c>
      <c r="V703" s="9">
        <v>4.5999999999999996</v>
      </c>
      <c r="Y703" s="9">
        <f t="shared" si="20"/>
        <v>255.53847405238326</v>
      </c>
      <c r="Z703" s="19" t="s">
        <v>73</v>
      </c>
      <c r="AA703" s="8" t="s">
        <v>136</v>
      </c>
      <c r="AB703" s="8" t="s">
        <v>75</v>
      </c>
      <c r="AC703" s="11" t="s">
        <v>76</v>
      </c>
      <c r="AD703" s="9" t="s">
        <v>85</v>
      </c>
      <c r="AE703" s="56">
        <f t="shared" si="21"/>
        <v>40.993560713333324</v>
      </c>
      <c r="AF703" s="14">
        <v>40.993560713333324</v>
      </c>
      <c r="AG703" s="13"/>
    </row>
    <row r="704" spans="1:41" x14ac:dyDescent="0.2">
      <c r="A704" s="5" t="s">
        <v>67</v>
      </c>
      <c r="B704" s="25">
        <v>43390</v>
      </c>
      <c r="C704" s="26">
        <v>0.62013888888888902</v>
      </c>
      <c r="D704" s="5" t="s">
        <v>135</v>
      </c>
      <c r="E704" s="5"/>
      <c r="F704" s="32">
        <v>64</v>
      </c>
      <c r="G704" s="9">
        <v>2</v>
      </c>
      <c r="H704" s="6">
        <v>3.125E-2</v>
      </c>
      <c r="I704" s="7">
        <v>6.83E-2</v>
      </c>
      <c r="J704" s="9">
        <v>314.15899999999999</v>
      </c>
      <c r="K704" s="9">
        <v>0.61470000000000002</v>
      </c>
      <c r="L704" s="9">
        <v>9</v>
      </c>
      <c r="M704" s="14">
        <v>255.53847405238326</v>
      </c>
      <c r="N704" s="9">
        <v>1037</v>
      </c>
      <c r="O704" s="12" t="s">
        <v>86</v>
      </c>
      <c r="P704" s="12" t="s">
        <v>82</v>
      </c>
      <c r="Q704" s="9" t="s">
        <v>87</v>
      </c>
      <c r="R704" s="9" t="s">
        <v>84</v>
      </c>
      <c r="S704" s="9"/>
      <c r="T704" s="18">
        <v>11</v>
      </c>
      <c r="U704" s="18">
        <v>11</v>
      </c>
      <c r="V704" s="9">
        <v>2.8</v>
      </c>
      <c r="Y704" s="9">
        <f t="shared" si="20"/>
        <v>2810.9232145762157</v>
      </c>
      <c r="Z704" s="19" t="s">
        <v>73</v>
      </c>
      <c r="AA704" s="8" t="s">
        <v>136</v>
      </c>
      <c r="AB704" s="8" t="s">
        <v>75</v>
      </c>
      <c r="AC704" s="11" t="s">
        <v>76</v>
      </c>
      <c r="AD704" s="9" t="s">
        <v>85</v>
      </c>
      <c r="AE704" s="56">
        <f t="shared" si="21"/>
        <v>4.8490441650000005</v>
      </c>
      <c r="AF704" s="14">
        <v>4.8490441650000005</v>
      </c>
      <c r="AG704" s="13"/>
    </row>
    <row r="705" spans="1:41" x14ac:dyDescent="0.2">
      <c r="A705" s="5" t="s">
        <v>67</v>
      </c>
      <c r="B705" s="25">
        <v>43390</v>
      </c>
      <c r="C705" s="26">
        <v>0.62013888888888902</v>
      </c>
      <c r="D705" s="5" t="s">
        <v>135</v>
      </c>
      <c r="E705" s="5"/>
      <c r="F705" s="32">
        <v>64</v>
      </c>
      <c r="G705" s="9">
        <v>2</v>
      </c>
      <c r="H705" s="6">
        <v>3.125E-2</v>
      </c>
      <c r="I705" s="7">
        <v>6.83E-2</v>
      </c>
      <c r="J705" s="9">
        <v>314.15899999999999</v>
      </c>
      <c r="K705" s="9">
        <v>0.61470000000000002</v>
      </c>
      <c r="L705" s="9">
        <v>9</v>
      </c>
      <c r="M705" s="14">
        <v>255.53847405238326</v>
      </c>
      <c r="N705" s="9">
        <v>1364</v>
      </c>
      <c r="O705" s="12" t="s">
        <v>88</v>
      </c>
      <c r="P705" s="12" t="s">
        <v>82</v>
      </c>
      <c r="Q705" s="9" t="s">
        <v>89</v>
      </c>
      <c r="R705" s="9" t="s">
        <v>90</v>
      </c>
      <c r="S705" s="9"/>
      <c r="T705" s="18">
        <v>1</v>
      </c>
      <c r="U705" s="18">
        <v>1</v>
      </c>
      <c r="V705" s="9">
        <v>8.1999999999999993</v>
      </c>
      <c r="Y705" s="9">
        <f t="shared" si="20"/>
        <v>255.53847405238326</v>
      </c>
      <c r="Z705" s="19" t="s">
        <v>73</v>
      </c>
      <c r="AA705" s="8" t="s">
        <v>136</v>
      </c>
      <c r="AB705" s="8" t="s">
        <v>75</v>
      </c>
      <c r="AC705" s="11" t="s">
        <v>76</v>
      </c>
      <c r="AD705" s="9" t="s">
        <v>91</v>
      </c>
      <c r="AE705" s="56">
        <f t="shared" si="21"/>
        <v>242.92658833999991</v>
      </c>
      <c r="AF705" s="14">
        <v>242.92658833999991</v>
      </c>
      <c r="AG705" s="13"/>
    </row>
    <row r="706" spans="1:41" x14ac:dyDescent="0.2">
      <c r="A706" s="5" t="s">
        <v>67</v>
      </c>
      <c r="B706" s="25">
        <v>43390</v>
      </c>
      <c r="C706" s="26">
        <v>0.62013888888888902</v>
      </c>
      <c r="D706" s="5" t="s">
        <v>135</v>
      </c>
      <c r="E706" s="5"/>
      <c r="F706" s="32">
        <v>64</v>
      </c>
      <c r="G706" s="9">
        <v>2</v>
      </c>
      <c r="H706" s="6">
        <v>3.125E-2</v>
      </c>
      <c r="I706" s="7">
        <v>6.83E-2</v>
      </c>
      <c r="J706" s="9">
        <v>314.15899999999999</v>
      </c>
      <c r="K706" s="9">
        <v>0.61470000000000002</v>
      </c>
      <c r="L706" s="9">
        <v>9</v>
      </c>
      <c r="M706" s="14">
        <v>255.53847405238326</v>
      </c>
      <c r="N706" s="9">
        <v>1733</v>
      </c>
      <c r="O706" s="12" t="s">
        <v>92</v>
      </c>
      <c r="P706" s="12" t="s">
        <v>82</v>
      </c>
      <c r="Q706" s="9" t="s">
        <v>89</v>
      </c>
      <c r="R706" s="9" t="s">
        <v>93</v>
      </c>
      <c r="S706" s="9"/>
      <c r="T706" s="18">
        <v>1</v>
      </c>
      <c r="U706" s="18">
        <v>1</v>
      </c>
      <c r="V706" s="9">
        <v>7.4</v>
      </c>
      <c r="Y706" s="9">
        <f t="shared" si="20"/>
        <v>255.53847405238326</v>
      </c>
      <c r="Z706" s="19" t="s">
        <v>73</v>
      </c>
      <c r="AA706" s="8" t="s">
        <v>136</v>
      </c>
      <c r="AB706" s="8" t="s">
        <v>75</v>
      </c>
      <c r="AC706" s="11" t="s">
        <v>76</v>
      </c>
      <c r="AD706" s="9" t="s">
        <v>91</v>
      </c>
      <c r="AE706" s="56">
        <f t="shared" si="21"/>
        <v>172.0334684</v>
      </c>
      <c r="AF706" s="14">
        <v>172.0334684</v>
      </c>
      <c r="AG706" s="13"/>
    </row>
    <row r="707" spans="1:41" x14ac:dyDescent="0.2">
      <c r="A707" s="5" t="s">
        <v>67</v>
      </c>
      <c r="B707" s="25">
        <v>43390</v>
      </c>
      <c r="C707" s="26">
        <v>0.62013888888888902</v>
      </c>
      <c r="D707" s="5" t="s">
        <v>135</v>
      </c>
      <c r="E707" s="5"/>
      <c r="F707" s="32">
        <v>64</v>
      </c>
      <c r="G707" s="9">
        <v>2</v>
      </c>
      <c r="H707" s="6">
        <v>3.125E-2</v>
      </c>
      <c r="I707" s="7">
        <v>6.83E-2</v>
      </c>
      <c r="J707" s="9">
        <v>314.15899999999999</v>
      </c>
      <c r="K707" s="9">
        <v>0.61470000000000002</v>
      </c>
      <c r="L707" s="9">
        <v>9</v>
      </c>
      <c r="M707" s="14">
        <v>255.53847405238326</v>
      </c>
      <c r="N707" s="9">
        <v>1419</v>
      </c>
      <c r="O707" s="12" t="s">
        <v>94</v>
      </c>
      <c r="P707" s="12" t="s">
        <v>82</v>
      </c>
      <c r="Q707" s="9" t="s">
        <v>95</v>
      </c>
      <c r="R707" s="9" t="s">
        <v>96</v>
      </c>
      <c r="S707" s="9"/>
      <c r="T707" s="18">
        <v>366</v>
      </c>
      <c r="U707" s="18">
        <v>738</v>
      </c>
      <c r="V707" s="9">
        <v>0.8</v>
      </c>
      <c r="W707" s="9">
        <v>0.8</v>
      </c>
      <c r="X707" s="9">
        <v>0.8</v>
      </c>
      <c r="Y707" s="9">
        <f t="shared" ref="Y707:Y713" si="22">(T707*J707)/(G707*I707*L707)</f>
        <v>93527.081503172274</v>
      </c>
      <c r="Z707" s="19" t="s">
        <v>97</v>
      </c>
      <c r="AA707" s="8" t="s">
        <v>136</v>
      </c>
      <c r="AB707" s="8" t="s">
        <v>75</v>
      </c>
      <c r="AC707" s="11" t="s">
        <v>76</v>
      </c>
      <c r="AD707" s="9" t="s">
        <v>85</v>
      </c>
      <c r="AE707" s="56">
        <f t="shared" ref="AE707:AE713" si="23">AVERAGE(AF707:AO707)</f>
        <v>0.17999999999999997</v>
      </c>
      <c r="AF707" s="14">
        <v>0.18</v>
      </c>
      <c r="AG707" s="14">
        <v>0.18</v>
      </c>
      <c r="AH707" s="14">
        <v>0.18</v>
      </c>
      <c r="AI707" s="14">
        <v>0.18</v>
      </c>
      <c r="AJ707" s="14">
        <v>0.18</v>
      </c>
      <c r="AK707" s="14">
        <v>0.18</v>
      </c>
      <c r="AL707" s="14">
        <v>0.18</v>
      </c>
      <c r="AM707" s="14">
        <v>0.18</v>
      </c>
      <c r="AN707" s="14">
        <v>0.18</v>
      </c>
      <c r="AO707" s="14">
        <v>0.18</v>
      </c>
    </row>
    <row r="708" spans="1:41" x14ac:dyDescent="0.2">
      <c r="A708" s="5" t="s">
        <v>67</v>
      </c>
      <c r="B708" s="25">
        <v>43390</v>
      </c>
      <c r="C708" s="26">
        <v>0.62013888888888902</v>
      </c>
      <c r="D708" s="5" t="s">
        <v>135</v>
      </c>
      <c r="E708" s="5"/>
      <c r="F708" s="32">
        <v>64</v>
      </c>
      <c r="G708" s="9">
        <v>2</v>
      </c>
      <c r="H708" s="6">
        <v>3.125E-2</v>
      </c>
      <c r="I708" s="7">
        <v>6.83E-2</v>
      </c>
      <c r="J708" s="9">
        <v>314.15899999999999</v>
      </c>
      <c r="K708" s="9">
        <v>0.61470000000000002</v>
      </c>
      <c r="L708" s="9">
        <v>9</v>
      </c>
      <c r="M708" s="14">
        <v>255.53847405238326</v>
      </c>
      <c r="N708" s="9">
        <v>1421</v>
      </c>
      <c r="O708" s="12" t="s">
        <v>130</v>
      </c>
      <c r="P708" s="12" t="s">
        <v>82</v>
      </c>
      <c r="Q708" s="9" t="s">
        <v>95</v>
      </c>
      <c r="R708" s="9" t="s">
        <v>131</v>
      </c>
      <c r="S708" s="9"/>
      <c r="T708" s="18">
        <v>34</v>
      </c>
      <c r="U708" s="18">
        <v>37</v>
      </c>
      <c r="V708" s="9">
        <v>5.6</v>
      </c>
      <c r="Y708" s="9">
        <f t="shared" si="22"/>
        <v>8688.3081177810309</v>
      </c>
      <c r="Z708" s="19" t="s">
        <v>97</v>
      </c>
      <c r="AA708" s="8" t="s">
        <v>136</v>
      </c>
      <c r="AB708" s="8" t="s">
        <v>75</v>
      </c>
      <c r="AC708" s="11" t="s">
        <v>76</v>
      </c>
      <c r="AD708" s="9" t="s">
        <v>85</v>
      </c>
      <c r="AE708" s="56">
        <f t="shared" si="23"/>
        <v>82.447887960000003</v>
      </c>
      <c r="AF708" s="14">
        <v>82.447887960000003</v>
      </c>
      <c r="AG708" s="13"/>
    </row>
    <row r="709" spans="1:41" x14ac:dyDescent="0.2">
      <c r="A709" s="5" t="s">
        <v>67</v>
      </c>
      <c r="B709" s="25">
        <v>43390</v>
      </c>
      <c r="C709" s="26">
        <v>0.62777777777777799</v>
      </c>
      <c r="D709" s="5" t="s">
        <v>116</v>
      </c>
      <c r="E709" s="5"/>
      <c r="F709" s="32">
        <v>61.5</v>
      </c>
      <c r="G709" s="9">
        <v>2</v>
      </c>
      <c r="H709" s="6">
        <v>3.2520325203252036E-2</v>
      </c>
      <c r="I709" s="7">
        <v>6.83E-2</v>
      </c>
      <c r="J709" s="9">
        <v>314.15899999999999</v>
      </c>
      <c r="K709" s="9">
        <v>0.5464</v>
      </c>
      <c r="L709" s="9">
        <v>8</v>
      </c>
      <c r="M709" s="14">
        <v>287.48078330893117</v>
      </c>
      <c r="N709" s="9">
        <v>1037</v>
      </c>
      <c r="O709" s="12" t="s">
        <v>86</v>
      </c>
      <c r="P709" s="12" t="s">
        <v>82</v>
      </c>
      <c r="Q709" s="9" t="s">
        <v>87</v>
      </c>
      <c r="R709" s="9" t="s">
        <v>84</v>
      </c>
      <c r="S709" s="9"/>
      <c r="T709" s="18">
        <v>14</v>
      </c>
      <c r="U709" s="18">
        <v>14</v>
      </c>
      <c r="V709" s="9">
        <v>2.8</v>
      </c>
      <c r="Y709" s="9">
        <f t="shared" si="22"/>
        <v>4024.7309663250362</v>
      </c>
      <c r="Z709" s="19" t="s">
        <v>73</v>
      </c>
      <c r="AA709" s="8" t="s">
        <v>117</v>
      </c>
      <c r="AB709" s="8" t="s">
        <v>75</v>
      </c>
      <c r="AC709" s="11" t="s">
        <v>76</v>
      </c>
      <c r="AD709" s="9" t="s">
        <v>85</v>
      </c>
      <c r="AE709" s="56">
        <f t="shared" si="23"/>
        <v>6.3706209216666645</v>
      </c>
      <c r="AF709" s="14">
        <v>6.3706209216666645</v>
      </c>
      <c r="AG709" s="13"/>
    </row>
    <row r="710" spans="1:41" x14ac:dyDescent="0.2">
      <c r="A710" s="5" t="s">
        <v>67</v>
      </c>
      <c r="B710" s="25">
        <v>43390</v>
      </c>
      <c r="C710" s="26">
        <v>0.62777777777777799</v>
      </c>
      <c r="D710" s="5" t="s">
        <v>116</v>
      </c>
      <c r="E710" s="5"/>
      <c r="F710" s="32">
        <v>61.5</v>
      </c>
      <c r="G710" s="9">
        <v>2</v>
      </c>
      <c r="H710" s="6">
        <v>3.2520325203252036E-2</v>
      </c>
      <c r="I710" s="7">
        <v>6.83E-2</v>
      </c>
      <c r="J710" s="9">
        <v>314.15899999999999</v>
      </c>
      <c r="K710" s="9">
        <v>0.5464</v>
      </c>
      <c r="L710" s="9">
        <v>8</v>
      </c>
      <c r="M710" s="14">
        <v>287.48078330893117</v>
      </c>
      <c r="N710" s="9">
        <v>1352</v>
      </c>
      <c r="O710" s="12" t="s">
        <v>118</v>
      </c>
      <c r="P710" s="12" t="s">
        <v>82</v>
      </c>
      <c r="Q710" s="9" t="s">
        <v>119</v>
      </c>
      <c r="R710" s="9" t="s">
        <v>84</v>
      </c>
      <c r="S710" s="9"/>
      <c r="T710" s="18">
        <v>1</v>
      </c>
      <c r="U710" s="18">
        <v>1</v>
      </c>
      <c r="V710" s="9">
        <v>20.399999999999999</v>
      </c>
      <c r="Y710" s="9">
        <f t="shared" si="22"/>
        <v>287.48078330893117</v>
      </c>
      <c r="Z710" s="19" t="s">
        <v>73</v>
      </c>
      <c r="AA710" s="8" t="s">
        <v>117</v>
      </c>
      <c r="AB710" s="8" t="s">
        <v>75</v>
      </c>
      <c r="AC710" s="11" t="s">
        <v>76</v>
      </c>
      <c r="AD710" s="9" t="s">
        <v>120</v>
      </c>
      <c r="AE710" s="56">
        <f t="shared" si="23"/>
        <v>2339.6551702399997</v>
      </c>
      <c r="AF710" s="14">
        <v>2339.6551702399997</v>
      </c>
      <c r="AG710" s="13"/>
    </row>
    <row r="711" spans="1:41" x14ac:dyDescent="0.2">
      <c r="A711" s="5" t="s">
        <v>67</v>
      </c>
      <c r="B711" s="25">
        <v>43390</v>
      </c>
      <c r="C711" s="26">
        <v>0.62777777777777799</v>
      </c>
      <c r="D711" s="5" t="s">
        <v>116</v>
      </c>
      <c r="E711" s="5"/>
      <c r="F711" s="32">
        <v>61.5</v>
      </c>
      <c r="G711" s="9">
        <v>2</v>
      </c>
      <c r="H711" s="6">
        <v>3.2520325203252036E-2</v>
      </c>
      <c r="I711" s="7">
        <v>6.83E-2</v>
      </c>
      <c r="J711" s="9">
        <v>314.15899999999999</v>
      </c>
      <c r="K711" s="9">
        <v>0.5464</v>
      </c>
      <c r="L711" s="9">
        <v>8</v>
      </c>
      <c r="M711" s="14">
        <v>287.48078330893117</v>
      </c>
      <c r="N711" s="9">
        <v>1364</v>
      </c>
      <c r="O711" s="12" t="s">
        <v>88</v>
      </c>
      <c r="P711" s="12" t="s">
        <v>82</v>
      </c>
      <c r="Q711" s="9" t="s">
        <v>89</v>
      </c>
      <c r="R711" s="9" t="s">
        <v>90</v>
      </c>
      <c r="S711" s="9"/>
      <c r="T711" s="18">
        <v>1</v>
      </c>
      <c r="U711" s="18">
        <v>1</v>
      </c>
      <c r="V711" s="9">
        <v>9.3000000000000007</v>
      </c>
      <c r="Y711" s="9">
        <f t="shared" si="22"/>
        <v>287.48078330893117</v>
      </c>
      <c r="Z711" s="19" t="s">
        <v>73</v>
      </c>
      <c r="AA711" s="8" t="s">
        <v>117</v>
      </c>
      <c r="AB711" s="8" t="s">
        <v>75</v>
      </c>
      <c r="AC711" s="11" t="s">
        <v>76</v>
      </c>
      <c r="AD711" s="9" t="s">
        <v>91</v>
      </c>
      <c r="AE711" s="56">
        <f t="shared" si="23"/>
        <v>337.38084788249995</v>
      </c>
      <c r="AF711" s="14">
        <v>337.38084788249995</v>
      </c>
      <c r="AG711" s="13"/>
    </row>
    <row r="712" spans="1:41" x14ac:dyDescent="0.2">
      <c r="A712" s="5" t="s">
        <v>67</v>
      </c>
      <c r="B712" s="25">
        <v>43390</v>
      </c>
      <c r="C712" s="26">
        <v>0.62777777777777799</v>
      </c>
      <c r="D712" s="5" t="s">
        <v>116</v>
      </c>
      <c r="E712" s="5"/>
      <c r="F712" s="32">
        <v>61.5</v>
      </c>
      <c r="G712" s="9">
        <v>2</v>
      </c>
      <c r="H712" s="6">
        <v>3.2520325203252036E-2</v>
      </c>
      <c r="I712" s="7">
        <v>6.83E-2</v>
      </c>
      <c r="J712" s="9">
        <v>314.15899999999999</v>
      </c>
      <c r="K712" s="9">
        <v>0.5464</v>
      </c>
      <c r="L712" s="9">
        <v>8</v>
      </c>
      <c r="M712" s="14">
        <v>287.48078330893117</v>
      </c>
      <c r="N712" s="9">
        <v>1365</v>
      </c>
      <c r="O712" s="8" t="s">
        <v>121</v>
      </c>
      <c r="P712" s="12" t="s">
        <v>82</v>
      </c>
      <c r="Q712" s="9" t="s">
        <v>122</v>
      </c>
      <c r="R712" s="9" t="s">
        <v>123</v>
      </c>
      <c r="S712" s="9"/>
      <c r="T712" s="18">
        <v>3</v>
      </c>
      <c r="U712" s="18">
        <v>3</v>
      </c>
      <c r="V712" s="9">
        <v>11.1</v>
      </c>
      <c r="Y712" s="9">
        <f t="shared" si="22"/>
        <v>862.44234992679355</v>
      </c>
      <c r="Z712" s="19" t="s">
        <v>73</v>
      </c>
      <c r="AA712" s="8" t="s">
        <v>117</v>
      </c>
      <c r="AB712" s="8" t="s">
        <v>75</v>
      </c>
      <c r="AC712" s="11" t="s">
        <v>76</v>
      </c>
      <c r="AD712" s="9" t="s">
        <v>91</v>
      </c>
      <c r="AE712" s="56">
        <f t="shared" si="23"/>
        <v>537.43808448000004</v>
      </c>
      <c r="AF712" s="14">
        <v>537.43808448000004</v>
      </c>
      <c r="AG712" s="13"/>
    </row>
    <row r="713" spans="1:41" x14ac:dyDescent="0.2">
      <c r="A713" s="5" t="s">
        <v>67</v>
      </c>
      <c r="B713" s="25">
        <v>43390</v>
      </c>
      <c r="C713" s="26">
        <v>0.62777777777777799</v>
      </c>
      <c r="D713" s="5" t="s">
        <v>116</v>
      </c>
      <c r="E713" s="5"/>
      <c r="F713" s="32">
        <v>61.5</v>
      </c>
      <c r="G713" s="9">
        <v>2</v>
      </c>
      <c r="H713" s="6">
        <v>3.2520325203252036E-2</v>
      </c>
      <c r="I713" s="7">
        <v>6.83E-2</v>
      </c>
      <c r="J713" s="9">
        <v>314.15899999999999</v>
      </c>
      <c r="K713" s="9">
        <v>0.5464</v>
      </c>
      <c r="L713" s="9">
        <v>8</v>
      </c>
      <c r="M713" s="14">
        <v>287.48078330893117</v>
      </c>
      <c r="N713" s="9">
        <v>1419</v>
      </c>
      <c r="O713" s="12" t="s">
        <v>94</v>
      </c>
      <c r="P713" s="12" t="s">
        <v>82</v>
      </c>
      <c r="Q713" s="9" t="s">
        <v>95</v>
      </c>
      <c r="R713" s="9" t="s">
        <v>96</v>
      </c>
      <c r="S713" s="9"/>
      <c r="T713" s="18">
        <v>447</v>
      </c>
      <c r="U713" s="18">
        <v>903</v>
      </c>
      <c r="V713" s="9">
        <v>0.8</v>
      </c>
      <c r="W713" s="9">
        <v>0.8</v>
      </c>
      <c r="X713" s="9">
        <v>0.8</v>
      </c>
      <c r="Y713" s="9">
        <f t="shared" si="22"/>
        <v>128503.91013909224</v>
      </c>
      <c r="Z713" s="19" t="s">
        <v>97</v>
      </c>
      <c r="AA713" s="8" t="s">
        <v>117</v>
      </c>
      <c r="AB713" s="8" t="s">
        <v>75</v>
      </c>
      <c r="AC713" s="11" t="s">
        <v>76</v>
      </c>
      <c r="AD713" s="9" t="s">
        <v>85</v>
      </c>
      <c r="AE713" s="56">
        <f t="shared" si="23"/>
        <v>0.17999999999999997</v>
      </c>
      <c r="AF713" s="14">
        <v>0.18</v>
      </c>
      <c r="AG713" s="14">
        <v>0.18</v>
      </c>
      <c r="AH713" s="14">
        <v>0.18</v>
      </c>
      <c r="AI713" s="14">
        <v>0.18</v>
      </c>
      <c r="AJ713" s="14">
        <v>0.18</v>
      </c>
      <c r="AK713" s="14">
        <v>0.18</v>
      </c>
      <c r="AL713" s="14">
        <v>0.18</v>
      </c>
      <c r="AM713" s="14">
        <v>0.18</v>
      </c>
      <c r="AN713" s="14">
        <v>0.18</v>
      </c>
      <c r="AO713" s="14">
        <v>0.18</v>
      </c>
    </row>
    <row r="714" spans="1:41" x14ac:dyDescent="0.2">
      <c r="A714" s="5"/>
      <c r="B714" s="25"/>
      <c r="C714" s="26"/>
      <c r="D714" s="5"/>
      <c r="E714" s="5"/>
      <c r="F714" s="32"/>
      <c r="G714" s="9"/>
      <c r="H714" s="6"/>
      <c r="I714" s="7"/>
      <c r="J714" s="9"/>
      <c r="N714" s="9"/>
      <c r="O714" s="12"/>
      <c r="S714" s="9"/>
      <c r="T714" s="18"/>
      <c r="U714" s="18"/>
      <c r="Z714" s="19"/>
      <c r="AC714" s="11"/>
      <c r="AD714" s="9"/>
      <c r="AF714" s="14"/>
      <c r="AG714" s="13"/>
    </row>
    <row r="715" spans="1:41" x14ac:dyDescent="0.2">
      <c r="A715" s="5"/>
      <c r="B715" s="25"/>
      <c r="C715" s="26"/>
      <c r="D715" s="5"/>
      <c r="E715" s="5"/>
      <c r="F715" s="32"/>
      <c r="G715" s="9"/>
      <c r="H715" s="6"/>
      <c r="I715" s="7"/>
      <c r="J715" s="9"/>
      <c r="N715" s="9"/>
      <c r="O715" s="12"/>
      <c r="S715" s="9"/>
      <c r="T715" s="18"/>
      <c r="U715" s="18"/>
      <c r="Z715" s="19"/>
      <c r="AC715" s="11"/>
      <c r="AD715" s="9"/>
      <c r="AF715" s="14"/>
      <c r="AG715" s="13"/>
    </row>
    <row r="716" spans="1:41" x14ac:dyDescent="0.2">
      <c r="A716" s="5"/>
      <c r="B716" s="25"/>
      <c r="C716" s="26"/>
      <c r="D716" s="5"/>
      <c r="E716" s="5"/>
      <c r="F716" s="32"/>
      <c r="G716" s="9"/>
      <c r="H716" s="6"/>
      <c r="I716" s="7"/>
      <c r="J716" s="9"/>
      <c r="N716" s="9"/>
      <c r="O716" s="12"/>
      <c r="P716" s="12"/>
      <c r="S716" s="9"/>
      <c r="T716" s="18"/>
      <c r="U716" s="18"/>
      <c r="Z716" s="19"/>
      <c r="AC716" s="11"/>
      <c r="AD716" s="9"/>
      <c r="AF716" s="14"/>
      <c r="AG716" s="13"/>
    </row>
    <row r="717" spans="1:41" x14ac:dyDescent="0.2">
      <c r="A717" s="5"/>
      <c r="B717" s="25"/>
      <c r="C717" s="26"/>
      <c r="D717" s="5"/>
      <c r="E717" s="5"/>
      <c r="F717" s="32"/>
      <c r="G717" s="9"/>
      <c r="H717" s="6"/>
      <c r="I717" s="7"/>
      <c r="J717" s="9"/>
      <c r="N717" s="9"/>
      <c r="O717" s="12"/>
      <c r="P717" s="12"/>
      <c r="S717" s="9"/>
      <c r="T717" s="18"/>
      <c r="U717" s="18"/>
      <c r="Z717" s="19"/>
      <c r="AC717" s="11"/>
      <c r="AD717" s="9"/>
      <c r="AF717" s="14"/>
      <c r="AG717" s="13"/>
    </row>
    <row r="718" spans="1:41" x14ac:dyDescent="0.2">
      <c r="A718" s="5"/>
      <c r="B718" s="25"/>
      <c r="C718" s="26"/>
      <c r="D718" s="5"/>
      <c r="E718" s="5"/>
      <c r="F718" s="32"/>
      <c r="G718" s="9"/>
      <c r="H718" s="6"/>
      <c r="I718" s="7"/>
      <c r="J718" s="9"/>
      <c r="N718" s="9"/>
      <c r="O718" s="12"/>
      <c r="P718" s="12"/>
      <c r="S718" s="9"/>
      <c r="T718" s="18"/>
      <c r="U718" s="18"/>
      <c r="Z718" s="19"/>
      <c r="AC718" s="11"/>
      <c r="AD718" s="9"/>
      <c r="AF718" s="14"/>
      <c r="AG718" s="13"/>
    </row>
    <row r="719" spans="1:41" x14ac:dyDescent="0.2">
      <c r="A719" s="5"/>
      <c r="B719" s="25"/>
      <c r="C719" s="26"/>
      <c r="D719" s="5"/>
      <c r="E719" s="5"/>
      <c r="F719" s="32"/>
      <c r="G719" s="9"/>
      <c r="H719" s="6"/>
      <c r="I719" s="7"/>
      <c r="J719" s="9"/>
      <c r="N719" s="9"/>
      <c r="O719" s="12"/>
      <c r="P719" s="12"/>
      <c r="S719" s="9"/>
      <c r="T719" s="18"/>
      <c r="U719" s="18"/>
      <c r="Z719" s="19"/>
      <c r="AC719" s="11"/>
      <c r="AD719" s="9"/>
      <c r="AF719" s="14"/>
      <c r="AG719" s="13"/>
    </row>
    <row r="720" spans="1:41" x14ac:dyDescent="0.2">
      <c r="A720" s="5"/>
      <c r="B720" s="25"/>
      <c r="C720" s="26"/>
      <c r="D720" s="5"/>
      <c r="E720" s="5"/>
      <c r="F720" s="32"/>
      <c r="G720" s="9"/>
      <c r="H720" s="6"/>
      <c r="I720" s="7"/>
      <c r="J720" s="9"/>
      <c r="N720" s="9"/>
      <c r="O720" s="12"/>
      <c r="S720" s="9"/>
      <c r="T720" s="18"/>
      <c r="U720" s="18"/>
      <c r="Z720" s="19"/>
      <c r="AC720" s="11"/>
      <c r="AD720" s="9"/>
      <c r="AF720" s="14"/>
      <c r="AG720" s="13"/>
    </row>
    <row r="721" spans="1:33" x14ac:dyDescent="0.2">
      <c r="A721" s="5"/>
      <c r="B721" s="25"/>
      <c r="C721" s="26"/>
      <c r="D721" s="5"/>
      <c r="E721" s="5"/>
      <c r="F721" s="32"/>
      <c r="G721" s="9"/>
      <c r="H721" s="6"/>
      <c r="I721" s="7"/>
      <c r="J721" s="9"/>
      <c r="N721" s="9"/>
      <c r="O721" s="12"/>
      <c r="S721" s="9"/>
      <c r="T721" s="18"/>
      <c r="U721" s="18"/>
      <c r="Z721" s="19"/>
      <c r="AC721" s="11"/>
      <c r="AD721" s="9"/>
      <c r="AF721" s="14"/>
      <c r="AG721" s="13"/>
    </row>
    <row r="722" spans="1:33" x14ac:dyDescent="0.2">
      <c r="A722" s="5"/>
      <c r="B722" s="25"/>
      <c r="C722" s="26"/>
      <c r="D722" s="5"/>
      <c r="E722" s="5"/>
      <c r="F722" s="32"/>
      <c r="G722" s="9"/>
      <c r="H722" s="6"/>
      <c r="I722" s="7"/>
      <c r="J722" s="9"/>
      <c r="N722" s="9"/>
      <c r="O722" s="12"/>
      <c r="S722" s="9"/>
      <c r="T722" s="18"/>
      <c r="U722" s="18"/>
      <c r="Z722" s="19"/>
      <c r="AC722" s="11"/>
      <c r="AD722" s="9"/>
      <c r="AF722" s="14"/>
      <c r="AG722" s="13"/>
    </row>
    <row r="723" spans="1:33" x14ac:dyDescent="0.2">
      <c r="A723" s="5"/>
      <c r="B723" s="25"/>
      <c r="C723" s="26"/>
      <c r="D723" s="5"/>
      <c r="E723" s="5"/>
      <c r="F723" s="32"/>
      <c r="G723" s="9"/>
      <c r="H723" s="6"/>
      <c r="I723" s="7"/>
      <c r="J723" s="9"/>
      <c r="N723" s="9"/>
      <c r="O723" s="12"/>
      <c r="S723" s="9"/>
      <c r="T723" s="18"/>
      <c r="U723" s="18"/>
      <c r="Z723" s="19"/>
      <c r="AC723" s="11"/>
      <c r="AD723" s="9"/>
      <c r="AF723" s="14"/>
      <c r="AG723" s="13"/>
    </row>
    <row r="724" spans="1:33" x14ac:dyDescent="0.2">
      <c r="A724" s="5"/>
      <c r="B724" s="25"/>
      <c r="C724" s="26"/>
      <c r="D724" s="5"/>
      <c r="E724" s="5"/>
      <c r="F724" s="32"/>
      <c r="G724" s="9"/>
      <c r="H724" s="6"/>
      <c r="I724" s="7"/>
      <c r="J724" s="9"/>
      <c r="N724" s="9"/>
      <c r="O724" s="12"/>
      <c r="S724" s="9"/>
      <c r="T724" s="18"/>
      <c r="U724" s="18"/>
      <c r="Z724" s="19"/>
      <c r="AC724" s="11"/>
      <c r="AD724" s="9"/>
      <c r="AF724" s="14"/>
      <c r="AG724" s="13"/>
    </row>
    <row r="725" spans="1:33" x14ac:dyDescent="0.2">
      <c r="A725" s="5"/>
      <c r="B725" s="25"/>
      <c r="C725" s="26"/>
      <c r="D725" s="5"/>
      <c r="E725" s="5"/>
      <c r="F725" s="32"/>
      <c r="G725" s="9"/>
      <c r="H725" s="6"/>
      <c r="I725" s="7"/>
      <c r="J725" s="9"/>
      <c r="N725" s="9"/>
      <c r="O725" s="12"/>
      <c r="P725" s="12"/>
      <c r="S725" s="9"/>
      <c r="T725" s="18"/>
      <c r="U725" s="18"/>
      <c r="Z725" s="19"/>
      <c r="AC725" s="11"/>
      <c r="AD725" s="9"/>
      <c r="AF725" s="14"/>
      <c r="AG725" s="13"/>
    </row>
    <row r="726" spans="1:33" x14ac:dyDescent="0.2">
      <c r="A726" s="5"/>
      <c r="B726" s="25"/>
      <c r="C726" s="26"/>
      <c r="D726" s="5"/>
      <c r="E726" s="5"/>
      <c r="F726" s="32"/>
      <c r="G726" s="9"/>
      <c r="H726" s="6"/>
      <c r="I726" s="7"/>
      <c r="J726" s="9"/>
      <c r="N726" s="9"/>
      <c r="O726" s="12"/>
      <c r="P726" s="12"/>
      <c r="S726" s="9"/>
      <c r="T726" s="18"/>
      <c r="U726" s="18"/>
      <c r="Z726" s="19"/>
      <c r="AC726" s="11"/>
      <c r="AD726" s="9"/>
      <c r="AF726" s="14"/>
      <c r="AG726" s="13"/>
    </row>
    <row r="727" spans="1:33" x14ac:dyDescent="0.2">
      <c r="A727" s="5"/>
      <c r="B727" s="25"/>
      <c r="C727" s="26"/>
      <c r="D727" s="5"/>
      <c r="E727" s="5"/>
      <c r="F727" s="32"/>
      <c r="G727" s="9"/>
      <c r="H727" s="6"/>
      <c r="I727" s="7"/>
      <c r="J727" s="9"/>
      <c r="N727" s="9"/>
      <c r="O727" s="12"/>
      <c r="S727" s="9"/>
      <c r="T727" s="18"/>
      <c r="U727" s="18"/>
      <c r="Z727" s="19"/>
      <c r="AC727" s="11"/>
      <c r="AD727" s="9"/>
      <c r="AF727" s="14"/>
      <c r="AG727" s="13"/>
    </row>
    <row r="728" spans="1:33" x14ac:dyDescent="0.2">
      <c r="A728" s="5"/>
      <c r="B728" s="25"/>
      <c r="C728" s="26"/>
      <c r="D728" s="5"/>
      <c r="E728" s="5"/>
      <c r="F728" s="32"/>
      <c r="G728" s="9"/>
      <c r="H728" s="6"/>
      <c r="I728" s="7"/>
      <c r="J728" s="9"/>
      <c r="N728" s="9"/>
      <c r="O728" s="12"/>
      <c r="S728" s="9"/>
      <c r="T728" s="18"/>
      <c r="U728" s="18"/>
      <c r="Z728" s="19"/>
      <c r="AC728" s="11"/>
      <c r="AD728" s="9"/>
      <c r="AF728" s="14"/>
      <c r="AG728" s="13"/>
    </row>
    <row r="729" spans="1:33" x14ac:dyDescent="0.2">
      <c r="A729" s="5"/>
      <c r="B729" s="25"/>
      <c r="C729" s="26"/>
      <c r="D729" s="5"/>
      <c r="E729" s="5"/>
      <c r="F729" s="32"/>
      <c r="G729" s="9"/>
      <c r="H729" s="6"/>
      <c r="I729" s="7"/>
      <c r="J729" s="9"/>
      <c r="N729" s="9"/>
      <c r="O729" s="12"/>
      <c r="S729" s="9"/>
      <c r="T729" s="18"/>
      <c r="U729" s="18"/>
      <c r="Z729" s="19"/>
      <c r="AC729" s="11"/>
      <c r="AD729" s="9"/>
      <c r="AF729" s="14"/>
      <c r="AG729" s="13"/>
    </row>
    <row r="730" spans="1:33" x14ac:dyDescent="0.2">
      <c r="A730" s="5"/>
      <c r="B730" s="25"/>
      <c r="C730" s="26"/>
      <c r="D730" s="5"/>
      <c r="E730" s="5"/>
      <c r="F730" s="32"/>
      <c r="G730" s="9"/>
      <c r="H730" s="6"/>
      <c r="I730" s="7"/>
      <c r="J730" s="9"/>
      <c r="N730" s="9"/>
      <c r="O730" s="12"/>
      <c r="S730" s="9"/>
      <c r="T730" s="18"/>
      <c r="U730" s="18"/>
      <c r="Z730" s="19"/>
      <c r="AC730" s="11"/>
      <c r="AD730" s="9"/>
      <c r="AF730" s="14"/>
      <c r="AG730" s="13"/>
    </row>
    <row r="731" spans="1:33" x14ac:dyDescent="0.2">
      <c r="A731" s="5"/>
      <c r="B731" s="25"/>
      <c r="C731" s="26"/>
      <c r="D731" s="5"/>
      <c r="E731" s="5"/>
      <c r="F731" s="32"/>
      <c r="G731" s="9"/>
      <c r="H731" s="6"/>
      <c r="I731" s="7"/>
      <c r="J731" s="9"/>
      <c r="N731" s="9"/>
      <c r="O731" s="12"/>
      <c r="P731" s="12"/>
      <c r="S731" s="9"/>
      <c r="T731" s="18"/>
      <c r="U731" s="18"/>
      <c r="Z731" s="19"/>
      <c r="AC731" s="11"/>
      <c r="AD731" s="9"/>
      <c r="AF731" s="14"/>
      <c r="AG731" s="13"/>
    </row>
    <row r="732" spans="1:33" x14ac:dyDescent="0.2">
      <c r="A732" s="5"/>
      <c r="B732" s="25"/>
      <c r="C732" s="26"/>
      <c r="D732" s="5"/>
      <c r="E732" s="5"/>
      <c r="F732" s="32"/>
      <c r="G732" s="9"/>
      <c r="H732" s="6"/>
      <c r="I732" s="7"/>
      <c r="J732" s="9"/>
      <c r="N732" s="9"/>
      <c r="O732" s="12"/>
      <c r="S732" s="9"/>
      <c r="T732" s="18"/>
      <c r="U732" s="18"/>
      <c r="Z732" s="19"/>
      <c r="AC732" s="11"/>
      <c r="AD732" s="9"/>
      <c r="AF732" s="14"/>
      <c r="AG732" s="13"/>
    </row>
    <row r="733" spans="1:33" x14ac:dyDescent="0.2">
      <c r="A733" s="5"/>
      <c r="B733" s="25"/>
      <c r="C733" s="26"/>
      <c r="D733" s="5"/>
      <c r="E733" s="5"/>
      <c r="F733" s="32"/>
      <c r="G733" s="9"/>
      <c r="H733" s="6"/>
      <c r="I733" s="7"/>
      <c r="J733" s="9"/>
      <c r="N733" s="9"/>
      <c r="O733" s="12"/>
      <c r="S733" s="9"/>
      <c r="T733" s="18"/>
      <c r="U733" s="18"/>
      <c r="Z733" s="19"/>
      <c r="AC733" s="11"/>
      <c r="AD733" s="9"/>
      <c r="AF733" s="14"/>
      <c r="AG733" s="13"/>
    </row>
    <row r="734" spans="1:33" x14ac:dyDescent="0.2">
      <c r="A734" s="5"/>
      <c r="B734" s="25"/>
      <c r="C734" s="26"/>
      <c r="D734" s="5"/>
      <c r="E734" s="5"/>
      <c r="F734" s="32"/>
      <c r="G734" s="9"/>
      <c r="H734" s="6"/>
      <c r="I734" s="7"/>
      <c r="J734" s="9"/>
      <c r="N734" s="9"/>
      <c r="O734" s="12"/>
      <c r="P734" s="12"/>
      <c r="S734" s="9"/>
      <c r="T734" s="18"/>
      <c r="U734" s="18"/>
      <c r="Z734" s="19"/>
      <c r="AC734" s="11"/>
      <c r="AD734" s="9"/>
      <c r="AF734" s="14"/>
      <c r="AG734" s="13"/>
    </row>
    <row r="735" spans="1:33" x14ac:dyDescent="0.2">
      <c r="A735" s="5"/>
      <c r="B735" s="25"/>
      <c r="C735" s="26"/>
      <c r="D735" s="5"/>
      <c r="E735" s="5"/>
      <c r="F735" s="32"/>
      <c r="G735" s="9"/>
      <c r="H735" s="6"/>
      <c r="I735" s="7"/>
      <c r="J735" s="9"/>
      <c r="N735" s="9"/>
      <c r="O735" s="12"/>
      <c r="P735" s="12"/>
      <c r="S735" s="9"/>
      <c r="T735" s="18"/>
      <c r="U735" s="18"/>
      <c r="Z735" s="19"/>
      <c r="AC735" s="11"/>
      <c r="AD735" s="9"/>
      <c r="AF735" s="14"/>
      <c r="AG735" s="13"/>
    </row>
    <row r="736" spans="1:33" x14ac:dyDescent="0.2">
      <c r="A736" s="5"/>
      <c r="B736" s="25"/>
      <c r="C736" s="26"/>
      <c r="D736" s="5"/>
      <c r="E736" s="5"/>
      <c r="F736" s="32"/>
      <c r="G736" s="9"/>
      <c r="H736" s="6"/>
      <c r="I736" s="7"/>
      <c r="J736" s="9"/>
      <c r="N736" s="9"/>
      <c r="O736" s="12"/>
      <c r="P736" s="12"/>
      <c r="S736" s="9"/>
      <c r="T736" s="18"/>
      <c r="U736" s="18"/>
      <c r="Z736" s="19"/>
      <c r="AC736" s="11"/>
      <c r="AD736" s="9"/>
      <c r="AF736" s="14"/>
      <c r="AG736" s="13"/>
    </row>
    <row r="737" spans="1:33" x14ac:dyDescent="0.2">
      <c r="A737" s="5"/>
      <c r="B737" s="25"/>
      <c r="C737" s="26"/>
      <c r="D737" s="5"/>
      <c r="E737" s="5"/>
      <c r="F737" s="32"/>
      <c r="G737" s="9"/>
      <c r="H737" s="6"/>
      <c r="I737" s="7"/>
      <c r="J737" s="9"/>
      <c r="N737" s="9"/>
      <c r="O737" s="12"/>
      <c r="P737" s="12"/>
      <c r="S737" s="9"/>
      <c r="T737" s="18"/>
      <c r="U737" s="18"/>
      <c r="Z737" s="19"/>
      <c r="AC737" s="11"/>
      <c r="AD737" s="9"/>
      <c r="AF737" s="14"/>
      <c r="AG737" s="13"/>
    </row>
    <row r="738" spans="1:33" x14ac:dyDescent="0.2">
      <c r="A738" s="5"/>
      <c r="B738" s="25"/>
      <c r="C738" s="26"/>
      <c r="D738" s="5"/>
      <c r="E738" s="5"/>
      <c r="F738" s="32"/>
      <c r="G738" s="9"/>
      <c r="H738" s="6"/>
      <c r="I738" s="7"/>
      <c r="J738" s="9"/>
      <c r="N738" s="9"/>
      <c r="P738" s="12"/>
      <c r="S738" s="9"/>
      <c r="T738" s="18"/>
      <c r="U738" s="18"/>
      <c r="Z738" s="19"/>
      <c r="AC738" s="11"/>
      <c r="AD738" s="9"/>
      <c r="AF738" s="14"/>
      <c r="AG738" s="13"/>
    </row>
    <row r="739" spans="1:33" x14ac:dyDescent="0.2">
      <c r="A739" s="5"/>
      <c r="B739" s="25"/>
      <c r="C739" s="26"/>
      <c r="D739" s="26"/>
      <c r="E739" s="5"/>
      <c r="F739" s="32"/>
      <c r="G739" s="9"/>
      <c r="H739" s="6"/>
      <c r="I739" s="7"/>
      <c r="J739" s="9"/>
      <c r="N739" s="9"/>
      <c r="O739" s="12"/>
      <c r="S739" s="9"/>
      <c r="T739" s="18"/>
      <c r="U739" s="18"/>
      <c r="Z739" s="19"/>
      <c r="AC739" s="11"/>
      <c r="AD739" s="9"/>
      <c r="AF739" s="14"/>
      <c r="AG739" s="13"/>
    </row>
    <row r="740" spans="1:33" x14ac:dyDescent="0.2">
      <c r="A740" s="5"/>
      <c r="B740" s="25"/>
      <c r="C740" s="26"/>
      <c r="D740" s="26"/>
      <c r="E740" s="5"/>
      <c r="F740" s="32"/>
      <c r="G740" s="9"/>
      <c r="H740" s="6"/>
      <c r="I740" s="7"/>
      <c r="J740" s="9"/>
      <c r="N740" s="9"/>
      <c r="O740" s="12"/>
      <c r="P740" s="12"/>
      <c r="S740" s="9"/>
      <c r="T740" s="18"/>
      <c r="U740" s="18"/>
      <c r="Z740" s="19"/>
      <c r="AC740" s="11"/>
      <c r="AD740" s="9"/>
      <c r="AF740" s="14"/>
      <c r="AG740" s="13"/>
    </row>
    <row r="741" spans="1:33" x14ac:dyDescent="0.2">
      <c r="A741" s="5"/>
      <c r="B741" s="25"/>
      <c r="C741" s="26"/>
      <c r="D741" s="26"/>
      <c r="E741" s="5"/>
      <c r="F741" s="32"/>
      <c r="G741" s="9"/>
      <c r="H741" s="6"/>
      <c r="I741" s="7"/>
      <c r="J741" s="9"/>
      <c r="N741" s="9"/>
      <c r="O741" s="12"/>
      <c r="P741" s="12"/>
      <c r="S741" s="9"/>
      <c r="T741" s="18"/>
      <c r="U741" s="18"/>
      <c r="Z741" s="19"/>
      <c r="AC741" s="11"/>
      <c r="AD741" s="9"/>
      <c r="AF741" s="14"/>
      <c r="AG741" s="13"/>
    </row>
    <row r="742" spans="1:33" x14ac:dyDescent="0.2">
      <c r="A742" s="5"/>
      <c r="B742" s="25"/>
      <c r="C742" s="26"/>
      <c r="D742" s="5"/>
      <c r="E742" s="5"/>
      <c r="F742" s="32"/>
      <c r="G742" s="9"/>
      <c r="H742" s="6"/>
      <c r="I742" s="7"/>
      <c r="J742" s="9"/>
      <c r="N742" s="9"/>
      <c r="O742" s="12"/>
      <c r="S742" s="9"/>
      <c r="T742" s="18"/>
      <c r="U742" s="18"/>
      <c r="Z742" s="19"/>
      <c r="AC742" s="11"/>
      <c r="AD742" s="9"/>
      <c r="AF742" s="14"/>
      <c r="AG742" s="13"/>
    </row>
    <row r="743" spans="1:33" x14ac:dyDescent="0.2">
      <c r="A743" s="5"/>
      <c r="B743" s="25"/>
      <c r="C743" s="26"/>
      <c r="D743" s="5"/>
      <c r="E743" s="5"/>
      <c r="F743" s="32"/>
      <c r="G743" s="9"/>
      <c r="H743" s="6"/>
      <c r="I743" s="7"/>
      <c r="J743" s="9"/>
      <c r="N743" s="9"/>
      <c r="S743" s="9"/>
      <c r="T743" s="18"/>
      <c r="U743" s="18"/>
      <c r="Z743" s="19"/>
      <c r="AC743" s="11"/>
      <c r="AD743" s="9"/>
      <c r="AF743" s="14"/>
      <c r="AG743" s="13"/>
    </row>
    <row r="744" spans="1:33" x14ac:dyDescent="0.2">
      <c r="A744" s="5"/>
      <c r="B744" s="25"/>
      <c r="C744" s="26"/>
      <c r="D744" s="5"/>
      <c r="E744" s="5"/>
      <c r="F744" s="32"/>
      <c r="G744" s="9"/>
      <c r="H744" s="6"/>
      <c r="I744" s="7"/>
      <c r="J744" s="9"/>
      <c r="N744" s="9"/>
      <c r="O744" s="12"/>
      <c r="P744" s="12"/>
      <c r="S744" s="9"/>
      <c r="T744" s="18"/>
      <c r="U744" s="18"/>
      <c r="Z744" s="19"/>
      <c r="AC744" s="11"/>
      <c r="AD744" s="9"/>
      <c r="AF744" s="14"/>
      <c r="AG744" s="13"/>
    </row>
    <row r="745" spans="1:33" x14ac:dyDescent="0.2">
      <c r="A745" s="5"/>
      <c r="B745" s="25"/>
      <c r="C745" s="26"/>
      <c r="D745" s="5"/>
      <c r="E745" s="5"/>
      <c r="F745" s="32"/>
      <c r="G745" s="9"/>
      <c r="H745" s="6"/>
      <c r="I745" s="7"/>
      <c r="J745" s="9"/>
      <c r="N745" s="9"/>
      <c r="O745" s="12"/>
      <c r="P745" s="12"/>
      <c r="S745" s="9"/>
      <c r="T745" s="18"/>
      <c r="U745" s="18"/>
      <c r="Z745" s="19"/>
      <c r="AC745" s="11"/>
      <c r="AD745" s="9"/>
      <c r="AF745" s="14"/>
      <c r="AG745" s="13"/>
    </row>
    <row r="746" spans="1:33" x14ac:dyDescent="0.2">
      <c r="A746" s="5"/>
      <c r="B746" s="25"/>
      <c r="C746" s="26"/>
      <c r="D746" s="5"/>
      <c r="E746" s="5"/>
      <c r="F746" s="32"/>
      <c r="G746" s="9"/>
      <c r="H746" s="6"/>
      <c r="I746" s="7"/>
      <c r="J746" s="9"/>
      <c r="N746" s="9"/>
      <c r="O746" s="12"/>
      <c r="P746" s="12"/>
      <c r="S746" s="9"/>
      <c r="T746" s="18"/>
      <c r="U746" s="18"/>
      <c r="Z746" s="19"/>
      <c r="AC746" s="11"/>
      <c r="AD746" s="9"/>
      <c r="AF746" s="14"/>
      <c r="AG746" s="13"/>
    </row>
    <row r="747" spans="1:33" x14ac:dyDescent="0.2">
      <c r="A747" s="5"/>
      <c r="B747" s="25"/>
      <c r="C747" s="26"/>
      <c r="D747" s="5"/>
      <c r="E747" s="5"/>
      <c r="F747" s="32"/>
      <c r="G747" s="9"/>
      <c r="H747" s="6"/>
      <c r="I747" s="7"/>
      <c r="J747" s="9"/>
      <c r="N747" s="9"/>
      <c r="O747" s="12"/>
      <c r="P747" s="12"/>
      <c r="S747" s="9"/>
      <c r="T747" s="18"/>
      <c r="U747" s="18"/>
      <c r="Z747" s="19"/>
      <c r="AC747" s="11"/>
      <c r="AD747" s="9"/>
      <c r="AF747" s="14"/>
      <c r="AG747" s="13"/>
    </row>
    <row r="748" spans="1:33" x14ac:dyDescent="0.2">
      <c r="A748" s="5"/>
      <c r="B748" s="25"/>
      <c r="C748" s="26"/>
      <c r="D748" s="5"/>
      <c r="E748" s="5"/>
      <c r="F748" s="32"/>
      <c r="G748" s="9"/>
      <c r="H748" s="6"/>
      <c r="I748" s="7"/>
      <c r="J748" s="9"/>
      <c r="N748" s="9"/>
      <c r="O748" s="12"/>
      <c r="S748" s="9"/>
      <c r="T748" s="18"/>
      <c r="U748" s="18"/>
      <c r="Z748" s="19"/>
      <c r="AC748" s="11"/>
      <c r="AD748" s="9"/>
      <c r="AF748" s="14"/>
      <c r="AG748" s="13"/>
    </row>
    <row r="749" spans="1:33" x14ac:dyDescent="0.2">
      <c r="A749" s="5"/>
      <c r="B749" s="25"/>
      <c r="C749" s="26"/>
      <c r="D749" s="5"/>
      <c r="E749" s="5"/>
      <c r="F749" s="32"/>
      <c r="G749" s="9"/>
      <c r="H749" s="6"/>
      <c r="I749" s="7"/>
      <c r="J749" s="9"/>
      <c r="N749" s="9"/>
      <c r="O749" s="12"/>
      <c r="S749" s="9"/>
      <c r="T749" s="18"/>
      <c r="U749" s="18"/>
      <c r="Z749" s="19"/>
      <c r="AC749" s="11"/>
      <c r="AD749" s="9"/>
      <c r="AF749" s="14"/>
      <c r="AG749" s="13"/>
    </row>
    <row r="750" spans="1:33" x14ac:dyDescent="0.2">
      <c r="A750" s="5"/>
      <c r="B750" s="25"/>
      <c r="C750" s="26"/>
      <c r="D750" s="5"/>
      <c r="E750" s="5"/>
      <c r="F750" s="32"/>
      <c r="G750" s="9"/>
      <c r="H750" s="6"/>
      <c r="I750" s="7"/>
      <c r="J750" s="9"/>
      <c r="N750" s="9"/>
      <c r="O750" s="12"/>
      <c r="P750" s="12"/>
      <c r="S750" s="9"/>
      <c r="T750" s="18"/>
      <c r="U750" s="18"/>
      <c r="Z750" s="19"/>
      <c r="AC750" s="11"/>
      <c r="AD750" s="9"/>
      <c r="AF750" s="14"/>
      <c r="AG750" s="13"/>
    </row>
    <row r="751" spans="1:33" x14ac:dyDescent="0.2">
      <c r="A751" s="5"/>
      <c r="B751" s="25"/>
      <c r="C751" s="26"/>
      <c r="D751" s="5"/>
      <c r="E751" s="5"/>
      <c r="F751" s="32"/>
      <c r="G751" s="9"/>
      <c r="H751" s="6"/>
      <c r="I751" s="7"/>
      <c r="J751" s="9"/>
      <c r="N751" s="9"/>
      <c r="O751" s="12"/>
      <c r="S751" s="9"/>
      <c r="T751" s="18"/>
      <c r="U751" s="18"/>
      <c r="Z751" s="19"/>
      <c r="AC751" s="11"/>
      <c r="AD751" s="9"/>
      <c r="AF751" s="14"/>
      <c r="AG751" s="13"/>
    </row>
    <row r="752" spans="1:33" x14ac:dyDescent="0.2">
      <c r="A752" s="5"/>
      <c r="B752" s="25"/>
      <c r="C752" s="26"/>
      <c r="D752" s="5"/>
      <c r="E752" s="5"/>
      <c r="F752" s="32"/>
      <c r="G752" s="9"/>
      <c r="H752" s="6"/>
      <c r="I752" s="7"/>
      <c r="J752" s="9"/>
      <c r="N752" s="9"/>
      <c r="O752" s="12"/>
      <c r="S752" s="9"/>
      <c r="T752" s="18"/>
      <c r="U752" s="18"/>
      <c r="Z752" s="19"/>
      <c r="AC752" s="11"/>
      <c r="AD752" s="9"/>
      <c r="AF752" s="14"/>
      <c r="AG752" s="13"/>
    </row>
    <row r="753" spans="1:41" x14ac:dyDescent="0.2">
      <c r="A753" s="5"/>
      <c r="B753" s="25"/>
      <c r="C753" s="26"/>
      <c r="D753" s="5"/>
      <c r="E753" s="5"/>
      <c r="F753" s="32"/>
      <c r="G753" s="9"/>
      <c r="H753" s="6"/>
      <c r="I753" s="7"/>
      <c r="J753" s="9"/>
      <c r="N753" s="9"/>
      <c r="O753" s="12"/>
      <c r="S753" s="9"/>
      <c r="T753" s="18"/>
      <c r="U753" s="18"/>
      <c r="Z753" s="19"/>
      <c r="AC753" s="11"/>
      <c r="AD753" s="9"/>
      <c r="AF753" s="14"/>
      <c r="AG753" s="13"/>
    </row>
    <row r="754" spans="1:41" x14ac:dyDescent="0.2">
      <c r="A754" s="5"/>
      <c r="B754" s="25"/>
      <c r="C754" s="26"/>
      <c r="D754" s="5"/>
      <c r="E754" s="5"/>
      <c r="F754" s="32"/>
      <c r="G754" s="9"/>
      <c r="H754" s="6"/>
      <c r="I754" s="7"/>
      <c r="J754" s="9"/>
      <c r="N754" s="9"/>
      <c r="O754" s="12"/>
      <c r="S754" s="9"/>
      <c r="T754" s="18"/>
      <c r="U754" s="18"/>
      <c r="Z754" s="19"/>
      <c r="AC754" s="11"/>
      <c r="AD754" s="9"/>
      <c r="AF754" s="14"/>
      <c r="AG754" s="13"/>
    </row>
    <row r="755" spans="1:41" x14ac:dyDescent="0.2">
      <c r="A755" s="5"/>
      <c r="B755" s="25"/>
      <c r="C755" s="26"/>
      <c r="D755" s="5"/>
      <c r="E755" s="5"/>
      <c r="F755" s="32"/>
      <c r="G755" s="9"/>
      <c r="H755" s="6"/>
      <c r="I755" s="7"/>
      <c r="J755" s="9"/>
      <c r="M755" s="39"/>
      <c r="N755" s="38"/>
      <c r="O755" s="41"/>
      <c r="P755" s="40"/>
      <c r="Q755" s="38"/>
      <c r="R755" s="38"/>
      <c r="S755" s="38"/>
      <c r="T755" s="42"/>
      <c r="U755" s="42"/>
      <c r="V755" s="38"/>
      <c r="W755" s="38"/>
      <c r="X755" s="38"/>
      <c r="Z755" s="43"/>
      <c r="AA755" s="41"/>
      <c r="AB755" s="41"/>
      <c r="AC755" s="44"/>
      <c r="AD755" s="38"/>
      <c r="AE755" s="39"/>
      <c r="AF755" s="39"/>
      <c r="AG755" s="45"/>
      <c r="AH755" s="46"/>
      <c r="AI755" s="44"/>
      <c r="AJ755" s="41"/>
      <c r="AK755" s="41"/>
      <c r="AL755" s="41"/>
      <c r="AM755" s="41"/>
      <c r="AN755" s="41"/>
      <c r="AO755" s="41"/>
    </row>
    <row r="756" spans="1:41" x14ac:dyDescent="0.2">
      <c r="A756" s="5"/>
      <c r="B756" s="25"/>
      <c r="C756" s="26"/>
      <c r="D756" s="5"/>
      <c r="E756" s="5"/>
      <c r="F756" s="32"/>
      <c r="G756" s="9"/>
      <c r="H756" s="6"/>
      <c r="I756" s="7"/>
      <c r="J756" s="9"/>
      <c r="N756" s="9"/>
      <c r="O756" s="12"/>
      <c r="P756" s="12"/>
      <c r="S756" s="9"/>
      <c r="T756" s="18"/>
      <c r="U756" s="18"/>
      <c r="Z756" s="19"/>
      <c r="AC756" s="11"/>
      <c r="AD756" s="9"/>
      <c r="AF756" s="14"/>
      <c r="AG756" s="13"/>
    </row>
    <row r="757" spans="1:41" x14ac:dyDescent="0.2">
      <c r="A757" s="5"/>
      <c r="B757" s="25"/>
      <c r="C757" s="26"/>
      <c r="D757" s="5"/>
      <c r="E757" s="5"/>
      <c r="F757" s="32"/>
      <c r="G757" s="9"/>
      <c r="H757" s="6"/>
      <c r="I757" s="7"/>
      <c r="J757" s="9"/>
      <c r="N757" s="9"/>
      <c r="O757" s="12"/>
      <c r="P757" s="12"/>
      <c r="S757" s="9"/>
      <c r="T757" s="18"/>
      <c r="U757" s="18"/>
      <c r="Z757" s="19"/>
      <c r="AC757" s="11"/>
      <c r="AD757" s="9"/>
      <c r="AF757" s="14"/>
      <c r="AG757" s="13"/>
    </row>
    <row r="758" spans="1:41" x14ac:dyDescent="0.2">
      <c r="S758" s="9"/>
      <c r="T758" s="9"/>
      <c r="Z758" s="9"/>
    </row>
    <row r="759" spans="1:41" x14ac:dyDescent="0.2">
      <c r="A759" s="5"/>
      <c r="B759" s="25"/>
      <c r="C759" s="26"/>
      <c r="D759" s="5"/>
      <c r="E759" s="5"/>
      <c r="F759" s="32"/>
      <c r="G759" s="9"/>
      <c r="H759" s="6"/>
      <c r="I759" s="7"/>
      <c r="J759" s="9"/>
      <c r="N759" s="9"/>
      <c r="O759" s="12"/>
      <c r="P759" s="12"/>
      <c r="S759" s="9"/>
      <c r="T759" s="18"/>
      <c r="U759" s="18"/>
      <c r="Z759" s="19"/>
      <c r="AC759" s="11"/>
      <c r="AD759" s="9"/>
      <c r="AF759" s="14"/>
      <c r="AG759" s="13"/>
    </row>
    <row r="760" spans="1:41" x14ac:dyDescent="0.2">
      <c r="A760" s="5"/>
      <c r="B760" s="25"/>
      <c r="C760" s="26"/>
      <c r="D760" s="5"/>
      <c r="E760" s="5"/>
      <c r="F760" s="32"/>
      <c r="G760" s="9"/>
      <c r="H760" s="6"/>
      <c r="I760" s="7"/>
      <c r="J760" s="9"/>
      <c r="N760" s="9"/>
      <c r="O760" s="12"/>
      <c r="P760" s="12"/>
      <c r="S760" s="9"/>
      <c r="T760" s="18"/>
      <c r="U760" s="18"/>
      <c r="Z760" s="19"/>
      <c r="AC760" s="11"/>
      <c r="AD760" s="9"/>
      <c r="AF760" s="14"/>
      <c r="AG760" s="13"/>
    </row>
    <row r="761" spans="1:41" x14ac:dyDescent="0.2">
      <c r="A761" s="5"/>
      <c r="B761" s="25"/>
      <c r="C761" s="26"/>
      <c r="D761" s="5"/>
      <c r="E761" s="5"/>
      <c r="F761" s="32"/>
      <c r="G761" s="9"/>
      <c r="H761" s="6"/>
      <c r="I761" s="7"/>
      <c r="J761" s="9"/>
      <c r="N761" s="9"/>
      <c r="O761" s="12"/>
      <c r="P761" s="12"/>
      <c r="S761" s="9"/>
      <c r="T761" s="18"/>
      <c r="U761" s="18"/>
      <c r="Z761" s="19"/>
      <c r="AC761" s="11"/>
      <c r="AD761" s="9"/>
      <c r="AF761" s="14"/>
      <c r="AG761" s="13"/>
    </row>
    <row r="762" spans="1:41" x14ac:dyDescent="0.2">
      <c r="A762" s="5"/>
      <c r="B762" s="25"/>
      <c r="C762" s="26"/>
      <c r="D762" s="5"/>
      <c r="E762" s="5"/>
      <c r="F762" s="32"/>
      <c r="G762" s="9"/>
      <c r="H762" s="6"/>
      <c r="I762" s="7"/>
      <c r="J762" s="9"/>
      <c r="N762" s="9"/>
      <c r="O762" s="12"/>
      <c r="P762" s="12"/>
      <c r="S762" s="9"/>
      <c r="T762" s="18"/>
      <c r="U762" s="18"/>
      <c r="Z762" s="19"/>
      <c r="AC762" s="11"/>
      <c r="AD762" s="9"/>
      <c r="AF762" s="14"/>
      <c r="AG762" s="13"/>
    </row>
    <row r="763" spans="1:41" x14ac:dyDescent="0.2">
      <c r="A763" s="5"/>
      <c r="B763" s="25"/>
      <c r="C763" s="26"/>
      <c r="D763" s="5"/>
      <c r="E763" s="5"/>
      <c r="F763" s="32"/>
      <c r="G763" s="9"/>
      <c r="H763" s="6"/>
      <c r="I763" s="7"/>
      <c r="J763" s="9"/>
      <c r="N763" s="9"/>
      <c r="O763" s="12"/>
      <c r="P763" s="12"/>
      <c r="S763" s="9"/>
      <c r="T763" s="18"/>
      <c r="U763" s="18"/>
      <c r="Z763" s="19"/>
      <c r="AC763" s="11"/>
      <c r="AD763" s="9"/>
      <c r="AF763" s="14"/>
      <c r="AG763" s="13"/>
    </row>
    <row r="764" spans="1:41" x14ac:dyDescent="0.2">
      <c r="A764" s="5"/>
      <c r="B764" s="25"/>
      <c r="C764" s="26"/>
      <c r="D764" s="5"/>
      <c r="E764" s="5"/>
      <c r="F764" s="32"/>
      <c r="G764" s="9"/>
      <c r="H764" s="6"/>
      <c r="I764" s="7"/>
      <c r="J764" s="9"/>
      <c r="N764" s="9"/>
      <c r="O764" s="12"/>
      <c r="P764" s="12"/>
      <c r="S764" s="9"/>
      <c r="T764" s="18"/>
      <c r="U764" s="18"/>
      <c r="Z764" s="19"/>
      <c r="AC764" s="11"/>
      <c r="AD764" s="9"/>
      <c r="AF764" s="14"/>
      <c r="AG764" s="13"/>
    </row>
    <row r="765" spans="1:41" x14ac:dyDescent="0.2">
      <c r="A765" s="5"/>
      <c r="B765" s="25"/>
      <c r="C765" s="26"/>
      <c r="D765" s="5"/>
      <c r="E765" s="5"/>
      <c r="F765" s="32"/>
      <c r="G765" s="9"/>
      <c r="H765" s="6"/>
      <c r="I765" s="7"/>
      <c r="J765" s="9"/>
      <c r="N765" s="9"/>
      <c r="O765" s="12"/>
      <c r="P765" s="12"/>
      <c r="S765" s="9"/>
      <c r="T765" s="18"/>
      <c r="U765" s="18"/>
      <c r="Z765" s="19"/>
      <c r="AC765" s="11"/>
      <c r="AD765" s="9"/>
      <c r="AF765" s="14"/>
      <c r="AG765" s="13"/>
    </row>
    <row r="766" spans="1:41" x14ac:dyDescent="0.2">
      <c r="A766" s="5"/>
      <c r="B766" s="25"/>
      <c r="C766" s="26"/>
      <c r="D766" s="26"/>
      <c r="E766" s="5"/>
      <c r="F766" s="32"/>
      <c r="G766" s="9"/>
      <c r="H766" s="6"/>
      <c r="I766" s="7"/>
      <c r="J766" s="9"/>
      <c r="N766" s="9"/>
      <c r="O766" s="12"/>
      <c r="P766" s="12"/>
      <c r="S766" s="9"/>
      <c r="T766" s="18"/>
      <c r="U766" s="18"/>
      <c r="Z766" s="19"/>
      <c r="AC766" s="11"/>
      <c r="AD766" s="9"/>
      <c r="AF766" s="14"/>
      <c r="AG766" s="13"/>
    </row>
    <row r="767" spans="1:41" x14ac:dyDescent="0.2">
      <c r="A767" s="5"/>
      <c r="B767" s="25"/>
      <c r="C767" s="26"/>
      <c r="D767" s="26"/>
      <c r="E767" s="5"/>
      <c r="F767" s="32"/>
      <c r="G767" s="9"/>
      <c r="H767" s="6"/>
      <c r="I767" s="7"/>
      <c r="J767" s="9"/>
      <c r="N767" s="9"/>
      <c r="O767" s="12"/>
      <c r="P767" s="12"/>
      <c r="S767" s="9"/>
      <c r="T767" s="18"/>
      <c r="U767" s="18"/>
      <c r="Z767" s="19"/>
      <c r="AC767" s="11"/>
      <c r="AD767" s="9"/>
      <c r="AF767" s="14"/>
      <c r="AG767" s="13"/>
    </row>
    <row r="768" spans="1:41" x14ac:dyDescent="0.2">
      <c r="A768" s="5"/>
      <c r="B768" s="25"/>
      <c r="C768" s="26"/>
      <c r="D768" s="5"/>
      <c r="E768" s="5"/>
      <c r="F768" s="32"/>
      <c r="G768" s="9"/>
      <c r="H768" s="6"/>
      <c r="I768" s="7"/>
      <c r="J768" s="9"/>
      <c r="N768" s="9"/>
      <c r="O768" s="12"/>
      <c r="S768" s="9"/>
      <c r="T768" s="18"/>
      <c r="U768" s="18"/>
      <c r="Z768" s="19"/>
      <c r="AC768" s="11"/>
      <c r="AD768" s="9"/>
      <c r="AF768" s="14"/>
      <c r="AG768" s="13"/>
    </row>
    <row r="769" spans="1:33" x14ac:dyDescent="0.2">
      <c r="A769" s="5"/>
      <c r="B769" s="25"/>
      <c r="C769" s="26"/>
      <c r="D769" s="5"/>
      <c r="E769" s="5"/>
      <c r="F769" s="32"/>
      <c r="G769" s="9"/>
      <c r="H769" s="6"/>
      <c r="I769" s="7"/>
      <c r="J769" s="9"/>
      <c r="N769" s="9"/>
      <c r="O769" s="12"/>
      <c r="S769" s="9"/>
      <c r="T769" s="18"/>
      <c r="U769" s="18"/>
      <c r="Z769" s="19"/>
      <c r="AC769" s="11"/>
      <c r="AD769" s="9"/>
      <c r="AF769" s="14"/>
      <c r="AG769" s="13"/>
    </row>
    <row r="770" spans="1:33" x14ac:dyDescent="0.2">
      <c r="A770" s="5"/>
      <c r="B770" s="25"/>
      <c r="C770" s="26"/>
      <c r="D770" s="5"/>
      <c r="E770" s="5"/>
      <c r="F770" s="32"/>
      <c r="G770" s="9"/>
      <c r="H770" s="6"/>
      <c r="I770" s="7"/>
      <c r="J770" s="9"/>
      <c r="N770" s="9"/>
      <c r="O770" s="12"/>
      <c r="S770" s="9"/>
      <c r="T770" s="18"/>
      <c r="U770" s="18"/>
      <c r="Z770" s="19"/>
      <c r="AC770" s="11"/>
      <c r="AD770" s="9"/>
      <c r="AF770" s="14"/>
      <c r="AG770" s="13"/>
    </row>
    <row r="771" spans="1:33" x14ac:dyDescent="0.2">
      <c r="A771" s="5"/>
      <c r="B771" s="25"/>
      <c r="C771" s="26"/>
      <c r="D771" s="5"/>
      <c r="E771" s="5"/>
      <c r="F771" s="32"/>
      <c r="G771" s="9"/>
      <c r="H771" s="6"/>
      <c r="I771" s="7"/>
      <c r="J771" s="9"/>
      <c r="N771" s="9"/>
      <c r="O771" s="12"/>
      <c r="S771" s="9"/>
      <c r="T771" s="18"/>
      <c r="U771" s="18"/>
      <c r="Z771" s="19"/>
      <c r="AC771" s="11"/>
      <c r="AD771" s="9"/>
      <c r="AF771" s="14"/>
      <c r="AG771" s="13"/>
    </row>
    <row r="772" spans="1:33" x14ac:dyDescent="0.2">
      <c r="A772" s="5"/>
      <c r="B772" s="25"/>
      <c r="C772" s="26"/>
      <c r="D772" s="5"/>
      <c r="E772" s="5"/>
      <c r="F772" s="32"/>
      <c r="G772" s="9"/>
      <c r="H772" s="6"/>
      <c r="I772" s="7"/>
      <c r="J772" s="9"/>
      <c r="N772" s="9"/>
      <c r="O772" s="12"/>
      <c r="S772" s="9"/>
      <c r="T772" s="18"/>
      <c r="U772" s="18"/>
      <c r="Z772" s="19"/>
      <c r="AC772" s="11"/>
      <c r="AD772" s="9"/>
      <c r="AF772" s="14"/>
      <c r="AG772" s="13"/>
    </row>
    <row r="773" spans="1:33" x14ac:dyDescent="0.2">
      <c r="A773" s="5"/>
      <c r="B773" s="25"/>
      <c r="C773" s="26"/>
      <c r="D773" s="5"/>
      <c r="E773" s="5"/>
      <c r="F773" s="32"/>
      <c r="G773" s="9"/>
      <c r="H773" s="6"/>
      <c r="I773" s="7"/>
      <c r="J773" s="9"/>
      <c r="N773" s="9"/>
      <c r="O773" s="12"/>
      <c r="S773" s="9"/>
      <c r="T773" s="18"/>
      <c r="U773" s="18"/>
      <c r="Z773" s="19"/>
      <c r="AC773" s="11"/>
      <c r="AD773" s="9"/>
      <c r="AF773" s="14"/>
      <c r="AG773" s="13"/>
    </row>
    <row r="774" spans="1:33" x14ac:dyDescent="0.2">
      <c r="A774" s="5"/>
      <c r="B774" s="25"/>
      <c r="C774" s="26"/>
      <c r="D774" s="5"/>
      <c r="E774" s="5"/>
      <c r="F774" s="32"/>
      <c r="G774" s="9"/>
      <c r="H774" s="6"/>
      <c r="I774" s="7"/>
      <c r="J774" s="9"/>
      <c r="N774" s="9"/>
      <c r="O774" s="12"/>
      <c r="P774" s="12"/>
      <c r="S774" s="9"/>
      <c r="T774" s="18"/>
      <c r="U774" s="18"/>
      <c r="Z774" s="19"/>
      <c r="AC774" s="11"/>
      <c r="AD774" s="9"/>
      <c r="AF774" s="14"/>
      <c r="AG774" s="13"/>
    </row>
    <row r="775" spans="1:33" x14ac:dyDescent="0.2">
      <c r="A775" s="5"/>
      <c r="B775" s="25"/>
      <c r="C775" s="26"/>
      <c r="D775" s="5"/>
      <c r="E775" s="5"/>
      <c r="F775" s="32"/>
      <c r="G775" s="9"/>
      <c r="H775" s="6"/>
      <c r="I775" s="7"/>
      <c r="J775" s="9"/>
      <c r="N775" s="9"/>
      <c r="O775" s="12"/>
      <c r="P775" s="12"/>
      <c r="S775" s="9"/>
      <c r="T775" s="18"/>
      <c r="U775" s="18"/>
      <c r="Z775" s="19"/>
      <c r="AC775" s="11"/>
      <c r="AD775" s="9"/>
      <c r="AF775" s="14"/>
      <c r="AG775" s="13"/>
    </row>
    <row r="776" spans="1:33" x14ac:dyDescent="0.2">
      <c r="A776" s="5"/>
      <c r="B776" s="25"/>
      <c r="C776" s="26"/>
      <c r="D776" s="5"/>
      <c r="E776" s="5"/>
      <c r="F776" s="32"/>
      <c r="G776" s="9"/>
      <c r="H776" s="6"/>
      <c r="I776" s="7"/>
      <c r="J776" s="9"/>
      <c r="N776" s="9"/>
      <c r="O776" s="12"/>
      <c r="P776" s="12"/>
      <c r="S776" s="9"/>
      <c r="T776" s="18"/>
      <c r="U776" s="18"/>
      <c r="Z776" s="19"/>
      <c r="AC776" s="11"/>
      <c r="AD776" s="9"/>
      <c r="AF776" s="14"/>
      <c r="AG776" s="13"/>
    </row>
    <row r="777" spans="1:33" x14ac:dyDescent="0.2">
      <c r="A777" s="5"/>
      <c r="B777" s="25"/>
      <c r="C777" s="26"/>
      <c r="D777" s="5"/>
      <c r="E777" s="5"/>
      <c r="F777" s="32"/>
      <c r="G777" s="9"/>
      <c r="H777" s="6"/>
      <c r="I777" s="7"/>
      <c r="J777" s="9"/>
      <c r="N777" s="9"/>
      <c r="O777" s="12"/>
      <c r="S777" s="9"/>
      <c r="T777" s="18"/>
      <c r="U777" s="18"/>
      <c r="Z777" s="19"/>
      <c r="AC777" s="11"/>
      <c r="AD777" s="9"/>
      <c r="AF777" s="14"/>
      <c r="AG777" s="13"/>
    </row>
    <row r="778" spans="1:33" x14ac:dyDescent="0.2">
      <c r="A778" s="5"/>
      <c r="B778" s="25"/>
      <c r="C778" s="26"/>
      <c r="D778" s="5"/>
      <c r="E778" s="5"/>
      <c r="F778" s="32"/>
      <c r="G778" s="9"/>
      <c r="H778" s="6"/>
      <c r="I778" s="7"/>
      <c r="J778" s="9"/>
      <c r="N778" s="9"/>
      <c r="O778" s="12"/>
      <c r="P778" s="12"/>
      <c r="S778" s="9"/>
      <c r="T778" s="18"/>
      <c r="U778" s="18"/>
      <c r="Z778" s="19"/>
      <c r="AC778" s="11"/>
      <c r="AD778" s="9"/>
      <c r="AF778" s="14"/>
      <c r="AG778" s="13"/>
    </row>
    <row r="779" spans="1:33" x14ac:dyDescent="0.2">
      <c r="A779" s="5"/>
      <c r="B779" s="25"/>
      <c r="C779" s="26"/>
      <c r="D779" s="5"/>
      <c r="E779" s="5"/>
      <c r="F779" s="32"/>
      <c r="G779" s="9"/>
      <c r="H779" s="6"/>
      <c r="I779" s="7"/>
      <c r="J779" s="9"/>
      <c r="N779" s="9"/>
      <c r="O779" s="12"/>
      <c r="P779" s="12"/>
      <c r="S779" s="9"/>
      <c r="T779" s="18"/>
      <c r="U779" s="18"/>
      <c r="Z779" s="19"/>
      <c r="AC779" s="11"/>
      <c r="AD779" s="9"/>
      <c r="AF779" s="14"/>
      <c r="AG779" s="13"/>
    </row>
    <row r="780" spans="1:33" x14ac:dyDescent="0.2">
      <c r="A780" s="5"/>
      <c r="B780" s="25"/>
      <c r="C780" s="26"/>
      <c r="D780" s="5"/>
      <c r="E780" s="5"/>
      <c r="F780" s="32"/>
      <c r="G780" s="9"/>
      <c r="H780" s="6"/>
      <c r="I780" s="7"/>
      <c r="J780" s="9"/>
      <c r="N780" s="9"/>
      <c r="O780" s="12"/>
      <c r="P780" s="12"/>
      <c r="S780" s="9"/>
      <c r="T780" s="18"/>
      <c r="U780" s="18"/>
      <c r="Z780" s="19"/>
      <c r="AC780" s="11"/>
      <c r="AD780" s="9"/>
      <c r="AF780" s="14"/>
      <c r="AG780" s="13"/>
    </row>
    <row r="781" spans="1:33" x14ac:dyDescent="0.2">
      <c r="A781" s="5"/>
      <c r="B781" s="25"/>
      <c r="C781" s="26"/>
      <c r="D781" s="5"/>
      <c r="E781" s="5"/>
      <c r="F781" s="32"/>
      <c r="G781" s="9"/>
      <c r="H781" s="6"/>
      <c r="I781" s="7"/>
      <c r="J781" s="9"/>
      <c r="N781" s="9"/>
      <c r="O781" s="12"/>
      <c r="P781" s="12"/>
      <c r="S781" s="9"/>
      <c r="T781" s="18"/>
      <c r="U781" s="18"/>
      <c r="Z781" s="19"/>
      <c r="AC781" s="11"/>
      <c r="AD781" s="9"/>
      <c r="AF781" s="14"/>
      <c r="AG781" s="13"/>
    </row>
    <row r="782" spans="1:33" x14ac:dyDescent="0.2">
      <c r="A782" s="5"/>
      <c r="B782" s="25"/>
      <c r="C782" s="26"/>
      <c r="D782" s="5"/>
      <c r="E782" s="5"/>
      <c r="F782" s="32"/>
      <c r="G782" s="9"/>
      <c r="H782" s="6"/>
      <c r="I782" s="7"/>
      <c r="J782" s="9"/>
      <c r="N782" s="9"/>
      <c r="O782" s="12"/>
      <c r="S782" s="9"/>
      <c r="T782" s="18"/>
      <c r="U782" s="18"/>
      <c r="Z782" s="19"/>
      <c r="AC782" s="11"/>
      <c r="AD782" s="9"/>
      <c r="AF782" s="14"/>
      <c r="AG782" s="13"/>
    </row>
    <row r="783" spans="1:33" x14ac:dyDescent="0.2">
      <c r="A783" s="5"/>
      <c r="B783" s="25"/>
      <c r="C783" s="26"/>
      <c r="D783" s="5"/>
      <c r="E783" s="5"/>
      <c r="F783" s="32"/>
      <c r="G783" s="9"/>
      <c r="H783" s="6"/>
      <c r="I783" s="7"/>
      <c r="J783" s="9"/>
      <c r="N783" s="9"/>
      <c r="O783" s="12"/>
      <c r="S783" s="9"/>
      <c r="T783" s="18"/>
      <c r="U783" s="18"/>
      <c r="Z783" s="19"/>
      <c r="AC783" s="11"/>
      <c r="AD783" s="9"/>
      <c r="AF783" s="14"/>
      <c r="AG783" s="13"/>
    </row>
    <row r="784" spans="1:33" x14ac:dyDescent="0.2">
      <c r="A784" s="5"/>
      <c r="B784" s="25"/>
      <c r="C784" s="26"/>
      <c r="D784" s="5"/>
      <c r="E784" s="5"/>
      <c r="F784" s="32"/>
      <c r="G784" s="9"/>
      <c r="H784" s="6"/>
      <c r="I784" s="7"/>
      <c r="J784" s="9"/>
      <c r="N784" s="9"/>
      <c r="O784" s="12"/>
      <c r="P784" s="12"/>
      <c r="S784" s="9"/>
      <c r="T784" s="18"/>
      <c r="U784" s="18"/>
      <c r="Z784" s="19"/>
      <c r="AC784" s="11"/>
      <c r="AD784" s="9"/>
      <c r="AF784" s="14"/>
      <c r="AG784" s="13"/>
    </row>
    <row r="785" spans="1:33" x14ac:dyDescent="0.2">
      <c r="A785" s="5"/>
      <c r="B785" s="25"/>
      <c r="C785" s="26"/>
      <c r="D785" s="5"/>
      <c r="E785" s="5"/>
      <c r="F785" s="32"/>
      <c r="G785" s="9"/>
      <c r="H785" s="6"/>
      <c r="I785" s="7"/>
      <c r="J785" s="9"/>
      <c r="N785" s="9"/>
      <c r="O785" s="12"/>
      <c r="P785" s="12"/>
      <c r="S785" s="9"/>
      <c r="T785" s="18"/>
      <c r="U785" s="18"/>
      <c r="Z785" s="19"/>
      <c r="AC785" s="11"/>
      <c r="AD785" s="9"/>
      <c r="AF785" s="14"/>
      <c r="AG785" s="13"/>
    </row>
    <row r="786" spans="1:33" x14ac:dyDescent="0.2">
      <c r="A786" s="5"/>
      <c r="B786" s="25"/>
      <c r="C786" s="26"/>
      <c r="D786" s="5"/>
      <c r="E786" s="5"/>
      <c r="F786" s="32"/>
      <c r="G786" s="9"/>
      <c r="H786" s="6"/>
      <c r="I786" s="7"/>
      <c r="J786" s="9"/>
      <c r="N786" s="9"/>
      <c r="P786" s="12"/>
      <c r="S786" s="9"/>
      <c r="T786" s="18"/>
      <c r="U786" s="18"/>
      <c r="Z786" s="19"/>
      <c r="AC786" s="11"/>
      <c r="AD786" s="9"/>
      <c r="AF786" s="14"/>
      <c r="AG786" s="13"/>
    </row>
    <row r="787" spans="1:33" x14ac:dyDescent="0.2">
      <c r="A787" s="5"/>
      <c r="B787" s="25"/>
      <c r="C787" s="26"/>
      <c r="D787" s="5"/>
      <c r="E787" s="5"/>
      <c r="F787" s="32"/>
      <c r="G787" s="9"/>
      <c r="H787" s="6"/>
      <c r="I787" s="7"/>
      <c r="J787" s="9"/>
      <c r="N787" s="9"/>
      <c r="O787" s="12"/>
      <c r="P787" s="12"/>
      <c r="S787" s="9"/>
      <c r="T787" s="18"/>
      <c r="U787" s="18"/>
      <c r="Z787" s="19"/>
      <c r="AC787" s="11"/>
      <c r="AD787" s="9"/>
      <c r="AF787" s="14"/>
      <c r="AG787" s="13"/>
    </row>
    <row r="788" spans="1:33" x14ac:dyDescent="0.2">
      <c r="A788" s="5"/>
      <c r="B788" s="25"/>
      <c r="C788" s="26"/>
      <c r="D788" s="5"/>
      <c r="E788" s="5"/>
      <c r="F788" s="32"/>
      <c r="G788" s="9"/>
      <c r="H788" s="6"/>
      <c r="I788" s="7"/>
      <c r="J788" s="9"/>
      <c r="N788" s="9"/>
      <c r="O788" s="12"/>
      <c r="S788" s="9"/>
      <c r="T788" s="18"/>
      <c r="U788" s="18"/>
      <c r="Z788" s="19"/>
      <c r="AC788" s="11"/>
      <c r="AD788" s="9"/>
      <c r="AF788" s="14"/>
      <c r="AG788" s="13"/>
    </row>
    <row r="789" spans="1:33" x14ac:dyDescent="0.2">
      <c r="A789" s="5"/>
      <c r="B789" s="25"/>
      <c r="C789" s="26"/>
      <c r="D789" s="5"/>
      <c r="E789" s="5"/>
      <c r="F789" s="32"/>
      <c r="G789" s="9"/>
      <c r="H789" s="6"/>
      <c r="I789" s="7"/>
      <c r="J789" s="9"/>
      <c r="N789" s="9"/>
      <c r="O789" s="12"/>
      <c r="P789" s="12"/>
      <c r="S789" s="9"/>
      <c r="T789" s="18"/>
      <c r="U789" s="18"/>
      <c r="Z789" s="19"/>
      <c r="AC789" s="11"/>
      <c r="AD789" s="9"/>
      <c r="AF789" s="14"/>
      <c r="AG789" s="13"/>
    </row>
    <row r="790" spans="1:33" x14ac:dyDescent="0.2">
      <c r="A790" s="5"/>
      <c r="B790" s="25"/>
      <c r="C790" s="26"/>
      <c r="D790" s="5"/>
      <c r="E790" s="5"/>
      <c r="F790" s="32"/>
      <c r="G790" s="9"/>
      <c r="H790" s="6"/>
      <c r="I790" s="7"/>
      <c r="J790" s="9"/>
      <c r="N790" s="9"/>
      <c r="O790" s="12"/>
      <c r="P790" s="12"/>
      <c r="S790" s="9"/>
      <c r="T790" s="18"/>
      <c r="U790" s="18"/>
      <c r="Z790" s="19"/>
      <c r="AC790" s="11"/>
      <c r="AD790" s="9"/>
      <c r="AF790" s="14"/>
      <c r="AG790" s="13"/>
    </row>
    <row r="791" spans="1:33" x14ac:dyDescent="0.2">
      <c r="A791" s="5"/>
      <c r="B791" s="25"/>
      <c r="C791" s="26"/>
      <c r="D791" s="5"/>
      <c r="E791" s="5"/>
      <c r="F791" s="32"/>
      <c r="G791" s="9"/>
      <c r="H791" s="6"/>
      <c r="I791" s="7"/>
      <c r="J791" s="9"/>
      <c r="N791" s="9"/>
      <c r="O791" s="12"/>
      <c r="P791" s="12"/>
      <c r="S791" s="9"/>
      <c r="T791" s="18"/>
      <c r="U791" s="18"/>
      <c r="Z791" s="19"/>
      <c r="AC791" s="11"/>
      <c r="AD791" s="9"/>
      <c r="AF791" s="14"/>
      <c r="AG791" s="13"/>
    </row>
    <row r="792" spans="1:33" x14ac:dyDescent="0.2">
      <c r="A792" s="5"/>
      <c r="B792" s="25"/>
      <c r="C792" s="26"/>
      <c r="D792" s="5"/>
      <c r="E792" s="5"/>
      <c r="F792" s="32"/>
      <c r="G792" s="9"/>
      <c r="H792" s="6"/>
      <c r="I792" s="7"/>
      <c r="J792" s="9"/>
      <c r="N792" s="9"/>
      <c r="O792" s="12"/>
      <c r="P792" s="12"/>
      <c r="S792" s="9"/>
      <c r="T792" s="18"/>
      <c r="U792" s="18"/>
      <c r="Z792" s="19"/>
      <c r="AC792" s="11"/>
      <c r="AD792" s="9"/>
      <c r="AF792" s="14"/>
      <c r="AG792" s="13"/>
    </row>
    <row r="793" spans="1:33" x14ac:dyDescent="0.2">
      <c r="A793" s="5"/>
      <c r="B793" s="25"/>
      <c r="C793" s="26"/>
      <c r="D793" s="5"/>
      <c r="E793" s="5"/>
      <c r="F793" s="32"/>
      <c r="G793" s="9"/>
      <c r="H793" s="6"/>
      <c r="I793" s="7"/>
      <c r="J793" s="9"/>
      <c r="N793" s="9"/>
      <c r="O793" s="12"/>
      <c r="P793" s="12"/>
      <c r="S793" s="9"/>
      <c r="T793" s="18"/>
      <c r="U793" s="18"/>
      <c r="Z793" s="19"/>
      <c r="AC793" s="11"/>
      <c r="AD793" s="9"/>
      <c r="AF793" s="14"/>
      <c r="AG793" s="13"/>
    </row>
    <row r="794" spans="1:33" x14ac:dyDescent="0.2">
      <c r="A794" s="5"/>
      <c r="B794" s="25"/>
      <c r="C794" s="26"/>
      <c r="D794" s="5"/>
      <c r="E794" s="5"/>
      <c r="F794" s="32"/>
      <c r="G794" s="9"/>
      <c r="H794" s="6"/>
      <c r="I794" s="7"/>
      <c r="J794" s="9"/>
      <c r="N794" s="9"/>
      <c r="P794" s="12"/>
      <c r="S794" s="9"/>
      <c r="T794" s="18"/>
      <c r="U794" s="18"/>
      <c r="Z794" s="19"/>
      <c r="AC794" s="11"/>
      <c r="AD794" s="9"/>
      <c r="AF794" s="14"/>
      <c r="AG794" s="13"/>
    </row>
    <row r="795" spans="1:33" x14ac:dyDescent="0.2">
      <c r="A795" s="5"/>
      <c r="B795" s="25"/>
      <c r="C795" s="26"/>
      <c r="D795" s="5"/>
      <c r="E795" s="5"/>
      <c r="F795" s="32"/>
      <c r="G795" s="9"/>
      <c r="H795" s="6"/>
      <c r="I795" s="7"/>
      <c r="J795" s="9"/>
      <c r="N795" s="9"/>
      <c r="O795" s="12"/>
      <c r="P795" s="12"/>
      <c r="S795" s="9"/>
      <c r="T795" s="18"/>
      <c r="U795" s="18"/>
      <c r="Z795" s="19"/>
      <c r="AC795" s="11"/>
      <c r="AD795" s="9"/>
      <c r="AF795" s="14"/>
      <c r="AG795" s="13"/>
    </row>
    <row r="796" spans="1:33" x14ac:dyDescent="0.2">
      <c r="A796" s="5"/>
      <c r="B796" s="25"/>
      <c r="C796" s="26"/>
      <c r="D796" s="5"/>
      <c r="E796" s="5"/>
      <c r="F796" s="32"/>
      <c r="G796" s="9"/>
      <c r="H796" s="6"/>
      <c r="I796" s="7"/>
      <c r="J796" s="9"/>
      <c r="N796" s="9"/>
      <c r="O796" s="12"/>
      <c r="P796" s="12"/>
      <c r="S796" s="9"/>
      <c r="T796" s="18"/>
      <c r="U796" s="18"/>
      <c r="Z796" s="19"/>
      <c r="AC796" s="11"/>
      <c r="AD796" s="9"/>
      <c r="AF796" s="14"/>
      <c r="AG796" s="13"/>
    </row>
    <row r="797" spans="1:33" x14ac:dyDescent="0.2">
      <c r="A797" s="5"/>
      <c r="B797" s="25"/>
      <c r="C797" s="26"/>
      <c r="D797" s="5"/>
      <c r="E797" s="5"/>
      <c r="F797" s="32"/>
      <c r="G797" s="9"/>
      <c r="H797" s="6"/>
      <c r="I797" s="7"/>
      <c r="J797" s="9"/>
      <c r="N797" s="9"/>
      <c r="O797" s="12"/>
      <c r="P797" s="12"/>
      <c r="S797" s="9"/>
      <c r="T797" s="18"/>
      <c r="U797" s="18"/>
      <c r="Z797" s="19"/>
      <c r="AC797" s="11"/>
      <c r="AD797" s="9"/>
      <c r="AF797" s="14"/>
      <c r="AG797" s="13"/>
    </row>
    <row r="798" spans="1:33" x14ac:dyDescent="0.2">
      <c r="A798" s="5"/>
      <c r="B798" s="25"/>
      <c r="C798" s="26"/>
      <c r="D798" s="5"/>
      <c r="E798" s="5"/>
      <c r="F798" s="32"/>
      <c r="G798" s="9"/>
      <c r="H798" s="6"/>
      <c r="I798" s="7"/>
      <c r="J798" s="9"/>
      <c r="N798" s="9"/>
      <c r="O798" s="12"/>
      <c r="S798" s="9"/>
      <c r="T798" s="18"/>
      <c r="U798" s="18"/>
      <c r="Z798" s="19"/>
      <c r="AC798" s="11"/>
      <c r="AD798" s="9"/>
      <c r="AF798" s="14"/>
      <c r="AG798" s="13"/>
    </row>
    <row r="799" spans="1:33" x14ac:dyDescent="0.2">
      <c r="A799" s="5"/>
      <c r="B799" s="25"/>
      <c r="C799" s="26"/>
      <c r="D799" s="5"/>
      <c r="E799" s="5"/>
      <c r="F799" s="32"/>
      <c r="G799" s="9"/>
      <c r="H799" s="6"/>
      <c r="I799" s="7"/>
      <c r="J799" s="9"/>
      <c r="N799" s="9"/>
      <c r="O799" s="12"/>
      <c r="S799" s="9"/>
      <c r="T799" s="18"/>
      <c r="U799" s="18"/>
      <c r="Z799" s="19"/>
      <c r="AC799" s="11"/>
      <c r="AD799" s="9"/>
      <c r="AF799" s="14"/>
      <c r="AG799" s="13"/>
    </row>
    <row r="800" spans="1:33" x14ac:dyDescent="0.2">
      <c r="A800" s="5"/>
      <c r="B800" s="25"/>
      <c r="C800" s="26"/>
      <c r="D800" s="5"/>
      <c r="E800" s="5"/>
      <c r="F800" s="32"/>
      <c r="G800" s="9"/>
      <c r="H800" s="6"/>
      <c r="I800" s="7"/>
      <c r="J800" s="9"/>
      <c r="N800" s="9"/>
      <c r="O800" s="12"/>
      <c r="P800" s="12"/>
      <c r="S800" s="9"/>
      <c r="T800" s="18"/>
      <c r="U800" s="18"/>
      <c r="Z800" s="19"/>
      <c r="AC800" s="11"/>
      <c r="AD800" s="9"/>
      <c r="AF800" s="14"/>
      <c r="AG800" s="13"/>
    </row>
    <row r="801" spans="1:33" x14ac:dyDescent="0.2">
      <c r="A801" s="5"/>
      <c r="B801" s="25"/>
      <c r="C801" s="26"/>
      <c r="D801" s="5"/>
      <c r="E801" s="5"/>
      <c r="F801" s="32"/>
      <c r="G801" s="9"/>
      <c r="H801" s="6"/>
      <c r="I801" s="7"/>
      <c r="J801" s="9"/>
      <c r="N801" s="9"/>
      <c r="O801" s="12"/>
      <c r="P801" s="12"/>
      <c r="S801" s="9"/>
      <c r="T801" s="18"/>
      <c r="U801" s="18"/>
      <c r="Z801" s="19"/>
      <c r="AC801" s="11"/>
      <c r="AD801" s="9"/>
      <c r="AF801" s="14"/>
      <c r="AG801" s="13"/>
    </row>
    <row r="802" spans="1:33" x14ac:dyDescent="0.2">
      <c r="A802" s="5"/>
      <c r="B802" s="25"/>
      <c r="C802" s="26"/>
      <c r="D802" s="5"/>
      <c r="E802" s="5"/>
      <c r="F802" s="32"/>
      <c r="G802" s="9"/>
      <c r="H802" s="6"/>
      <c r="I802" s="7"/>
      <c r="J802" s="9"/>
      <c r="N802" s="9"/>
      <c r="O802" s="12"/>
      <c r="P802" s="12"/>
      <c r="S802" s="9"/>
      <c r="T802" s="18"/>
      <c r="U802" s="18"/>
      <c r="Z802" s="19"/>
      <c r="AC802" s="11"/>
      <c r="AD802" s="9"/>
      <c r="AF802" s="14"/>
      <c r="AG802" s="13"/>
    </row>
    <row r="803" spans="1:33" x14ac:dyDescent="0.2">
      <c r="A803" s="5"/>
      <c r="B803" s="25"/>
      <c r="C803" s="26"/>
      <c r="D803" s="5"/>
      <c r="E803" s="5"/>
      <c r="F803" s="32"/>
      <c r="G803" s="9"/>
      <c r="H803" s="6"/>
      <c r="I803" s="7"/>
      <c r="J803" s="9"/>
      <c r="N803" s="9"/>
      <c r="O803" s="12"/>
      <c r="S803" s="9"/>
      <c r="T803" s="18"/>
      <c r="U803" s="18"/>
      <c r="Z803" s="19"/>
      <c r="AC803" s="11"/>
      <c r="AD803" s="9"/>
      <c r="AF803" s="14"/>
      <c r="AG803" s="13"/>
    </row>
    <row r="804" spans="1:33" x14ac:dyDescent="0.2">
      <c r="A804" s="5"/>
      <c r="B804" s="25"/>
      <c r="C804" s="26"/>
      <c r="D804" s="5"/>
      <c r="E804" s="5"/>
      <c r="F804" s="32"/>
      <c r="G804" s="9"/>
      <c r="H804" s="6"/>
      <c r="I804" s="7"/>
      <c r="J804" s="9"/>
      <c r="N804" s="9"/>
      <c r="O804" s="12"/>
      <c r="S804" s="9"/>
      <c r="T804" s="18"/>
      <c r="U804" s="18"/>
      <c r="Z804" s="19"/>
      <c r="AC804" s="11"/>
      <c r="AD804" s="9"/>
      <c r="AF804" s="14"/>
      <c r="AG804" s="13"/>
    </row>
    <row r="805" spans="1:33" x14ac:dyDescent="0.2">
      <c r="A805" s="5"/>
      <c r="B805" s="25"/>
      <c r="C805" s="26"/>
      <c r="D805" s="5"/>
      <c r="E805" s="5"/>
      <c r="F805" s="32"/>
      <c r="G805" s="9"/>
      <c r="H805" s="6"/>
      <c r="I805" s="7"/>
      <c r="J805" s="9"/>
      <c r="N805" s="9"/>
      <c r="O805" s="12"/>
      <c r="P805" s="12"/>
      <c r="S805" s="9"/>
      <c r="T805" s="18"/>
      <c r="U805" s="18"/>
      <c r="Z805" s="19"/>
      <c r="AC805" s="11"/>
      <c r="AD805" s="9"/>
      <c r="AF805" s="14"/>
      <c r="AG805" s="13"/>
    </row>
    <row r="806" spans="1:33" x14ac:dyDescent="0.2">
      <c r="A806" s="5"/>
      <c r="B806" s="25"/>
      <c r="C806" s="26"/>
      <c r="D806" s="5"/>
      <c r="E806" s="5"/>
      <c r="F806" s="32"/>
      <c r="G806" s="9"/>
      <c r="H806" s="6"/>
      <c r="I806" s="7"/>
      <c r="J806" s="9"/>
      <c r="N806" s="9"/>
      <c r="O806" s="12"/>
      <c r="P806" s="12"/>
      <c r="S806" s="9"/>
      <c r="T806" s="18"/>
      <c r="U806" s="18"/>
      <c r="Z806" s="19"/>
      <c r="AC806" s="11"/>
      <c r="AD806" s="9"/>
      <c r="AF806" s="14"/>
      <c r="AG806" s="13"/>
    </row>
    <row r="807" spans="1:33" x14ac:dyDescent="0.2">
      <c r="A807" s="5"/>
      <c r="B807" s="25"/>
      <c r="C807" s="26"/>
      <c r="D807" s="5"/>
      <c r="E807" s="5"/>
      <c r="F807" s="32"/>
      <c r="G807" s="9"/>
      <c r="H807" s="6"/>
      <c r="I807" s="7"/>
      <c r="J807" s="9"/>
      <c r="N807" s="9"/>
      <c r="P807" s="12"/>
      <c r="S807" s="9"/>
      <c r="T807" s="18"/>
      <c r="U807" s="18"/>
      <c r="Z807" s="19"/>
      <c r="AC807" s="11"/>
      <c r="AD807" s="9"/>
      <c r="AF807" s="14"/>
      <c r="AG807" s="13"/>
    </row>
    <row r="808" spans="1:33" x14ac:dyDescent="0.2">
      <c r="A808" s="5"/>
      <c r="B808" s="25"/>
      <c r="C808" s="26"/>
      <c r="D808" s="5"/>
      <c r="E808" s="5"/>
      <c r="F808" s="32"/>
      <c r="G808" s="9"/>
      <c r="H808" s="6"/>
      <c r="I808" s="7"/>
      <c r="J808" s="9"/>
      <c r="N808" s="9"/>
      <c r="P808" s="12"/>
      <c r="S808" s="9"/>
      <c r="T808" s="18"/>
      <c r="U808" s="18"/>
      <c r="Z808" s="19"/>
      <c r="AC808" s="11"/>
      <c r="AD808" s="9"/>
      <c r="AF808" s="14"/>
      <c r="AG808" s="13"/>
    </row>
    <row r="809" spans="1:33" x14ac:dyDescent="0.2">
      <c r="A809" s="5"/>
      <c r="B809" s="25"/>
      <c r="C809" s="26"/>
      <c r="D809" s="5"/>
      <c r="E809" s="5"/>
      <c r="F809" s="32"/>
      <c r="G809" s="9"/>
      <c r="H809" s="6"/>
      <c r="I809" s="7"/>
      <c r="J809" s="9"/>
      <c r="N809" s="9"/>
      <c r="O809" s="12"/>
      <c r="P809" s="12"/>
      <c r="S809" s="9"/>
      <c r="T809" s="18"/>
      <c r="U809" s="18"/>
      <c r="Z809" s="19"/>
      <c r="AC809" s="11"/>
      <c r="AD809" s="9"/>
      <c r="AF809" s="14"/>
      <c r="AG809" s="13"/>
    </row>
    <row r="810" spans="1:33" x14ac:dyDescent="0.2">
      <c r="A810" s="5"/>
      <c r="B810" s="25"/>
      <c r="C810" s="26"/>
      <c r="D810" s="5"/>
      <c r="E810" s="5"/>
      <c r="F810" s="32"/>
      <c r="G810" s="9"/>
      <c r="H810" s="6"/>
      <c r="I810" s="7"/>
      <c r="J810" s="9"/>
      <c r="N810" s="9"/>
      <c r="O810" s="12"/>
      <c r="S810" s="9"/>
      <c r="T810" s="18"/>
      <c r="U810" s="18"/>
      <c r="Z810" s="19"/>
      <c r="AC810" s="11"/>
      <c r="AD810" s="9"/>
      <c r="AF810" s="14"/>
      <c r="AG810" s="13"/>
    </row>
    <row r="811" spans="1:33" x14ac:dyDescent="0.2">
      <c r="A811" s="5"/>
      <c r="B811" s="25"/>
      <c r="C811" s="26"/>
      <c r="D811" s="5"/>
      <c r="E811" s="5"/>
      <c r="F811" s="32"/>
      <c r="G811" s="9"/>
      <c r="H811" s="6"/>
      <c r="I811" s="7"/>
      <c r="J811" s="9"/>
      <c r="N811" s="9"/>
      <c r="O811" s="12"/>
      <c r="S811" s="9"/>
      <c r="T811" s="18"/>
      <c r="U811" s="18"/>
      <c r="Z811" s="19"/>
      <c r="AC811" s="11"/>
      <c r="AD811" s="9"/>
      <c r="AF811" s="14"/>
      <c r="AG811" s="13"/>
    </row>
    <row r="812" spans="1:33" x14ac:dyDescent="0.2">
      <c r="A812" s="5"/>
      <c r="B812" s="25"/>
      <c r="C812" s="26"/>
      <c r="D812" s="5"/>
      <c r="E812" s="5"/>
      <c r="F812" s="32"/>
      <c r="G812" s="9"/>
      <c r="H812" s="6"/>
      <c r="I812" s="7"/>
      <c r="J812" s="9"/>
      <c r="N812" s="9"/>
      <c r="O812" s="12"/>
      <c r="P812" s="12"/>
      <c r="S812" s="9"/>
      <c r="T812" s="18"/>
      <c r="U812" s="18"/>
      <c r="Z812" s="19"/>
      <c r="AC812" s="11"/>
      <c r="AD812" s="9"/>
      <c r="AF812" s="14"/>
      <c r="AG812" s="13"/>
    </row>
    <row r="813" spans="1:33" x14ac:dyDescent="0.2">
      <c r="A813" s="5"/>
      <c r="B813" s="25"/>
      <c r="C813" s="26"/>
      <c r="D813" s="5"/>
      <c r="E813" s="5"/>
      <c r="F813" s="32"/>
      <c r="G813" s="9"/>
      <c r="H813" s="6"/>
      <c r="I813" s="7"/>
      <c r="J813" s="9"/>
      <c r="N813" s="9"/>
      <c r="O813" s="12"/>
      <c r="P813" s="12"/>
      <c r="S813" s="9"/>
      <c r="T813" s="18"/>
      <c r="U813" s="18"/>
      <c r="Z813" s="19"/>
      <c r="AC813" s="11"/>
      <c r="AD813" s="9"/>
      <c r="AF813" s="14"/>
      <c r="AG813" s="13"/>
    </row>
    <row r="814" spans="1:33" x14ac:dyDescent="0.2">
      <c r="A814" s="5"/>
      <c r="B814" s="25"/>
      <c r="C814" s="26"/>
      <c r="D814" s="5"/>
      <c r="E814" s="5"/>
      <c r="F814" s="32"/>
      <c r="G814" s="9"/>
      <c r="H814" s="6"/>
      <c r="I814" s="7"/>
      <c r="J814" s="9"/>
      <c r="N814" s="9"/>
      <c r="O814" s="12"/>
      <c r="P814" s="12"/>
      <c r="S814" s="9"/>
      <c r="T814" s="18"/>
      <c r="U814" s="18"/>
      <c r="Z814" s="19"/>
      <c r="AC814" s="11"/>
      <c r="AD814" s="9"/>
      <c r="AF814" s="14"/>
      <c r="AG814" s="13"/>
    </row>
    <row r="815" spans="1:33" x14ac:dyDescent="0.2">
      <c r="A815" s="5"/>
      <c r="B815" s="25"/>
      <c r="C815" s="26"/>
      <c r="D815" s="5"/>
      <c r="E815" s="5"/>
      <c r="F815" s="32"/>
      <c r="G815" s="9"/>
      <c r="H815" s="6"/>
      <c r="I815" s="7"/>
      <c r="J815" s="9"/>
      <c r="N815" s="9"/>
      <c r="O815" s="12"/>
      <c r="P815" s="12"/>
      <c r="S815" s="9"/>
      <c r="T815" s="18"/>
      <c r="U815" s="18"/>
      <c r="Z815" s="19"/>
      <c r="AC815" s="11"/>
      <c r="AD815" s="9"/>
      <c r="AF815" s="14"/>
      <c r="AG815" s="13"/>
    </row>
    <row r="816" spans="1:33" x14ac:dyDescent="0.2">
      <c r="A816" s="5"/>
      <c r="B816" s="25"/>
      <c r="C816" s="26"/>
      <c r="D816" s="5"/>
      <c r="E816" s="5"/>
      <c r="F816" s="32"/>
      <c r="G816" s="9"/>
      <c r="H816" s="6"/>
      <c r="I816" s="7"/>
      <c r="J816" s="9"/>
      <c r="N816" s="9"/>
      <c r="O816" s="12"/>
      <c r="P816" s="12"/>
      <c r="S816" s="9"/>
      <c r="T816" s="18"/>
      <c r="U816" s="18"/>
      <c r="Z816" s="19"/>
      <c r="AC816" s="11"/>
      <c r="AD816" s="9"/>
      <c r="AF816" s="14"/>
      <c r="AG816" s="13"/>
    </row>
    <row r="817" spans="1:33" x14ac:dyDescent="0.2">
      <c r="A817" s="5"/>
      <c r="B817" s="25"/>
      <c r="C817" s="26"/>
      <c r="D817" s="5"/>
      <c r="E817" s="5"/>
      <c r="F817" s="32"/>
      <c r="G817" s="9"/>
      <c r="H817" s="6"/>
      <c r="I817" s="7"/>
      <c r="J817" s="9"/>
      <c r="N817" s="9"/>
      <c r="O817" s="12"/>
      <c r="P817" s="12"/>
      <c r="S817" s="9"/>
      <c r="T817" s="18"/>
      <c r="U817" s="18"/>
      <c r="Z817" s="19"/>
      <c r="AC817" s="11"/>
      <c r="AD817" s="9"/>
      <c r="AF817" s="14"/>
      <c r="AG817" s="13"/>
    </row>
    <row r="818" spans="1:33" x14ac:dyDescent="0.2">
      <c r="A818" s="5"/>
      <c r="B818" s="25"/>
      <c r="C818" s="26"/>
      <c r="D818" s="5"/>
      <c r="E818" s="5"/>
      <c r="F818" s="32"/>
      <c r="G818" s="9"/>
      <c r="H818" s="6"/>
      <c r="I818" s="7"/>
      <c r="J818" s="9"/>
      <c r="N818" s="9"/>
      <c r="O818" s="12"/>
      <c r="P818" s="12"/>
      <c r="S818" s="9"/>
      <c r="T818" s="18"/>
      <c r="U818" s="18"/>
      <c r="Z818" s="19"/>
      <c r="AC818" s="11"/>
      <c r="AD818" s="9"/>
      <c r="AF818" s="14"/>
      <c r="AG818" s="13"/>
    </row>
    <row r="819" spans="1:33" x14ac:dyDescent="0.2">
      <c r="A819" s="5"/>
      <c r="B819" s="25"/>
      <c r="C819" s="26"/>
      <c r="D819" s="5"/>
      <c r="E819" s="5"/>
      <c r="F819" s="32"/>
      <c r="G819" s="9"/>
      <c r="H819" s="6"/>
      <c r="I819" s="7"/>
      <c r="J819" s="9"/>
      <c r="N819" s="9"/>
      <c r="O819" s="12"/>
      <c r="P819" s="12"/>
      <c r="S819" s="9"/>
      <c r="T819" s="18"/>
      <c r="U819" s="18"/>
      <c r="Z819" s="19"/>
      <c r="AC819" s="11"/>
      <c r="AD819" s="9"/>
      <c r="AF819" s="14"/>
      <c r="AG819" s="13"/>
    </row>
    <row r="820" spans="1:33" x14ac:dyDescent="0.2">
      <c r="A820" s="5"/>
      <c r="B820" s="25"/>
      <c r="C820" s="26"/>
      <c r="D820" s="5"/>
      <c r="E820" s="5"/>
      <c r="F820" s="32"/>
      <c r="G820" s="9"/>
      <c r="H820" s="6"/>
      <c r="I820" s="7"/>
      <c r="J820" s="9"/>
      <c r="N820" s="9"/>
      <c r="O820" s="12"/>
      <c r="S820" s="9"/>
      <c r="T820" s="18"/>
      <c r="U820" s="18"/>
      <c r="Z820" s="19"/>
      <c r="AC820" s="11"/>
      <c r="AD820" s="9"/>
      <c r="AF820" s="14"/>
      <c r="AG820" s="13"/>
    </row>
    <row r="821" spans="1:33" x14ac:dyDescent="0.2">
      <c r="A821" s="5"/>
      <c r="B821" s="25"/>
      <c r="C821" s="26"/>
      <c r="D821" s="5"/>
      <c r="E821" s="5"/>
      <c r="F821" s="32"/>
      <c r="G821" s="9"/>
      <c r="H821" s="6"/>
      <c r="I821" s="7"/>
      <c r="J821" s="9"/>
      <c r="N821" s="9"/>
      <c r="O821" s="12"/>
      <c r="S821" s="9"/>
      <c r="T821" s="18"/>
      <c r="U821" s="18"/>
      <c r="Z821" s="19"/>
      <c r="AC821" s="11"/>
      <c r="AD821" s="9"/>
      <c r="AF821" s="14"/>
      <c r="AG821" s="13"/>
    </row>
    <row r="822" spans="1:33" x14ac:dyDescent="0.2">
      <c r="A822" s="5"/>
      <c r="B822" s="25"/>
      <c r="C822" s="26"/>
      <c r="D822" s="5"/>
      <c r="E822" s="5"/>
      <c r="F822" s="32"/>
      <c r="G822" s="9"/>
      <c r="H822" s="6"/>
      <c r="I822" s="7"/>
      <c r="J822" s="9"/>
      <c r="N822" s="9"/>
      <c r="O822" s="12"/>
      <c r="P822" s="12"/>
      <c r="S822" s="9"/>
      <c r="T822" s="18"/>
      <c r="U822" s="18"/>
      <c r="Z822" s="19"/>
      <c r="AC822" s="11"/>
      <c r="AD822" s="9"/>
      <c r="AF822" s="14"/>
      <c r="AG822" s="13"/>
    </row>
    <row r="823" spans="1:33" x14ac:dyDescent="0.2">
      <c r="A823" s="5"/>
      <c r="B823" s="25"/>
      <c r="C823" s="26"/>
      <c r="D823" s="5"/>
      <c r="E823" s="5"/>
      <c r="F823" s="32"/>
      <c r="G823" s="9"/>
      <c r="H823" s="6"/>
      <c r="I823" s="7"/>
      <c r="J823" s="9"/>
      <c r="N823" s="9"/>
      <c r="O823" s="12"/>
      <c r="P823" s="12"/>
      <c r="S823" s="9"/>
      <c r="T823" s="18"/>
      <c r="U823" s="18"/>
      <c r="Z823" s="19"/>
      <c r="AC823" s="11"/>
      <c r="AD823" s="9"/>
      <c r="AF823" s="14"/>
      <c r="AG823" s="13"/>
    </row>
    <row r="824" spans="1:33" x14ac:dyDescent="0.2">
      <c r="A824" s="5"/>
      <c r="B824" s="25"/>
      <c r="C824" s="26"/>
      <c r="D824" s="5"/>
      <c r="E824" s="5"/>
      <c r="F824" s="32"/>
      <c r="G824" s="9"/>
      <c r="H824" s="6"/>
      <c r="I824" s="7"/>
      <c r="J824" s="9"/>
      <c r="N824" s="9"/>
      <c r="O824" s="12"/>
      <c r="P824" s="12"/>
      <c r="S824" s="9"/>
      <c r="T824" s="18"/>
      <c r="U824" s="18"/>
      <c r="Z824" s="19"/>
      <c r="AC824" s="11"/>
      <c r="AD824" s="9"/>
      <c r="AF824" s="14"/>
      <c r="AG824" s="13"/>
    </row>
    <row r="825" spans="1:33" x14ac:dyDescent="0.2">
      <c r="A825" s="5"/>
      <c r="B825" s="25"/>
      <c r="C825" s="26"/>
      <c r="D825" s="5"/>
      <c r="E825" s="5"/>
      <c r="F825" s="32"/>
      <c r="G825" s="9"/>
      <c r="H825" s="6"/>
      <c r="I825" s="7"/>
      <c r="J825" s="9"/>
      <c r="N825" s="9"/>
      <c r="P825" s="12"/>
      <c r="S825" s="9"/>
      <c r="T825" s="18"/>
      <c r="U825" s="18"/>
      <c r="Z825" s="19"/>
      <c r="AC825" s="11"/>
      <c r="AD825" s="9"/>
      <c r="AF825" s="14"/>
      <c r="AG825" s="13"/>
    </row>
    <row r="826" spans="1:33" x14ac:dyDescent="0.2">
      <c r="A826" s="5"/>
      <c r="B826" s="25"/>
      <c r="C826" s="26"/>
      <c r="D826" s="5"/>
      <c r="E826" s="5"/>
      <c r="F826" s="32"/>
      <c r="G826" s="9"/>
      <c r="H826" s="6"/>
      <c r="I826" s="7"/>
      <c r="J826" s="9"/>
      <c r="N826" s="9"/>
      <c r="O826" s="12"/>
      <c r="P826" s="12"/>
      <c r="S826" s="9"/>
      <c r="T826" s="18"/>
      <c r="U826" s="18"/>
      <c r="Z826" s="19"/>
      <c r="AC826" s="11"/>
      <c r="AD826" s="9"/>
      <c r="AF826" s="14"/>
      <c r="AG826" s="13"/>
    </row>
    <row r="827" spans="1:33" x14ac:dyDescent="0.2">
      <c r="A827" s="5"/>
      <c r="B827" s="25"/>
      <c r="C827" s="26"/>
      <c r="D827" s="5"/>
      <c r="E827" s="5"/>
      <c r="F827" s="32"/>
      <c r="G827" s="9"/>
      <c r="H827" s="6"/>
      <c r="I827" s="7"/>
      <c r="J827" s="9"/>
      <c r="N827" s="9"/>
      <c r="O827" s="12"/>
      <c r="P827" s="12"/>
      <c r="S827" s="9"/>
      <c r="T827" s="18"/>
      <c r="U827" s="18"/>
      <c r="Z827" s="19"/>
      <c r="AC827" s="11"/>
      <c r="AD827" s="9"/>
      <c r="AF827" s="14"/>
      <c r="AG827" s="13"/>
    </row>
    <row r="828" spans="1:33" x14ac:dyDescent="0.2">
      <c r="A828" s="5"/>
      <c r="B828" s="25"/>
      <c r="C828" s="26"/>
      <c r="D828" s="5"/>
      <c r="E828" s="5"/>
      <c r="F828" s="32"/>
      <c r="G828" s="9"/>
      <c r="H828" s="6"/>
      <c r="I828" s="7"/>
      <c r="J828" s="9"/>
      <c r="N828" s="9"/>
      <c r="O828" s="12"/>
      <c r="P828" s="12"/>
      <c r="S828" s="9"/>
      <c r="T828" s="18"/>
      <c r="U828" s="18"/>
      <c r="Z828" s="19"/>
      <c r="AC828" s="11"/>
      <c r="AD828" s="9"/>
      <c r="AF828" s="14"/>
      <c r="AG828" s="13"/>
    </row>
    <row r="829" spans="1:33" x14ac:dyDescent="0.2">
      <c r="A829" s="5"/>
      <c r="B829" s="25"/>
      <c r="C829" s="26"/>
      <c r="D829" s="5"/>
      <c r="E829" s="5"/>
      <c r="F829" s="32"/>
      <c r="G829" s="9"/>
      <c r="H829" s="6"/>
      <c r="I829" s="7"/>
      <c r="J829" s="9"/>
      <c r="N829" s="9"/>
      <c r="O829" s="12"/>
      <c r="S829" s="9"/>
      <c r="T829" s="18"/>
      <c r="U829" s="18"/>
      <c r="Z829" s="19"/>
      <c r="AC829" s="11"/>
      <c r="AD829" s="9"/>
      <c r="AF829" s="14"/>
      <c r="AG829" s="13"/>
    </row>
    <row r="830" spans="1:33" x14ac:dyDescent="0.2">
      <c r="A830" s="5"/>
      <c r="B830" s="25"/>
      <c r="C830" s="26"/>
      <c r="D830" s="5"/>
      <c r="E830" s="5"/>
      <c r="F830" s="32"/>
      <c r="G830" s="9"/>
      <c r="H830" s="6"/>
      <c r="I830" s="7"/>
      <c r="J830" s="9"/>
      <c r="N830" s="9"/>
      <c r="O830" s="12"/>
      <c r="S830" s="9"/>
      <c r="T830" s="18"/>
      <c r="U830" s="18"/>
      <c r="Z830" s="19"/>
      <c r="AC830" s="11"/>
      <c r="AD830" s="9"/>
      <c r="AF830" s="14"/>
      <c r="AG830" s="13"/>
    </row>
    <row r="831" spans="1:33" x14ac:dyDescent="0.2">
      <c r="A831" s="5"/>
      <c r="B831" s="25"/>
      <c r="C831" s="26"/>
      <c r="D831" s="5"/>
      <c r="E831" s="5"/>
      <c r="F831" s="32"/>
      <c r="G831" s="9"/>
      <c r="H831" s="6"/>
      <c r="I831" s="7"/>
      <c r="J831" s="9"/>
      <c r="N831" s="9"/>
      <c r="O831" s="12"/>
      <c r="P831" s="12"/>
      <c r="S831" s="9"/>
      <c r="T831" s="18"/>
      <c r="U831" s="18"/>
      <c r="Z831" s="19"/>
      <c r="AC831" s="11"/>
      <c r="AD831" s="9"/>
      <c r="AF831" s="14"/>
      <c r="AG831" s="13"/>
    </row>
    <row r="832" spans="1:33" x14ac:dyDescent="0.2">
      <c r="A832" s="5"/>
      <c r="B832" s="25"/>
      <c r="C832" s="26"/>
      <c r="D832" s="5"/>
      <c r="E832" s="5"/>
      <c r="F832" s="32"/>
      <c r="G832" s="9"/>
      <c r="H832" s="6"/>
      <c r="I832" s="7"/>
      <c r="J832" s="9"/>
      <c r="N832" s="9"/>
      <c r="P832" s="12"/>
      <c r="S832" s="9"/>
      <c r="T832" s="18"/>
      <c r="U832" s="18"/>
      <c r="Z832" s="19"/>
      <c r="AC832" s="11"/>
      <c r="AD832" s="9"/>
      <c r="AF832" s="14"/>
      <c r="AG832" s="13"/>
    </row>
    <row r="833" spans="1:41" x14ac:dyDescent="0.2">
      <c r="A833" s="5"/>
      <c r="B833" s="25"/>
      <c r="C833" s="26"/>
      <c r="D833" s="5"/>
      <c r="E833" s="5"/>
      <c r="F833" s="32"/>
      <c r="G833" s="9"/>
      <c r="H833" s="6"/>
      <c r="I833" s="7"/>
      <c r="J833" s="9"/>
      <c r="N833" s="9"/>
      <c r="O833" s="12"/>
      <c r="S833" s="9"/>
      <c r="T833" s="18"/>
      <c r="U833" s="18"/>
      <c r="Z833" s="19"/>
      <c r="AC833" s="11"/>
      <c r="AD833" s="9"/>
      <c r="AF833" s="14"/>
      <c r="AG833" s="13"/>
    </row>
    <row r="834" spans="1:41" x14ac:dyDescent="0.2">
      <c r="A834" s="5"/>
      <c r="B834" s="25"/>
      <c r="C834" s="26"/>
      <c r="D834" s="5"/>
      <c r="E834" s="5"/>
      <c r="F834" s="32"/>
      <c r="G834" s="9"/>
      <c r="H834" s="6"/>
      <c r="I834" s="7"/>
      <c r="J834" s="9"/>
      <c r="N834" s="9"/>
      <c r="O834" s="12"/>
      <c r="S834" s="9"/>
      <c r="T834" s="18"/>
      <c r="U834" s="18"/>
      <c r="Z834" s="19"/>
      <c r="AC834" s="11"/>
      <c r="AD834" s="9"/>
      <c r="AF834" s="14"/>
      <c r="AG834" s="13"/>
    </row>
    <row r="835" spans="1:41" x14ac:dyDescent="0.2">
      <c r="A835" s="5"/>
      <c r="B835" s="25"/>
      <c r="C835" s="26"/>
      <c r="D835" s="5"/>
      <c r="E835" s="5"/>
      <c r="F835" s="32"/>
      <c r="G835" s="9"/>
      <c r="H835" s="6"/>
      <c r="I835" s="7"/>
      <c r="J835" s="9"/>
      <c r="N835" s="9"/>
      <c r="P835" s="12"/>
      <c r="S835" s="9"/>
      <c r="T835" s="18"/>
      <c r="U835" s="18"/>
      <c r="Z835" s="19"/>
      <c r="AC835" s="11"/>
      <c r="AD835" s="9"/>
      <c r="AF835" s="14"/>
      <c r="AG835" s="13"/>
    </row>
    <row r="836" spans="1:41" x14ac:dyDescent="0.2">
      <c r="A836" s="5"/>
      <c r="B836" s="25"/>
      <c r="C836" s="26"/>
      <c r="D836" s="5"/>
      <c r="E836" s="5"/>
      <c r="F836" s="32"/>
      <c r="G836" s="9"/>
      <c r="H836" s="6"/>
      <c r="I836" s="7"/>
      <c r="J836" s="9"/>
      <c r="N836" s="9"/>
      <c r="P836" s="12"/>
      <c r="S836" s="9"/>
      <c r="T836" s="18"/>
      <c r="U836" s="18"/>
      <c r="Z836" s="19"/>
      <c r="AC836" s="11"/>
      <c r="AD836" s="9"/>
      <c r="AF836" s="14"/>
      <c r="AG836" s="13"/>
    </row>
    <row r="837" spans="1:41" x14ac:dyDescent="0.2">
      <c r="A837" s="5"/>
      <c r="B837" s="25"/>
      <c r="C837" s="26"/>
      <c r="D837" s="5"/>
      <c r="E837" s="5"/>
      <c r="F837" s="32"/>
      <c r="G837" s="9"/>
      <c r="H837" s="6"/>
      <c r="I837" s="7"/>
      <c r="J837" s="9"/>
      <c r="N837" s="9"/>
      <c r="O837" s="40"/>
      <c r="P837" s="40"/>
      <c r="Q837" s="38"/>
      <c r="R837" s="38"/>
      <c r="S837" s="38"/>
      <c r="T837" s="42"/>
      <c r="U837" s="42"/>
      <c r="V837" s="38"/>
      <c r="W837" s="38"/>
      <c r="X837" s="38"/>
      <c r="Z837" s="43"/>
      <c r="AA837" s="41"/>
      <c r="AB837" s="41"/>
      <c r="AC837" s="44"/>
      <c r="AD837" s="38"/>
      <c r="AE837" s="39"/>
      <c r="AF837" s="39"/>
      <c r="AG837" s="45"/>
      <c r="AH837" s="46"/>
      <c r="AI837" s="44"/>
      <c r="AJ837" s="41"/>
      <c r="AK837" s="41"/>
      <c r="AL837" s="41"/>
      <c r="AM837" s="41"/>
      <c r="AN837" s="41"/>
      <c r="AO837" s="41"/>
    </row>
    <row r="838" spans="1:41" x14ac:dyDescent="0.2">
      <c r="A838" s="5"/>
      <c r="B838" s="25"/>
      <c r="C838" s="26"/>
      <c r="D838" s="5"/>
      <c r="E838" s="5"/>
      <c r="F838" s="32"/>
      <c r="G838" s="9"/>
      <c r="H838" s="6"/>
      <c r="I838" s="7"/>
      <c r="J838" s="9"/>
      <c r="N838" s="9"/>
      <c r="O838" s="12"/>
      <c r="P838" s="12"/>
      <c r="S838" s="9"/>
      <c r="T838" s="18"/>
      <c r="U838" s="18"/>
      <c r="Z838" s="19"/>
      <c r="AC838" s="11"/>
      <c r="AD838" s="9"/>
      <c r="AF838" s="14"/>
      <c r="AG838" s="13"/>
    </row>
    <row r="839" spans="1:41" x14ac:dyDescent="0.2">
      <c r="A839" s="5"/>
      <c r="B839" s="25"/>
      <c r="C839" s="26"/>
      <c r="D839" s="5"/>
      <c r="E839" s="5"/>
      <c r="F839" s="32"/>
      <c r="G839" s="9"/>
      <c r="H839" s="6"/>
      <c r="I839" s="7"/>
      <c r="J839" s="9"/>
      <c r="N839" s="9"/>
      <c r="P839" s="12"/>
      <c r="S839" s="9"/>
      <c r="T839" s="18"/>
      <c r="U839" s="18"/>
      <c r="Z839" s="19"/>
      <c r="AC839" s="11"/>
      <c r="AD839" s="9"/>
      <c r="AF839" s="14"/>
      <c r="AG839" s="13"/>
    </row>
    <row r="840" spans="1:41" x14ac:dyDescent="0.2">
      <c r="A840" s="5"/>
      <c r="B840" s="25"/>
      <c r="C840" s="26"/>
      <c r="D840" s="5"/>
      <c r="E840" s="5"/>
      <c r="F840" s="32"/>
      <c r="G840" s="9"/>
      <c r="H840" s="6"/>
      <c r="I840" s="7"/>
      <c r="J840" s="9"/>
      <c r="N840" s="9"/>
      <c r="O840" s="12"/>
      <c r="P840" s="12"/>
      <c r="S840" s="9"/>
      <c r="T840" s="18"/>
      <c r="U840" s="18"/>
      <c r="Z840" s="19"/>
      <c r="AC840" s="11"/>
      <c r="AD840" s="9"/>
      <c r="AF840" s="14"/>
      <c r="AG840" s="13"/>
    </row>
    <row r="841" spans="1:41" x14ac:dyDescent="0.2">
      <c r="A841" s="5"/>
      <c r="B841" s="25"/>
      <c r="C841" s="26"/>
      <c r="D841" s="5"/>
      <c r="E841" s="5"/>
      <c r="F841" s="32"/>
      <c r="G841" s="9"/>
      <c r="H841" s="6"/>
      <c r="I841" s="7"/>
      <c r="J841" s="9"/>
      <c r="N841" s="9"/>
      <c r="O841" s="12"/>
      <c r="S841" s="9"/>
      <c r="T841" s="18"/>
      <c r="U841" s="18"/>
      <c r="Z841" s="19"/>
      <c r="AC841" s="11"/>
      <c r="AD841" s="9"/>
      <c r="AF841" s="14"/>
      <c r="AG841" s="13"/>
    </row>
    <row r="842" spans="1:41" x14ac:dyDescent="0.2">
      <c r="A842" s="5"/>
      <c r="B842" s="25"/>
      <c r="C842" s="26"/>
      <c r="D842" s="5"/>
      <c r="E842" s="5"/>
      <c r="F842" s="32"/>
      <c r="G842" s="9"/>
      <c r="H842" s="6"/>
      <c r="I842" s="7"/>
      <c r="J842" s="9"/>
      <c r="N842" s="9"/>
      <c r="O842" s="12"/>
      <c r="S842" s="9"/>
      <c r="T842" s="18"/>
      <c r="U842" s="18"/>
      <c r="Z842" s="19"/>
      <c r="AC842" s="11"/>
      <c r="AD842" s="9"/>
      <c r="AF842" s="14"/>
      <c r="AG842" s="13"/>
    </row>
    <row r="843" spans="1:41" x14ac:dyDescent="0.2">
      <c r="A843" s="5"/>
      <c r="B843" s="25"/>
      <c r="C843" s="26"/>
      <c r="D843" s="5"/>
      <c r="E843" s="5"/>
      <c r="F843" s="32"/>
      <c r="G843" s="9"/>
      <c r="H843" s="6"/>
      <c r="I843" s="7"/>
      <c r="J843" s="9"/>
      <c r="N843" s="9"/>
      <c r="O843" s="12"/>
      <c r="S843" s="9"/>
      <c r="T843" s="18"/>
      <c r="U843" s="18"/>
      <c r="Z843" s="19"/>
      <c r="AC843" s="11"/>
      <c r="AD843" s="9"/>
      <c r="AF843" s="14"/>
      <c r="AG843" s="13"/>
    </row>
    <row r="844" spans="1:41" x14ac:dyDescent="0.2">
      <c r="A844" s="5"/>
      <c r="B844" s="25"/>
      <c r="C844" s="26"/>
      <c r="D844" s="5"/>
      <c r="E844" s="5"/>
      <c r="F844" s="32"/>
      <c r="G844" s="9"/>
      <c r="H844" s="6"/>
      <c r="I844" s="7"/>
      <c r="J844" s="9"/>
      <c r="N844" s="9"/>
      <c r="O844" s="12"/>
      <c r="P844" s="12"/>
      <c r="S844" s="9"/>
      <c r="T844" s="18"/>
      <c r="U844" s="18"/>
      <c r="Z844" s="19"/>
      <c r="AC844" s="11"/>
      <c r="AD844" s="9"/>
      <c r="AF844" s="14"/>
      <c r="AG844" s="13"/>
    </row>
    <row r="845" spans="1:41" x14ac:dyDescent="0.2">
      <c r="A845" s="5"/>
      <c r="B845" s="25"/>
      <c r="C845" s="26"/>
      <c r="D845" s="5"/>
      <c r="E845" s="5"/>
      <c r="F845" s="32"/>
      <c r="G845" s="9"/>
      <c r="H845" s="6"/>
      <c r="I845" s="7"/>
      <c r="J845" s="9"/>
      <c r="N845" s="9"/>
      <c r="O845" s="12"/>
      <c r="P845" s="12"/>
      <c r="S845" s="9"/>
      <c r="T845" s="18"/>
      <c r="U845" s="18"/>
      <c r="Z845" s="19"/>
      <c r="AC845" s="11"/>
      <c r="AD845" s="9"/>
      <c r="AF845" s="14"/>
      <c r="AG845" s="13"/>
    </row>
    <row r="846" spans="1:41" x14ac:dyDescent="0.2">
      <c r="A846" s="5"/>
      <c r="B846" s="25"/>
      <c r="C846" s="26"/>
      <c r="D846" s="5"/>
      <c r="E846" s="5"/>
      <c r="F846" s="32"/>
      <c r="G846" s="9"/>
      <c r="H846" s="6"/>
      <c r="I846" s="7"/>
      <c r="J846" s="9"/>
      <c r="N846" s="9"/>
      <c r="O846" s="12"/>
      <c r="P846" s="12"/>
      <c r="S846" s="9"/>
      <c r="T846" s="18"/>
      <c r="U846" s="18"/>
      <c r="Z846" s="19"/>
      <c r="AC846" s="11"/>
      <c r="AD846" s="9"/>
      <c r="AF846" s="14"/>
      <c r="AG846" s="13"/>
    </row>
    <row r="847" spans="1:41" x14ac:dyDescent="0.2">
      <c r="A847" s="5"/>
      <c r="B847" s="25"/>
      <c r="C847" s="26"/>
      <c r="D847" s="5"/>
      <c r="E847" s="5"/>
      <c r="F847" s="32"/>
      <c r="G847" s="9"/>
      <c r="H847" s="6"/>
      <c r="I847" s="7"/>
      <c r="J847" s="9"/>
      <c r="N847" s="9"/>
      <c r="O847" s="12"/>
      <c r="S847" s="9"/>
      <c r="T847" s="18"/>
      <c r="U847" s="18"/>
      <c r="Z847" s="19"/>
      <c r="AC847" s="11"/>
      <c r="AD847" s="9"/>
      <c r="AF847" s="14"/>
      <c r="AG847" s="13"/>
    </row>
    <row r="848" spans="1:41" x14ac:dyDescent="0.2">
      <c r="A848" s="5"/>
      <c r="B848" s="25"/>
      <c r="C848" s="26"/>
      <c r="D848" s="5"/>
      <c r="E848" s="5"/>
      <c r="F848" s="32"/>
      <c r="G848" s="9"/>
      <c r="H848" s="6"/>
      <c r="I848" s="7"/>
      <c r="J848" s="9"/>
      <c r="N848" s="9"/>
      <c r="O848" s="12"/>
      <c r="P848" s="12"/>
      <c r="S848" s="9"/>
      <c r="T848" s="18"/>
      <c r="U848" s="18"/>
      <c r="Z848" s="19"/>
      <c r="AC848" s="11"/>
      <c r="AD848" s="9"/>
      <c r="AF848" s="14"/>
      <c r="AG848" s="13"/>
    </row>
    <row r="849" spans="1:33" x14ac:dyDescent="0.2">
      <c r="A849" s="5"/>
      <c r="B849" s="25"/>
      <c r="C849" s="26"/>
      <c r="D849" s="5"/>
      <c r="E849" s="5"/>
      <c r="F849" s="32"/>
      <c r="G849" s="9"/>
      <c r="H849" s="6"/>
      <c r="I849" s="7"/>
      <c r="J849" s="9"/>
      <c r="N849" s="9"/>
      <c r="O849" s="12"/>
      <c r="P849" s="12"/>
      <c r="S849" s="9"/>
      <c r="T849" s="18"/>
      <c r="U849" s="18"/>
      <c r="Z849" s="19"/>
      <c r="AC849" s="11"/>
      <c r="AD849" s="9"/>
      <c r="AF849" s="14"/>
      <c r="AG849" s="13"/>
    </row>
    <row r="850" spans="1:33" x14ac:dyDescent="0.2">
      <c r="A850" s="5"/>
      <c r="B850" s="25"/>
      <c r="C850" s="26"/>
      <c r="D850" s="5"/>
      <c r="E850" s="5"/>
      <c r="F850" s="32"/>
      <c r="G850" s="9"/>
      <c r="H850" s="6"/>
      <c r="I850" s="7"/>
      <c r="J850" s="9"/>
      <c r="N850" s="9"/>
      <c r="O850" s="12"/>
      <c r="P850" s="12"/>
      <c r="S850" s="9"/>
      <c r="T850" s="18"/>
      <c r="U850" s="18"/>
      <c r="Z850" s="19"/>
      <c r="AC850" s="11"/>
      <c r="AD850" s="9"/>
      <c r="AF850" s="14"/>
      <c r="AG850" s="13"/>
    </row>
    <row r="851" spans="1:33" x14ac:dyDescent="0.2">
      <c r="A851" s="5"/>
      <c r="B851" s="25"/>
      <c r="C851" s="26"/>
      <c r="D851" s="5"/>
      <c r="E851" s="5"/>
      <c r="F851" s="32"/>
      <c r="G851" s="9"/>
      <c r="H851" s="6"/>
      <c r="I851" s="7"/>
      <c r="J851" s="9"/>
      <c r="N851" s="9"/>
      <c r="O851" s="12"/>
      <c r="S851" s="9"/>
      <c r="T851" s="18"/>
      <c r="U851" s="18"/>
      <c r="Z851" s="19"/>
      <c r="AC851" s="11"/>
      <c r="AD851" s="9"/>
      <c r="AF851" s="14"/>
      <c r="AG851" s="13"/>
    </row>
    <row r="852" spans="1:33" x14ac:dyDescent="0.2">
      <c r="A852" s="5"/>
      <c r="B852" s="25"/>
      <c r="C852" s="26"/>
      <c r="D852" s="5"/>
      <c r="E852" s="5"/>
      <c r="F852" s="32"/>
      <c r="G852" s="9"/>
      <c r="H852" s="6"/>
      <c r="I852" s="7"/>
      <c r="J852" s="9"/>
      <c r="N852" s="9"/>
      <c r="O852" s="12"/>
      <c r="P852" s="12"/>
      <c r="S852" s="9"/>
      <c r="T852" s="18"/>
      <c r="U852" s="18"/>
      <c r="Z852" s="19"/>
      <c r="AC852" s="11"/>
      <c r="AD852" s="9"/>
      <c r="AF852" s="14"/>
      <c r="AG852" s="13"/>
    </row>
    <row r="853" spans="1:33" x14ac:dyDescent="0.2">
      <c r="A853" s="5"/>
      <c r="B853" s="25"/>
      <c r="C853" s="26"/>
      <c r="D853" s="5"/>
      <c r="E853" s="5"/>
      <c r="F853" s="32"/>
      <c r="G853" s="9"/>
      <c r="H853" s="6"/>
      <c r="I853" s="7"/>
      <c r="J853" s="9"/>
      <c r="N853" s="9"/>
      <c r="O853" s="12"/>
      <c r="P853" s="12"/>
      <c r="S853" s="9"/>
      <c r="T853" s="18"/>
      <c r="U853" s="18"/>
      <c r="Z853" s="19"/>
      <c r="AC853" s="11"/>
      <c r="AD853" s="9"/>
      <c r="AF853" s="14"/>
      <c r="AG853" s="13"/>
    </row>
    <row r="854" spans="1:33" x14ac:dyDescent="0.2">
      <c r="A854" s="5"/>
      <c r="B854" s="25"/>
      <c r="C854" s="26"/>
      <c r="D854" s="5"/>
      <c r="E854" s="5"/>
      <c r="F854" s="32"/>
      <c r="G854" s="9"/>
      <c r="H854" s="6"/>
      <c r="I854" s="7"/>
      <c r="J854" s="9"/>
      <c r="N854" s="9"/>
      <c r="O854" s="12"/>
      <c r="S854" s="9"/>
      <c r="T854" s="18"/>
      <c r="U854" s="18"/>
      <c r="Z854" s="19"/>
      <c r="AC854" s="11"/>
      <c r="AD854" s="9"/>
      <c r="AF854" s="14"/>
      <c r="AG854" s="13"/>
    </row>
    <row r="855" spans="1:33" x14ac:dyDescent="0.2">
      <c r="A855" s="5"/>
      <c r="B855" s="25"/>
      <c r="C855" s="26"/>
      <c r="D855" s="5"/>
      <c r="E855" s="5"/>
      <c r="F855" s="32"/>
      <c r="G855" s="9"/>
      <c r="H855" s="6"/>
      <c r="I855" s="7"/>
      <c r="J855" s="9"/>
      <c r="N855" s="9"/>
      <c r="O855" s="12"/>
      <c r="S855" s="9"/>
      <c r="T855" s="18"/>
      <c r="U855" s="18"/>
      <c r="Z855" s="19"/>
      <c r="AC855" s="11"/>
      <c r="AD855" s="9"/>
      <c r="AF855" s="14"/>
      <c r="AG855" s="13"/>
    </row>
    <row r="856" spans="1:33" x14ac:dyDescent="0.2">
      <c r="A856" s="5"/>
      <c r="B856" s="25"/>
      <c r="C856" s="26"/>
      <c r="D856" s="5"/>
      <c r="E856" s="5"/>
      <c r="F856" s="32"/>
      <c r="G856" s="9"/>
      <c r="H856" s="6"/>
      <c r="I856" s="7"/>
      <c r="J856" s="9"/>
      <c r="N856" s="9"/>
      <c r="O856" s="12"/>
      <c r="P856" s="12"/>
      <c r="S856" s="9"/>
      <c r="T856" s="18"/>
      <c r="U856" s="18"/>
      <c r="Z856" s="19"/>
      <c r="AC856" s="11"/>
      <c r="AD856" s="9"/>
      <c r="AF856" s="14"/>
      <c r="AG856" s="13"/>
    </row>
    <row r="857" spans="1:33" x14ac:dyDescent="0.2">
      <c r="A857" s="5"/>
      <c r="B857" s="25"/>
      <c r="C857" s="26"/>
      <c r="D857" s="5"/>
      <c r="E857" s="5"/>
      <c r="F857" s="32"/>
      <c r="G857" s="9"/>
      <c r="H857" s="6"/>
      <c r="I857" s="7"/>
      <c r="J857" s="9"/>
      <c r="N857" s="9"/>
      <c r="O857" s="12"/>
      <c r="P857" s="12"/>
      <c r="S857" s="9"/>
      <c r="T857" s="18"/>
      <c r="U857" s="18"/>
      <c r="Z857" s="19"/>
      <c r="AC857" s="11"/>
      <c r="AD857" s="9"/>
      <c r="AF857" s="14"/>
      <c r="AG857" s="13"/>
    </row>
    <row r="858" spans="1:33" x14ac:dyDescent="0.2">
      <c r="A858" s="5"/>
      <c r="B858" s="25"/>
      <c r="C858" s="26"/>
      <c r="D858" s="5"/>
      <c r="E858" s="5"/>
      <c r="F858" s="32"/>
      <c r="G858" s="9"/>
      <c r="H858" s="6"/>
      <c r="I858" s="7"/>
      <c r="J858" s="9"/>
      <c r="N858" s="9"/>
      <c r="O858" s="12"/>
      <c r="S858" s="9"/>
      <c r="T858" s="18"/>
      <c r="U858" s="18"/>
      <c r="Z858" s="19"/>
      <c r="AC858" s="11"/>
      <c r="AD858" s="9"/>
      <c r="AF858" s="14"/>
      <c r="AG858" s="13"/>
    </row>
    <row r="859" spans="1:33" x14ac:dyDescent="0.2">
      <c r="A859" s="5"/>
      <c r="B859" s="25"/>
      <c r="C859" s="26"/>
      <c r="D859" s="5"/>
      <c r="E859" s="5"/>
      <c r="F859" s="32"/>
      <c r="G859" s="9"/>
      <c r="H859" s="6"/>
      <c r="I859" s="7"/>
      <c r="J859" s="9"/>
      <c r="N859" s="9"/>
      <c r="O859" s="12"/>
      <c r="S859" s="9"/>
      <c r="T859" s="18"/>
      <c r="U859" s="18"/>
      <c r="Z859" s="19"/>
      <c r="AC859" s="11"/>
      <c r="AD859" s="9"/>
      <c r="AF859" s="14"/>
      <c r="AG859" s="13"/>
    </row>
    <row r="860" spans="1:33" x14ac:dyDescent="0.2">
      <c r="A860" s="5"/>
      <c r="B860" s="25"/>
      <c r="C860" s="26"/>
      <c r="D860" s="5"/>
      <c r="E860" s="5"/>
      <c r="F860" s="32"/>
      <c r="G860" s="9"/>
      <c r="H860" s="6"/>
      <c r="I860" s="7"/>
      <c r="J860" s="9"/>
      <c r="N860" s="9"/>
      <c r="O860" s="12"/>
      <c r="P860" s="12"/>
      <c r="S860" s="9"/>
      <c r="T860" s="18"/>
      <c r="U860" s="18"/>
      <c r="Z860" s="19"/>
      <c r="AC860" s="11"/>
      <c r="AD860" s="9"/>
      <c r="AF860" s="14"/>
      <c r="AG860" s="13"/>
    </row>
    <row r="861" spans="1:33" x14ac:dyDescent="0.2">
      <c r="A861" s="5"/>
      <c r="B861" s="25"/>
      <c r="C861" s="26"/>
      <c r="D861" s="5"/>
      <c r="E861" s="5"/>
      <c r="F861" s="32"/>
      <c r="G861" s="9"/>
      <c r="H861" s="6"/>
      <c r="I861" s="7"/>
      <c r="J861" s="9"/>
      <c r="N861" s="9"/>
      <c r="O861" s="12"/>
      <c r="P861" s="12"/>
      <c r="S861" s="9"/>
      <c r="T861" s="18"/>
      <c r="U861" s="18"/>
      <c r="Z861" s="19"/>
      <c r="AC861" s="11"/>
      <c r="AD861" s="9"/>
      <c r="AF861" s="14"/>
      <c r="AG861" s="13"/>
    </row>
    <row r="862" spans="1:33" x14ac:dyDescent="0.2">
      <c r="A862" s="5"/>
      <c r="B862" s="25"/>
      <c r="C862" s="26"/>
      <c r="D862" s="5"/>
      <c r="E862" s="5"/>
      <c r="F862" s="32"/>
      <c r="G862" s="9"/>
      <c r="H862" s="6"/>
      <c r="I862" s="7"/>
      <c r="J862" s="9"/>
      <c r="N862" s="9"/>
      <c r="O862" s="12"/>
      <c r="P862" s="12"/>
      <c r="S862" s="9"/>
      <c r="T862" s="18"/>
      <c r="U862" s="18"/>
      <c r="Z862" s="19"/>
      <c r="AC862" s="11"/>
      <c r="AD862" s="9"/>
      <c r="AF862" s="14"/>
      <c r="AG862" s="13"/>
    </row>
    <row r="863" spans="1:33" x14ac:dyDescent="0.2">
      <c r="A863" s="5"/>
      <c r="B863" s="25"/>
      <c r="C863" s="26"/>
      <c r="D863" s="5"/>
      <c r="E863" s="5"/>
      <c r="F863" s="32"/>
      <c r="G863" s="9"/>
      <c r="H863" s="6"/>
      <c r="I863" s="7"/>
      <c r="J863" s="9"/>
      <c r="N863" s="9"/>
      <c r="O863" s="12"/>
      <c r="S863" s="9"/>
      <c r="T863" s="18"/>
      <c r="U863" s="18"/>
      <c r="Z863" s="19"/>
      <c r="AC863" s="11"/>
      <c r="AD863" s="9"/>
      <c r="AF863" s="14"/>
      <c r="AG863" s="13"/>
    </row>
    <row r="864" spans="1:33" x14ac:dyDescent="0.2">
      <c r="A864" s="5"/>
      <c r="B864" s="25"/>
      <c r="C864" s="26"/>
      <c r="D864" s="5"/>
      <c r="E864" s="5"/>
      <c r="F864" s="32"/>
      <c r="G864" s="9"/>
      <c r="H864" s="6"/>
      <c r="I864" s="7"/>
      <c r="J864" s="9"/>
      <c r="N864" s="9"/>
      <c r="S864" s="9"/>
      <c r="T864" s="18"/>
      <c r="U864" s="18"/>
      <c r="Z864" s="19"/>
      <c r="AC864" s="11"/>
      <c r="AD864" s="9"/>
      <c r="AF864" s="14"/>
      <c r="AG864" s="13"/>
    </row>
    <row r="865" spans="1:33" x14ac:dyDescent="0.2">
      <c r="A865" s="5"/>
      <c r="B865" s="25"/>
      <c r="C865" s="26"/>
      <c r="D865" s="5"/>
      <c r="E865" s="5"/>
      <c r="F865" s="32"/>
      <c r="G865" s="9"/>
      <c r="H865" s="6"/>
      <c r="I865" s="7"/>
      <c r="J865" s="9"/>
      <c r="N865" s="9"/>
      <c r="O865" s="12"/>
      <c r="P865" s="12"/>
      <c r="S865" s="9"/>
      <c r="T865" s="18"/>
      <c r="U865" s="18"/>
      <c r="Z865" s="19"/>
      <c r="AC865" s="11"/>
      <c r="AD865" s="9"/>
      <c r="AF865" s="14"/>
      <c r="AG865" s="13"/>
    </row>
    <row r="866" spans="1:33" x14ac:dyDescent="0.2">
      <c r="A866" s="5"/>
      <c r="B866" s="25"/>
      <c r="C866" s="26"/>
      <c r="D866" s="5"/>
      <c r="E866" s="5"/>
      <c r="F866" s="32"/>
      <c r="G866" s="9"/>
      <c r="H866" s="6"/>
      <c r="I866" s="7"/>
      <c r="J866" s="9"/>
      <c r="N866" s="9"/>
      <c r="O866" s="12"/>
      <c r="P866" s="12"/>
      <c r="S866" s="9"/>
      <c r="T866" s="18"/>
      <c r="U866" s="18"/>
      <c r="Z866" s="19"/>
      <c r="AC866" s="11"/>
      <c r="AD866" s="9"/>
      <c r="AF866" s="14"/>
      <c r="AG866" s="13"/>
    </row>
    <row r="867" spans="1:33" x14ac:dyDescent="0.2">
      <c r="A867" s="5"/>
      <c r="B867" s="25"/>
      <c r="C867" s="26"/>
      <c r="D867" s="5"/>
      <c r="E867" s="5"/>
      <c r="F867" s="32"/>
      <c r="G867" s="9"/>
      <c r="H867" s="6"/>
      <c r="I867" s="7"/>
      <c r="J867" s="9"/>
      <c r="N867" s="9"/>
      <c r="O867" s="12"/>
      <c r="S867" s="9"/>
      <c r="T867" s="18"/>
      <c r="U867" s="18"/>
      <c r="Z867" s="19"/>
      <c r="AC867" s="11"/>
      <c r="AD867" s="9"/>
      <c r="AF867" s="14"/>
      <c r="AG867" s="13"/>
    </row>
    <row r="868" spans="1:33" x14ac:dyDescent="0.2">
      <c r="A868" s="5"/>
      <c r="B868" s="25"/>
      <c r="C868" s="26"/>
      <c r="D868" s="5"/>
      <c r="E868" s="5"/>
      <c r="F868" s="32"/>
      <c r="G868" s="9"/>
      <c r="H868" s="6"/>
      <c r="I868" s="7"/>
      <c r="J868" s="9"/>
      <c r="N868" s="9"/>
      <c r="O868" s="12"/>
      <c r="P868" s="12"/>
      <c r="S868" s="9"/>
      <c r="T868" s="18"/>
      <c r="U868" s="18"/>
      <c r="Z868" s="19"/>
      <c r="AC868" s="11"/>
      <c r="AD868" s="9"/>
      <c r="AF868" s="14"/>
      <c r="AG868" s="13"/>
    </row>
    <row r="869" spans="1:33" x14ac:dyDescent="0.2">
      <c r="A869" s="5"/>
      <c r="B869" s="25"/>
      <c r="C869" s="26"/>
      <c r="D869" s="5"/>
      <c r="E869" s="5"/>
      <c r="F869" s="32"/>
      <c r="G869" s="9"/>
      <c r="H869" s="6"/>
      <c r="I869" s="7"/>
      <c r="J869" s="9"/>
      <c r="N869" s="9"/>
      <c r="O869" s="12"/>
      <c r="P869" s="12"/>
      <c r="S869" s="9"/>
      <c r="T869" s="18"/>
      <c r="U869" s="18"/>
      <c r="Z869" s="19"/>
      <c r="AC869" s="11"/>
      <c r="AD869" s="9"/>
      <c r="AF869" s="14"/>
      <c r="AG869" s="13"/>
    </row>
    <row r="870" spans="1:33" x14ac:dyDescent="0.2">
      <c r="A870" s="5"/>
      <c r="B870" s="25"/>
      <c r="C870" s="26"/>
      <c r="D870" s="5"/>
      <c r="E870" s="5"/>
      <c r="F870" s="32"/>
      <c r="G870" s="9"/>
      <c r="H870" s="6"/>
      <c r="I870" s="7"/>
      <c r="J870" s="9"/>
      <c r="N870" s="9"/>
      <c r="O870" s="12"/>
      <c r="P870" s="12"/>
      <c r="S870" s="9"/>
      <c r="T870" s="18"/>
      <c r="U870" s="18"/>
      <c r="Z870" s="19"/>
      <c r="AC870" s="11"/>
      <c r="AD870" s="9"/>
      <c r="AF870" s="14"/>
      <c r="AG870" s="13"/>
    </row>
    <row r="871" spans="1:33" x14ac:dyDescent="0.2">
      <c r="A871" s="5"/>
      <c r="B871" s="25"/>
      <c r="C871" s="26"/>
      <c r="D871" s="5"/>
      <c r="E871" s="5"/>
      <c r="F871" s="32"/>
      <c r="G871" s="9"/>
      <c r="H871" s="6"/>
      <c r="I871" s="7"/>
      <c r="J871" s="9"/>
      <c r="N871" s="9"/>
      <c r="P871" s="12"/>
      <c r="S871" s="9"/>
      <c r="T871" s="18"/>
      <c r="U871" s="18"/>
      <c r="Z871" s="19"/>
      <c r="AC871" s="11"/>
      <c r="AD871" s="9"/>
      <c r="AF871" s="14"/>
      <c r="AG871" s="13"/>
    </row>
    <row r="872" spans="1:33" x14ac:dyDescent="0.2">
      <c r="A872" s="5"/>
      <c r="B872" s="25"/>
      <c r="C872" s="26"/>
      <c r="D872" s="5"/>
      <c r="E872" s="5"/>
      <c r="F872" s="32"/>
      <c r="G872" s="9"/>
      <c r="H872" s="6"/>
      <c r="I872" s="7"/>
      <c r="J872" s="9"/>
      <c r="N872" s="9"/>
      <c r="P872" s="12"/>
      <c r="S872" s="9"/>
      <c r="T872" s="18"/>
      <c r="U872" s="18"/>
      <c r="Z872" s="19"/>
      <c r="AC872" s="11"/>
      <c r="AD872" s="9"/>
      <c r="AF872" s="14"/>
      <c r="AG872" s="13"/>
    </row>
    <row r="873" spans="1:33" x14ac:dyDescent="0.2">
      <c r="A873" s="5"/>
      <c r="B873" s="25"/>
      <c r="C873" s="26"/>
      <c r="D873" s="5"/>
      <c r="E873" s="5"/>
      <c r="F873" s="32"/>
      <c r="G873" s="9"/>
      <c r="H873" s="6"/>
      <c r="I873" s="7"/>
      <c r="J873" s="9"/>
      <c r="N873" s="9"/>
      <c r="P873" s="12"/>
      <c r="S873" s="9"/>
      <c r="T873" s="18"/>
      <c r="U873" s="18"/>
      <c r="Z873" s="19"/>
      <c r="AC873" s="11"/>
      <c r="AD873" s="9"/>
      <c r="AF873" s="14"/>
      <c r="AG873" s="13"/>
    </row>
    <row r="874" spans="1:33" x14ac:dyDescent="0.2">
      <c r="A874" s="5"/>
      <c r="B874" s="25"/>
      <c r="C874" s="26"/>
      <c r="D874" s="5"/>
      <c r="E874" s="5"/>
      <c r="F874" s="32"/>
      <c r="G874" s="9"/>
      <c r="H874" s="6"/>
      <c r="I874" s="7"/>
      <c r="J874" s="9"/>
      <c r="N874" s="9"/>
      <c r="O874" s="12"/>
      <c r="P874" s="12"/>
      <c r="S874" s="9"/>
      <c r="T874" s="18"/>
      <c r="U874" s="18"/>
      <c r="Z874" s="19"/>
      <c r="AC874" s="11"/>
      <c r="AD874" s="9"/>
      <c r="AF874" s="14"/>
      <c r="AG874" s="13"/>
    </row>
    <row r="875" spans="1:33" x14ac:dyDescent="0.2">
      <c r="A875" s="5"/>
      <c r="B875" s="25"/>
      <c r="C875" s="26"/>
      <c r="D875" s="5"/>
      <c r="E875" s="5"/>
      <c r="F875" s="32"/>
      <c r="G875" s="9"/>
      <c r="H875" s="6"/>
      <c r="I875" s="7"/>
      <c r="J875" s="9"/>
      <c r="N875" s="9"/>
      <c r="O875" s="12"/>
      <c r="P875" s="12"/>
      <c r="S875" s="9"/>
      <c r="T875" s="18"/>
      <c r="U875" s="18"/>
      <c r="Z875" s="19"/>
      <c r="AC875" s="11"/>
      <c r="AD875" s="9"/>
      <c r="AF875" s="14"/>
      <c r="AG875" s="13"/>
    </row>
    <row r="876" spans="1:33" x14ac:dyDescent="0.2">
      <c r="A876" s="5"/>
      <c r="B876" s="25"/>
      <c r="C876" s="26"/>
      <c r="D876" s="5"/>
      <c r="E876" s="5"/>
      <c r="F876" s="32"/>
      <c r="G876" s="9"/>
      <c r="H876" s="6"/>
      <c r="I876" s="7"/>
      <c r="J876" s="9"/>
      <c r="N876" s="9"/>
      <c r="P876" s="12"/>
      <c r="S876" s="9"/>
      <c r="T876" s="18"/>
      <c r="U876" s="18"/>
      <c r="Z876" s="19"/>
      <c r="AC876" s="11"/>
      <c r="AD876" s="9"/>
      <c r="AF876" s="14"/>
      <c r="AG876" s="13"/>
    </row>
    <row r="877" spans="1:33" x14ac:dyDescent="0.2">
      <c r="A877" s="5"/>
      <c r="B877" s="25"/>
      <c r="C877" s="26"/>
      <c r="D877" s="5"/>
      <c r="E877" s="5"/>
      <c r="F877" s="32"/>
      <c r="G877" s="9"/>
      <c r="H877" s="6"/>
      <c r="I877" s="7"/>
      <c r="J877" s="9"/>
      <c r="N877" s="9"/>
      <c r="O877" s="12"/>
      <c r="P877" s="12"/>
      <c r="S877" s="9"/>
      <c r="T877" s="18"/>
      <c r="U877" s="18"/>
      <c r="Z877" s="19"/>
      <c r="AC877" s="11"/>
      <c r="AD877" s="9"/>
      <c r="AF877" s="14"/>
      <c r="AG877" s="13"/>
    </row>
    <row r="878" spans="1:33" x14ac:dyDescent="0.2">
      <c r="A878" s="5"/>
      <c r="B878" s="25"/>
      <c r="C878" s="26"/>
      <c r="D878" s="5"/>
      <c r="E878" s="5"/>
      <c r="F878" s="32"/>
      <c r="G878" s="9"/>
      <c r="H878" s="6"/>
      <c r="I878" s="7"/>
      <c r="J878" s="9"/>
      <c r="N878" s="9"/>
      <c r="O878" s="12"/>
      <c r="S878" s="9"/>
      <c r="T878" s="18"/>
      <c r="U878" s="18"/>
      <c r="Z878" s="19"/>
      <c r="AC878" s="11"/>
      <c r="AD878" s="9"/>
      <c r="AF878" s="14"/>
      <c r="AG878" s="13"/>
    </row>
    <row r="879" spans="1:33" x14ac:dyDescent="0.2">
      <c r="A879" s="5"/>
      <c r="B879" s="25"/>
      <c r="C879" s="26"/>
      <c r="D879" s="5"/>
      <c r="E879" s="5"/>
      <c r="F879" s="32"/>
      <c r="G879" s="9"/>
      <c r="H879" s="6"/>
      <c r="I879" s="7"/>
      <c r="J879" s="9"/>
      <c r="N879" s="9"/>
      <c r="O879" s="12"/>
      <c r="S879" s="9"/>
      <c r="T879" s="18"/>
      <c r="U879" s="18"/>
      <c r="Z879" s="19"/>
      <c r="AC879" s="11"/>
      <c r="AD879" s="9"/>
      <c r="AF879" s="14"/>
      <c r="AG879" s="13"/>
    </row>
    <row r="880" spans="1:33" x14ac:dyDescent="0.2">
      <c r="A880" s="5"/>
      <c r="B880" s="25"/>
      <c r="C880" s="26"/>
      <c r="D880" s="5"/>
      <c r="E880" s="5"/>
      <c r="F880" s="32"/>
      <c r="G880" s="9"/>
      <c r="H880" s="6"/>
      <c r="I880" s="7"/>
      <c r="J880" s="9"/>
      <c r="N880" s="9"/>
      <c r="O880" s="12"/>
      <c r="S880" s="9"/>
      <c r="T880" s="18"/>
      <c r="U880" s="18"/>
      <c r="Z880" s="19"/>
      <c r="AC880" s="11"/>
      <c r="AD880" s="9"/>
      <c r="AF880" s="14"/>
      <c r="AG880" s="13"/>
    </row>
    <row r="881" spans="1:33" x14ac:dyDescent="0.2">
      <c r="A881" s="5"/>
      <c r="B881" s="25"/>
      <c r="C881" s="26"/>
      <c r="D881" s="5"/>
      <c r="E881" s="5"/>
      <c r="F881" s="32"/>
      <c r="G881" s="9"/>
      <c r="H881" s="6"/>
      <c r="I881" s="7"/>
      <c r="J881" s="9"/>
      <c r="N881" s="9"/>
      <c r="O881" s="12"/>
      <c r="S881" s="9"/>
      <c r="T881" s="18"/>
      <c r="U881" s="18"/>
      <c r="Z881" s="19"/>
      <c r="AC881" s="11"/>
      <c r="AD881" s="9"/>
      <c r="AF881" s="14"/>
      <c r="AG881" s="13"/>
    </row>
    <row r="882" spans="1:33" x14ac:dyDescent="0.2">
      <c r="A882" s="5"/>
      <c r="B882" s="25"/>
      <c r="C882" s="26"/>
      <c r="D882" s="5"/>
      <c r="E882" s="5"/>
      <c r="F882" s="32"/>
      <c r="G882" s="9"/>
      <c r="H882" s="6"/>
      <c r="I882" s="7"/>
      <c r="J882" s="9"/>
      <c r="N882" s="9"/>
      <c r="O882" s="12"/>
      <c r="S882" s="9"/>
      <c r="T882" s="18"/>
      <c r="U882" s="18"/>
      <c r="Z882" s="19"/>
      <c r="AC882" s="11"/>
      <c r="AD882" s="9"/>
      <c r="AF882" s="14"/>
      <c r="AG882" s="13"/>
    </row>
    <row r="883" spans="1:33" x14ac:dyDescent="0.2">
      <c r="A883" s="5"/>
      <c r="B883" s="25"/>
      <c r="C883" s="26"/>
      <c r="D883" s="5"/>
      <c r="E883" s="5"/>
      <c r="F883" s="32"/>
      <c r="G883" s="9"/>
      <c r="H883" s="6"/>
      <c r="I883" s="7"/>
      <c r="J883" s="9"/>
      <c r="N883" s="9"/>
      <c r="O883" s="12"/>
      <c r="S883" s="9"/>
      <c r="T883" s="18"/>
      <c r="U883" s="18"/>
      <c r="Z883" s="19"/>
      <c r="AC883" s="11"/>
      <c r="AD883" s="9"/>
      <c r="AF883" s="14"/>
      <c r="AG883" s="13"/>
    </row>
    <row r="884" spans="1:33" x14ac:dyDescent="0.2">
      <c r="A884" s="5"/>
      <c r="B884" s="25"/>
      <c r="C884" s="26"/>
      <c r="D884" s="5"/>
      <c r="E884" s="5"/>
      <c r="F884" s="32"/>
      <c r="G884" s="9"/>
      <c r="H884" s="6"/>
      <c r="I884" s="7"/>
      <c r="J884" s="9"/>
      <c r="N884" s="9"/>
      <c r="O884" s="12"/>
      <c r="P884" s="12"/>
      <c r="S884" s="9"/>
      <c r="T884" s="18"/>
      <c r="U884" s="18"/>
      <c r="Z884" s="19"/>
      <c r="AC884" s="11"/>
      <c r="AD884" s="9"/>
      <c r="AF884" s="14"/>
      <c r="AG884" s="13"/>
    </row>
    <row r="885" spans="1:33" x14ac:dyDescent="0.2">
      <c r="A885" s="5"/>
      <c r="B885" s="25"/>
      <c r="C885" s="26"/>
      <c r="D885" s="5"/>
      <c r="E885" s="5"/>
      <c r="F885" s="32"/>
      <c r="G885" s="9"/>
      <c r="H885" s="6"/>
      <c r="I885" s="7"/>
      <c r="J885" s="9"/>
      <c r="N885" s="9"/>
      <c r="O885" s="12"/>
      <c r="P885" s="12"/>
      <c r="S885" s="9"/>
      <c r="T885" s="18"/>
      <c r="U885" s="18"/>
      <c r="Z885" s="19"/>
      <c r="AC885" s="11"/>
      <c r="AD885" s="9"/>
      <c r="AF885" s="14"/>
      <c r="AG885" s="13"/>
    </row>
    <row r="886" spans="1:33" x14ac:dyDescent="0.2">
      <c r="A886" s="5"/>
      <c r="B886" s="25"/>
      <c r="C886" s="26"/>
      <c r="D886" s="5"/>
      <c r="E886" s="5"/>
      <c r="F886" s="32"/>
      <c r="G886" s="9"/>
      <c r="H886" s="6"/>
      <c r="I886" s="7"/>
      <c r="J886" s="9"/>
      <c r="N886" s="9"/>
      <c r="O886" s="12"/>
      <c r="P886" s="12"/>
      <c r="S886" s="9"/>
      <c r="T886" s="18"/>
      <c r="U886" s="18"/>
      <c r="Z886" s="19"/>
      <c r="AC886" s="11"/>
      <c r="AD886" s="9"/>
      <c r="AF886" s="14"/>
      <c r="AG886" s="13"/>
    </row>
    <row r="887" spans="1:33" x14ac:dyDescent="0.2">
      <c r="A887" s="5"/>
      <c r="B887" s="25"/>
      <c r="C887" s="26"/>
      <c r="D887" s="5"/>
      <c r="E887" s="5"/>
      <c r="F887" s="32"/>
      <c r="G887" s="9"/>
      <c r="H887" s="6"/>
      <c r="I887" s="7"/>
      <c r="J887" s="9"/>
      <c r="N887" s="9"/>
      <c r="O887" s="12"/>
      <c r="S887" s="9"/>
      <c r="T887" s="18"/>
      <c r="U887" s="18"/>
      <c r="Z887" s="19"/>
      <c r="AC887" s="11"/>
      <c r="AD887" s="9"/>
      <c r="AF887" s="14"/>
      <c r="AG887" s="13"/>
    </row>
    <row r="888" spans="1:33" x14ac:dyDescent="0.2">
      <c r="A888" s="5"/>
      <c r="B888" s="25"/>
      <c r="C888" s="26"/>
      <c r="D888" s="5"/>
      <c r="E888" s="5"/>
      <c r="F888" s="32"/>
      <c r="G888" s="9"/>
      <c r="H888" s="6"/>
      <c r="I888" s="7"/>
      <c r="J888" s="9"/>
      <c r="N888" s="9"/>
      <c r="S888" s="9"/>
      <c r="T888" s="18"/>
      <c r="U888" s="18"/>
      <c r="Z888" s="19"/>
      <c r="AC888" s="11"/>
      <c r="AD888" s="9"/>
      <c r="AF888" s="14"/>
      <c r="AG888" s="13"/>
    </row>
    <row r="889" spans="1:33" x14ac:dyDescent="0.2">
      <c r="A889" s="5"/>
      <c r="B889" s="25"/>
      <c r="C889" s="26"/>
      <c r="D889" s="5"/>
      <c r="E889" s="5"/>
      <c r="F889" s="32"/>
      <c r="G889" s="9"/>
      <c r="H889" s="6"/>
      <c r="I889" s="7"/>
      <c r="J889" s="9"/>
      <c r="N889" s="9"/>
      <c r="O889" s="12"/>
      <c r="P889" s="12"/>
      <c r="S889" s="9"/>
      <c r="T889" s="18"/>
      <c r="U889" s="18"/>
      <c r="Z889" s="19"/>
      <c r="AC889" s="11"/>
      <c r="AD889" s="9"/>
      <c r="AF889" s="14"/>
      <c r="AG889" s="13"/>
    </row>
    <row r="890" spans="1:33" x14ac:dyDescent="0.2">
      <c r="A890" s="5"/>
      <c r="B890" s="25"/>
      <c r="C890" s="26"/>
      <c r="D890" s="5"/>
      <c r="E890" s="5"/>
      <c r="F890" s="32"/>
      <c r="G890" s="9"/>
      <c r="H890" s="6"/>
      <c r="I890" s="7"/>
      <c r="J890" s="9"/>
      <c r="N890" s="9"/>
      <c r="O890" s="12"/>
      <c r="P890" s="12"/>
      <c r="S890" s="9"/>
      <c r="T890" s="18"/>
      <c r="U890" s="18"/>
      <c r="Z890" s="19"/>
      <c r="AC890" s="11"/>
      <c r="AD890" s="9"/>
      <c r="AF890" s="14"/>
      <c r="AG890" s="13"/>
    </row>
    <row r="891" spans="1:33" x14ac:dyDescent="0.2">
      <c r="A891" s="5"/>
      <c r="B891" s="25"/>
      <c r="C891" s="26"/>
      <c r="D891" s="5"/>
      <c r="E891" s="5"/>
      <c r="F891" s="32"/>
      <c r="G891" s="9"/>
      <c r="H891" s="6"/>
      <c r="I891" s="7"/>
      <c r="J891" s="9"/>
      <c r="N891" s="9"/>
      <c r="O891" s="12"/>
      <c r="S891" s="9"/>
      <c r="T891" s="18"/>
      <c r="U891" s="18"/>
      <c r="Z891" s="19"/>
      <c r="AC891" s="11"/>
      <c r="AD891" s="9"/>
      <c r="AF891" s="14"/>
      <c r="AG891" s="13"/>
    </row>
    <row r="892" spans="1:33" x14ac:dyDescent="0.2">
      <c r="A892" s="5"/>
      <c r="B892" s="25"/>
      <c r="C892" s="26"/>
      <c r="D892" s="5"/>
      <c r="E892" s="5"/>
      <c r="F892" s="32"/>
      <c r="G892" s="9"/>
      <c r="H892" s="6"/>
      <c r="I892" s="7"/>
      <c r="J892" s="9"/>
      <c r="N892" s="9"/>
      <c r="O892" s="12"/>
      <c r="S892" s="9"/>
      <c r="T892" s="18"/>
      <c r="U892" s="18"/>
      <c r="Z892" s="19"/>
      <c r="AC892" s="11"/>
      <c r="AD892" s="9"/>
      <c r="AF892" s="14"/>
      <c r="AG892" s="13"/>
    </row>
    <row r="893" spans="1:33" x14ac:dyDescent="0.2">
      <c r="A893" s="5"/>
      <c r="B893" s="25"/>
      <c r="C893" s="26"/>
      <c r="D893" s="5"/>
      <c r="E893" s="5"/>
      <c r="F893" s="32"/>
      <c r="G893" s="9"/>
      <c r="H893" s="6"/>
      <c r="I893" s="7"/>
      <c r="J893" s="9"/>
      <c r="N893" s="9"/>
      <c r="O893" s="12"/>
      <c r="S893" s="9"/>
      <c r="T893" s="18"/>
      <c r="U893" s="18"/>
      <c r="Z893" s="19"/>
      <c r="AC893" s="11"/>
      <c r="AD893" s="9"/>
      <c r="AF893" s="14"/>
      <c r="AG893" s="13"/>
    </row>
    <row r="894" spans="1:33" x14ac:dyDescent="0.2">
      <c r="A894" s="5"/>
      <c r="B894" s="25"/>
      <c r="C894" s="26"/>
      <c r="D894" s="5"/>
      <c r="E894" s="5"/>
      <c r="F894" s="32"/>
      <c r="G894" s="9"/>
      <c r="H894" s="6"/>
      <c r="I894" s="7"/>
      <c r="J894" s="9"/>
      <c r="N894" s="9"/>
      <c r="O894" s="12"/>
      <c r="S894" s="9"/>
      <c r="T894" s="18"/>
      <c r="U894" s="18"/>
      <c r="Z894" s="19"/>
      <c r="AC894" s="11"/>
      <c r="AD894" s="9"/>
      <c r="AF894" s="14"/>
      <c r="AG894" s="13"/>
    </row>
    <row r="895" spans="1:33" x14ac:dyDescent="0.2">
      <c r="A895" s="5"/>
      <c r="B895" s="25"/>
      <c r="C895" s="26"/>
      <c r="D895" s="5"/>
      <c r="E895" s="5"/>
      <c r="F895" s="32"/>
      <c r="G895" s="9"/>
      <c r="H895" s="6"/>
      <c r="I895" s="7"/>
      <c r="J895" s="9"/>
      <c r="N895" s="9"/>
      <c r="O895" s="12"/>
      <c r="P895" s="12"/>
      <c r="S895" s="9"/>
      <c r="T895" s="18"/>
      <c r="U895" s="18"/>
      <c r="Z895" s="19"/>
      <c r="AC895" s="11"/>
      <c r="AD895" s="9"/>
      <c r="AF895" s="14"/>
      <c r="AG895" s="13"/>
    </row>
    <row r="896" spans="1:33" x14ac:dyDescent="0.2">
      <c r="A896" s="5"/>
      <c r="B896" s="25"/>
      <c r="C896" s="26"/>
      <c r="D896" s="5"/>
      <c r="E896" s="5"/>
      <c r="F896" s="32"/>
      <c r="G896" s="9"/>
      <c r="H896" s="6"/>
      <c r="I896" s="7"/>
      <c r="J896" s="9"/>
      <c r="N896" s="9"/>
      <c r="O896" s="12"/>
      <c r="P896" s="12"/>
      <c r="S896" s="9"/>
      <c r="T896" s="18"/>
      <c r="U896" s="18"/>
      <c r="Z896" s="19"/>
      <c r="AC896" s="11"/>
      <c r="AD896" s="9"/>
      <c r="AF896" s="14"/>
      <c r="AG896" s="13"/>
    </row>
    <row r="897" spans="1:33" x14ac:dyDescent="0.2">
      <c r="A897" s="5"/>
      <c r="B897" s="25"/>
      <c r="C897" s="26"/>
      <c r="D897" s="5"/>
      <c r="E897" s="5"/>
      <c r="F897" s="32"/>
      <c r="G897" s="9"/>
      <c r="H897" s="6"/>
      <c r="I897" s="7"/>
      <c r="J897" s="9"/>
      <c r="N897" s="9"/>
      <c r="O897" s="12"/>
      <c r="P897" s="12"/>
      <c r="S897" s="9"/>
      <c r="T897" s="18"/>
      <c r="U897" s="18"/>
      <c r="Z897" s="19"/>
      <c r="AC897" s="11"/>
      <c r="AD897" s="9"/>
      <c r="AF897" s="14"/>
      <c r="AG897" s="13"/>
    </row>
    <row r="898" spans="1:33" x14ac:dyDescent="0.2">
      <c r="A898" s="5"/>
      <c r="B898" s="25"/>
      <c r="C898" s="26"/>
      <c r="D898" s="5"/>
      <c r="E898" s="5"/>
      <c r="F898" s="32"/>
      <c r="G898" s="9"/>
      <c r="H898" s="6"/>
      <c r="I898" s="7"/>
      <c r="J898" s="9"/>
      <c r="N898" s="9"/>
      <c r="O898" s="12"/>
      <c r="P898" s="12"/>
      <c r="S898" s="9"/>
      <c r="T898" s="18"/>
      <c r="U898" s="18"/>
      <c r="Z898" s="19"/>
      <c r="AC898" s="11"/>
      <c r="AD898" s="9"/>
      <c r="AF898" s="14"/>
      <c r="AG898" s="13"/>
    </row>
    <row r="899" spans="1:33" x14ac:dyDescent="0.2">
      <c r="A899" s="5"/>
      <c r="B899" s="25"/>
      <c r="C899" s="26"/>
      <c r="D899" s="5"/>
      <c r="E899" s="5"/>
      <c r="F899" s="32"/>
      <c r="G899" s="9"/>
      <c r="H899" s="6"/>
      <c r="I899" s="7"/>
      <c r="J899" s="9"/>
      <c r="N899" s="9"/>
      <c r="O899" s="12"/>
      <c r="P899" s="12"/>
      <c r="S899" s="9"/>
      <c r="T899" s="18"/>
      <c r="U899" s="18"/>
      <c r="Z899" s="19"/>
      <c r="AC899" s="11"/>
      <c r="AD899" s="9"/>
      <c r="AF899" s="14"/>
      <c r="AG899" s="13"/>
    </row>
    <row r="900" spans="1:33" x14ac:dyDescent="0.2">
      <c r="A900" s="5"/>
      <c r="B900" s="25"/>
      <c r="C900" s="26"/>
      <c r="D900" s="25"/>
      <c r="E900" s="5"/>
      <c r="F900" s="32"/>
      <c r="G900" s="9"/>
      <c r="H900" s="6"/>
      <c r="I900" s="7"/>
      <c r="J900" s="9"/>
      <c r="N900" s="9"/>
      <c r="O900" s="12"/>
      <c r="P900" s="12"/>
      <c r="S900" s="9"/>
      <c r="T900" s="18"/>
      <c r="U900" s="18"/>
      <c r="Z900" s="19"/>
      <c r="AC900" s="11"/>
      <c r="AD900" s="9"/>
      <c r="AF900" s="14"/>
      <c r="AG900" s="13"/>
    </row>
    <row r="901" spans="1:33" x14ac:dyDescent="0.2">
      <c r="A901" s="5"/>
      <c r="B901" s="25"/>
      <c r="C901" s="26"/>
      <c r="D901" s="25"/>
      <c r="E901" s="5"/>
      <c r="F901" s="32"/>
      <c r="G901" s="9"/>
      <c r="H901" s="6"/>
      <c r="I901" s="7"/>
      <c r="J901" s="9"/>
      <c r="N901" s="9"/>
      <c r="O901" s="12"/>
      <c r="P901" s="12"/>
      <c r="S901" s="9"/>
      <c r="T901" s="18"/>
      <c r="U901" s="18"/>
      <c r="Z901" s="19"/>
      <c r="AC901" s="11"/>
      <c r="AD901" s="9"/>
      <c r="AF901" s="14"/>
      <c r="AG901" s="13"/>
    </row>
    <row r="902" spans="1:33" x14ac:dyDescent="0.2">
      <c r="A902" s="5"/>
      <c r="B902" s="25"/>
      <c r="C902" s="26"/>
      <c r="D902" s="25"/>
      <c r="E902" s="5"/>
      <c r="F902" s="32"/>
      <c r="G902" s="9"/>
      <c r="H902" s="6"/>
      <c r="I902" s="7"/>
      <c r="J902" s="9"/>
      <c r="N902" s="9"/>
      <c r="O902" s="12"/>
      <c r="P902" s="12"/>
      <c r="S902" s="9"/>
      <c r="T902" s="18"/>
      <c r="U902" s="18"/>
      <c r="Z902" s="19"/>
      <c r="AC902" s="11"/>
      <c r="AD902" s="9"/>
      <c r="AF902" s="14"/>
      <c r="AG902" s="13"/>
    </row>
    <row r="903" spans="1:33" x14ac:dyDescent="0.2">
      <c r="A903" s="5"/>
      <c r="B903" s="25"/>
      <c r="C903" s="26"/>
      <c r="D903" s="5"/>
      <c r="E903" s="5"/>
      <c r="F903" s="32"/>
      <c r="G903" s="9"/>
      <c r="H903" s="6"/>
      <c r="I903" s="7"/>
      <c r="J903" s="9"/>
      <c r="N903" s="9"/>
      <c r="O903" s="12"/>
      <c r="S903" s="9"/>
      <c r="T903" s="18"/>
      <c r="U903" s="18"/>
      <c r="Z903" s="19"/>
      <c r="AC903" s="11"/>
      <c r="AD903" s="9"/>
      <c r="AF903" s="14"/>
      <c r="AG903" s="13"/>
    </row>
    <row r="904" spans="1:33" x14ac:dyDescent="0.2">
      <c r="A904" s="5"/>
      <c r="B904" s="25"/>
      <c r="C904" s="26"/>
      <c r="D904" s="5"/>
      <c r="E904" s="5"/>
      <c r="F904" s="32"/>
      <c r="G904" s="9"/>
      <c r="H904" s="6"/>
      <c r="I904" s="7"/>
      <c r="J904" s="9"/>
      <c r="N904" s="9"/>
      <c r="O904" s="12"/>
      <c r="S904" s="9"/>
      <c r="T904" s="18"/>
      <c r="U904" s="18"/>
      <c r="Z904" s="19"/>
      <c r="AC904" s="11"/>
      <c r="AD904" s="9"/>
      <c r="AF904" s="14"/>
      <c r="AG904" s="13"/>
    </row>
    <row r="905" spans="1:33" x14ac:dyDescent="0.2">
      <c r="A905" s="5"/>
      <c r="B905" s="25"/>
      <c r="C905" s="26"/>
      <c r="D905" s="5"/>
      <c r="E905" s="5"/>
      <c r="F905" s="32"/>
      <c r="G905" s="9"/>
      <c r="H905" s="6"/>
      <c r="I905" s="7"/>
      <c r="J905" s="9"/>
      <c r="N905" s="9"/>
      <c r="O905" s="12"/>
      <c r="S905" s="9"/>
      <c r="T905" s="18"/>
      <c r="U905" s="18"/>
      <c r="Z905" s="19"/>
      <c r="AC905" s="11"/>
      <c r="AD905" s="9"/>
      <c r="AF905" s="14"/>
      <c r="AG905" s="13"/>
    </row>
    <row r="906" spans="1:33" x14ac:dyDescent="0.2">
      <c r="A906" s="5"/>
      <c r="B906" s="25"/>
      <c r="C906" s="26"/>
      <c r="D906" s="5"/>
      <c r="E906" s="5"/>
      <c r="F906" s="32"/>
      <c r="G906" s="9"/>
      <c r="H906" s="6"/>
      <c r="I906" s="7"/>
      <c r="J906" s="9"/>
      <c r="N906" s="9"/>
      <c r="O906" s="12"/>
      <c r="S906" s="9"/>
      <c r="T906" s="18"/>
      <c r="U906" s="18"/>
      <c r="Z906" s="19"/>
      <c r="AC906" s="11"/>
      <c r="AD906" s="9"/>
      <c r="AF906" s="14"/>
      <c r="AG906" s="13"/>
    </row>
    <row r="907" spans="1:33" x14ac:dyDescent="0.2">
      <c r="A907" s="5"/>
      <c r="B907" s="25"/>
      <c r="C907" s="26"/>
      <c r="D907" s="5"/>
      <c r="E907" s="5"/>
      <c r="F907" s="32"/>
      <c r="G907" s="9"/>
      <c r="H907" s="6"/>
      <c r="I907" s="7"/>
      <c r="J907" s="9"/>
      <c r="N907" s="9"/>
      <c r="O907" s="12"/>
      <c r="P907" s="12"/>
      <c r="S907" s="9"/>
      <c r="T907" s="18"/>
      <c r="U907" s="18"/>
      <c r="Z907" s="19"/>
      <c r="AC907" s="11"/>
      <c r="AD907" s="9"/>
      <c r="AF907" s="14"/>
      <c r="AG907" s="13"/>
    </row>
    <row r="908" spans="1:33" x14ac:dyDescent="0.2">
      <c r="A908" s="5"/>
      <c r="B908" s="25"/>
      <c r="C908" s="26"/>
      <c r="D908" s="5"/>
      <c r="E908" s="5"/>
      <c r="F908" s="32"/>
      <c r="G908" s="9"/>
      <c r="H908" s="6"/>
      <c r="I908" s="7"/>
      <c r="J908" s="9"/>
      <c r="N908" s="9"/>
      <c r="O908" s="12"/>
      <c r="P908" s="12"/>
      <c r="S908" s="9"/>
      <c r="T908" s="18"/>
      <c r="U908" s="18"/>
      <c r="Z908" s="19"/>
      <c r="AC908" s="11"/>
      <c r="AD908" s="9"/>
      <c r="AF908" s="14"/>
      <c r="AG908" s="13"/>
    </row>
    <row r="909" spans="1:33" x14ac:dyDescent="0.2">
      <c r="A909" s="5"/>
      <c r="B909" s="25"/>
      <c r="C909" s="26"/>
      <c r="D909" s="5"/>
      <c r="E909" s="5"/>
      <c r="F909" s="32"/>
      <c r="G909" s="9"/>
      <c r="H909" s="6"/>
      <c r="I909" s="7"/>
      <c r="J909" s="9"/>
      <c r="N909" s="9"/>
      <c r="O909" s="12"/>
      <c r="P909" s="12"/>
      <c r="S909" s="9"/>
      <c r="T909" s="18"/>
      <c r="U909" s="18"/>
      <c r="Z909" s="19"/>
      <c r="AC909" s="11"/>
      <c r="AD909" s="9"/>
      <c r="AF909" s="14"/>
      <c r="AG909" s="13"/>
    </row>
    <row r="910" spans="1:33" x14ac:dyDescent="0.2">
      <c r="A910" s="5"/>
      <c r="B910" s="25"/>
      <c r="C910" s="26"/>
      <c r="D910" s="5"/>
      <c r="E910" s="5"/>
      <c r="F910" s="32"/>
      <c r="G910" s="9"/>
      <c r="H910" s="6"/>
      <c r="I910" s="7"/>
      <c r="J910" s="9"/>
      <c r="N910" s="9"/>
      <c r="O910" s="12"/>
      <c r="S910" s="9"/>
      <c r="T910" s="18"/>
      <c r="U910" s="18"/>
      <c r="Z910" s="19"/>
      <c r="AC910" s="11"/>
      <c r="AD910" s="9"/>
      <c r="AF910" s="14"/>
      <c r="AG910" s="13"/>
    </row>
    <row r="911" spans="1:33" x14ac:dyDescent="0.2">
      <c r="A911" s="5"/>
      <c r="B911" s="25"/>
      <c r="C911" s="26"/>
      <c r="D911" s="5"/>
      <c r="E911" s="5"/>
      <c r="F911" s="32"/>
      <c r="G911" s="9"/>
      <c r="H911" s="6"/>
      <c r="I911" s="7"/>
      <c r="J911" s="9"/>
      <c r="N911" s="9"/>
      <c r="O911" s="12"/>
      <c r="P911" s="12"/>
      <c r="S911" s="9"/>
      <c r="T911" s="18"/>
      <c r="U911" s="18"/>
      <c r="Z911" s="19"/>
      <c r="AC911" s="11"/>
      <c r="AD911" s="9"/>
      <c r="AF911" s="14"/>
      <c r="AG911" s="13"/>
    </row>
    <row r="912" spans="1:33" x14ac:dyDescent="0.2">
      <c r="A912" s="5"/>
      <c r="B912" s="25"/>
      <c r="C912" s="26"/>
      <c r="D912" s="5"/>
      <c r="E912" s="5"/>
      <c r="F912" s="32"/>
      <c r="G912" s="9"/>
      <c r="H912" s="6"/>
      <c r="I912" s="7"/>
      <c r="J912" s="9"/>
      <c r="N912" s="9"/>
      <c r="O912" s="12"/>
      <c r="P912" s="12"/>
      <c r="S912" s="9"/>
      <c r="T912" s="18"/>
      <c r="U912" s="18"/>
      <c r="Z912" s="19"/>
      <c r="AC912" s="11"/>
      <c r="AD912" s="9"/>
      <c r="AF912" s="14"/>
      <c r="AG912" s="13"/>
    </row>
    <row r="913" spans="1:33" x14ac:dyDescent="0.2">
      <c r="A913" s="5"/>
      <c r="B913" s="25"/>
      <c r="C913" s="26"/>
      <c r="D913" s="5"/>
      <c r="E913" s="5"/>
      <c r="F913" s="32"/>
      <c r="G913" s="9"/>
      <c r="H913" s="6"/>
      <c r="I913" s="7"/>
      <c r="J913" s="9"/>
      <c r="N913" s="9"/>
      <c r="O913" s="12"/>
      <c r="P913" s="12"/>
      <c r="S913" s="9"/>
      <c r="T913" s="18"/>
      <c r="U913" s="18"/>
      <c r="Z913" s="19"/>
      <c r="AC913" s="11"/>
      <c r="AD913" s="9"/>
      <c r="AF913" s="14"/>
      <c r="AG913" s="13"/>
    </row>
    <row r="914" spans="1:33" x14ac:dyDescent="0.2">
      <c r="A914" s="5"/>
      <c r="B914" s="25"/>
      <c r="C914" s="26"/>
      <c r="D914" s="5"/>
      <c r="E914" s="5"/>
      <c r="F914" s="32"/>
      <c r="G914" s="9"/>
      <c r="H914" s="6"/>
      <c r="I914" s="7"/>
      <c r="J914" s="9"/>
      <c r="N914" s="9"/>
      <c r="O914" s="12"/>
      <c r="P914" s="12"/>
      <c r="S914" s="9"/>
      <c r="T914" s="18"/>
      <c r="U914" s="18"/>
      <c r="Z914" s="19"/>
      <c r="AC914" s="11"/>
      <c r="AD914" s="9"/>
      <c r="AF914" s="14"/>
      <c r="AG914" s="13"/>
    </row>
    <row r="915" spans="1:33" x14ac:dyDescent="0.2">
      <c r="A915" s="5"/>
      <c r="B915" s="25"/>
      <c r="C915" s="26"/>
      <c r="D915" s="5"/>
      <c r="E915" s="5"/>
      <c r="F915" s="32"/>
      <c r="G915" s="9"/>
      <c r="H915" s="6"/>
      <c r="I915" s="7"/>
      <c r="J915" s="9"/>
      <c r="N915" s="9"/>
      <c r="O915" s="12"/>
      <c r="P915" s="12"/>
      <c r="S915" s="9"/>
      <c r="T915" s="18"/>
      <c r="U915" s="18"/>
      <c r="Z915" s="19"/>
      <c r="AC915" s="11"/>
      <c r="AD915" s="9"/>
      <c r="AF915" s="14"/>
      <c r="AG915" s="13"/>
    </row>
    <row r="916" spans="1:33" x14ac:dyDescent="0.2">
      <c r="A916" s="5"/>
      <c r="B916" s="25"/>
      <c r="C916" s="26"/>
      <c r="D916" s="5"/>
      <c r="E916" s="5"/>
      <c r="F916" s="32"/>
      <c r="G916" s="9"/>
      <c r="H916" s="6"/>
      <c r="I916" s="7"/>
      <c r="J916" s="9"/>
      <c r="N916" s="9"/>
      <c r="O916" s="12"/>
      <c r="P916" s="12"/>
      <c r="S916" s="9"/>
      <c r="T916" s="18"/>
      <c r="U916" s="18"/>
      <c r="Z916" s="19"/>
      <c r="AC916" s="11"/>
      <c r="AD916" s="9"/>
      <c r="AF916" s="14"/>
      <c r="AG916" s="13"/>
    </row>
    <row r="917" spans="1:33" x14ac:dyDescent="0.2">
      <c r="A917" s="5"/>
      <c r="B917" s="25"/>
      <c r="C917" s="26"/>
      <c r="D917" s="5"/>
      <c r="E917" s="5"/>
      <c r="F917" s="32"/>
      <c r="G917" s="9"/>
      <c r="H917" s="6"/>
      <c r="I917" s="7"/>
      <c r="J917" s="9"/>
      <c r="N917" s="9"/>
      <c r="O917" s="12"/>
      <c r="S917" s="9"/>
      <c r="T917" s="18"/>
      <c r="U917" s="18"/>
      <c r="Z917" s="19"/>
      <c r="AC917" s="11"/>
      <c r="AD917" s="9"/>
      <c r="AF917" s="14"/>
      <c r="AG917" s="13"/>
    </row>
    <row r="918" spans="1:33" x14ac:dyDescent="0.2">
      <c r="A918" s="5"/>
      <c r="B918" s="25"/>
      <c r="C918" s="26"/>
      <c r="D918" s="5"/>
      <c r="E918" s="5"/>
      <c r="F918" s="32"/>
      <c r="G918" s="9"/>
      <c r="H918" s="6"/>
      <c r="I918" s="7"/>
      <c r="J918" s="9"/>
      <c r="N918" s="9"/>
      <c r="O918" s="12"/>
      <c r="S918" s="9"/>
      <c r="T918" s="18"/>
      <c r="U918" s="18"/>
      <c r="Z918" s="19"/>
      <c r="AC918" s="11"/>
      <c r="AD918" s="9"/>
      <c r="AF918" s="14"/>
      <c r="AG918" s="13"/>
    </row>
    <row r="919" spans="1:33" x14ac:dyDescent="0.2">
      <c r="A919" s="5"/>
      <c r="B919" s="25"/>
      <c r="C919" s="26"/>
      <c r="D919" s="5"/>
      <c r="E919" s="5"/>
      <c r="F919" s="32"/>
      <c r="G919" s="9"/>
      <c r="H919" s="6"/>
      <c r="I919" s="7"/>
      <c r="J919" s="9"/>
      <c r="N919" s="9"/>
      <c r="O919" s="12"/>
      <c r="S919" s="9"/>
      <c r="T919" s="18"/>
      <c r="U919" s="18"/>
      <c r="Z919" s="19"/>
      <c r="AC919" s="11"/>
      <c r="AD919" s="9"/>
      <c r="AF919" s="14"/>
      <c r="AG919" s="13"/>
    </row>
    <row r="920" spans="1:33" x14ac:dyDescent="0.2">
      <c r="A920" s="5"/>
      <c r="B920" s="25"/>
      <c r="C920" s="26"/>
      <c r="D920" s="5"/>
      <c r="E920" s="5"/>
      <c r="F920" s="32"/>
      <c r="G920" s="9"/>
      <c r="H920" s="6"/>
      <c r="I920" s="7"/>
      <c r="J920" s="9"/>
      <c r="N920" s="9"/>
      <c r="O920" s="12"/>
      <c r="P920" s="12"/>
      <c r="S920" s="9"/>
      <c r="T920" s="18"/>
      <c r="U920" s="18"/>
      <c r="Z920" s="19"/>
      <c r="AC920" s="11"/>
      <c r="AD920" s="9"/>
      <c r="AF920" s="14"/>
      <c r="AG920" s="13"/>
    </row>
    <row r="921" spans="1:33" x14ac:dyDescent="0.2">
      <c r="A921" s="5"/>
      <c r="B921" s="25"/>
      <c r="C921" s="26"/>
      <c r="D921" s="5"/>
      <c r="E921" s="5"/>
      <c r="F921" s="32"/>
      <c r="G921" s="9"/>
      <c r="H921" s="6"/>
      <c r="I921" s="7"/>
      <c r="J921" s="9"/>
      <c r="N921" s="9"/>
      <c r="O921" s="12"/>
      <c r="P921" s="12"/>
      <c r="S921" s="9"/>
      <c r="T921" s="18"/>
      <c r="U921" s="18"/>
      <c r="Z921" s="19"/>
      <c r="AC921" s="11"/>
      <c r="AD921" s="9"/>
      <c r="AF921" s="14"/>
      <c r="AG921" s="13"/>
    </row>
    <row r="922" spans="1:33" x14ac:dyDescent="0.2">
      <c r="A922" s="5"/>
      <c r="B922" s="25"/>
      <c r="C922" s="26"/>
      <c r="D922" s="5"/>
      <c r="E922" s="5"/>
      <c r="F922" s="32"/>
      <c r="G922" s="9"/>
      <c r="H922" s="6"/>
      <c r="I922" s="7"/>
      <c r="J922" s="9"/>
      <c r="N922" s="9"/>
      <c r="O922" s="12"/>
      <c r="P922" s="12"/>
      <c r="S922" s="9"/>
      <c r="T922" s="18"/>
      <c r="U922" s="18"/>
      <c r="Z922" s="19"/>
      <c r="AC922" s="11"/>
      <c r="AD922" s="9"/>
      <c r="AF922" s="14"/>
      <c r="AG922" s="13"/>
    </row>
    <row r="923" spans="1:33" x14ac:dyDescent="0.2">
      <c r="A923" s="5"/>
      <c r="B923" s="25"/>
      <c r="C923" s="26"/>
      <c r="D923" s="5"/>
      <c r="E923" s="5"/>
      <c r="F923" s="32"/>
      <c r="G923" s="9"/>
      <c r="H923" s="6"/>
      <c r="I923" s="7"/>
      <c r="J923" s="9"/>
      <c r="N923" s="9"/>
      <c r="O923" s="12"/>
      <c r="P923" s="12"/>
      <c r="S923" s="9"/>
      <c r="T923" s="18"/>
      <c r="U923" s="18"/>
      <c r="Z923" s="19"/>
      <c r="AC923" s="11"/>
      <c r="AD923" s="9"/>
      <c r="AF923" s="14"/>
      <c r="AG923" s="13"/>
    </row>
    <row r="924" spans="1:33" x14ac:dyDescent="0.2">
      <c r="A924" s="5"/>
      <c r="B924" s="25"/>
      <c r="C924" s="26"/>
      <c r="D924" s="5"/>
      <c r="E924" s="5"/>
      <c r="F924" s="32"/>
      <c r="G924" s="9"/>
      <c r="H924" s="6"/>
      <c r="I924" s="7"/>
      <c r="J924" s="9"/>
      <c r="N924" s="9"/>
      <c r="O924" s="12"/>
      <c r="P924" s="12"/>
      <c r="S924" s="9"/>
      <c r="T924" s="18"/>
      <c r="U924" s="18"/>
      <c r="Z924" s="19"/>
      <c r="AC924" s="11"/>
      <c r="AD924" s="9"/>
      <c r="AF924" s="14"/>
      <c r="AG924" s="13"/>
    </row>
    <row r="925" spans="1:33" x14ac:dyDescent="0.2">
      <c r="A925" s="5"/>
      <c r="B925" s="25"/>
      <c r="C925" s="26"/>
      <c r="D925" s="5"/>
      <c r="E925" s="5"/>
      <c r="F925" s="32"/>
      <c r="G925" s="9"/>
      <c r="H925" s="6"/>
      <c r="I925" s="7"/>
      <c r="J925" s="9"/>
      <c r="N925" s="9"/>
      <c r="O925" s="12"/>
      <c r="S925" s="9"/>
      <c r="T925" s="18"/>
      <c r="U925" s="18"/>
      <c r="Z925" s="19"/>
      <c r="AC925" s="11"/>
      <c r="AD925" s="9"/>
      <c r="AF925" s="14"/>
      <c r="AG925" s="13"/>
    </row>
    <row r="926" spans="1:33" x14ac:dyDescent="0.2">
      <c r="A926" s="5"/>
      <c r="B926" s="25"/>
      <c r="C926" s="26"/>
      <c r="D926" s="5"/>
      <c r="E926" s="5"/>
      <c r="F926" s="32"/>
      <c r="G926" s="9"/>
      <c r="H926" s="6"/>
      <c r="I926" s="7"/>
      <c r="J926" s="9"/>
      <c r="N926" s="9"/>
      <c r="O926" s="12"/>
      <c r="S926" s="9"/>
      <c r="T926" s="18"/>
      <c r="U926" s="18"/>
      <c r="Z926" s="19"/>
      <c r="AC926" s="11"/>
      <c r="AD926" s="9"/>
      <c r="AF926" s="14"/>
      <c r="AG926" s="13"/>
    </row>
    <row r="927" spans="1:33" x14ac:dyDescent="0.2">
      <c r="A927" s="5"/>
      <c r="B927" s="25"/>
      <c r="C927" s="26"/>
      <c r="D927" s="5"/>
      <c r="E927" s="5"/>
      <c r="F927" s="32"/>
      <c r="G927" s="9"/>
      <c r="H927" s="6"/>
      <c r="I927" s="7"/>
      <c r="J927" s="9"/>
      <c r="N927" s="9"/>
      <c r="O927" s="12"/>
      <c r="S927" s="9"/>
      <c r="T927" s="18"/>
      <c r="U927" s="18"/>
      <c r="Z927" s="19"/>
      <c r="AC927" s="11"/>
      <c r="AD927" s="9"/>
      <c r="AF927" s="14"/>
      <c r="AG927" s="13"/>
    </row>
    <row r="928" spans="1:33" x14ac:dyDescent="0.2">
      <c r="A928" s="5"/>
      <c r="B928" s="25"/>
      <c r="C928" s="26"/>
      <c r="D928" s="5"/>
      <c r="E928" s="5"/>
      <c r="F928" s="32"/>
      <c r="G928" s="9"/>
      <c r="H928" s="6"/>
      <c r="I928" s="7"/>
      <c r="J928" s="9"/>
      <c r="N928" s="9"/>
      <c r="O928" s="12"/>
      <c r="P928" s="12"/>
      <c r="S928" s="9"/>
      <c r="T928" s="18"/>
      <c r="U928" s="18"/>
      <c r="Z928" s="19"/>
      <c r="AC928" s="11"/>
      <c r="AD928" s="9"/>
      <c r="AF928" s="14"/>
      <c r="AG928" s="13"/>
    </row>
    <row r="929" spans="1:33" x14ac:dyDescent="0.2">
      <c r="A929" s="5"/>
      <c r="B929" s="25"/>
      <c r="C929" s="26"/>
      <c r="D929" s="5"/>
      <c r="E929" s="5"/>
      <c r="F929" s="32"/>
      <c r="G929" s="9"/>
      <c r="H929" s="6"/>
      <c r="I929" s="7"/>
      <c r="J929" s="9"/>
      <c r="N929" s="9"/>
      <c r="O929" s="12"/>
      <c r="P929" s="12"/>
      <c r="S929" s="9"/>
      <c r="T929" s="18"/>
      <c r="U929" s="18"/>
      <c r="Z929" s="19"/>
      <c r="AC929" s="11"/>
      <c r="AD929" s="9"/>
      <c r="AF929" s="14"/>
      <c r="AG929" s="13"/>
    </row>
    <row r="930" spans="1:33" x14ac:dyDescent="0.2">
      <c r="A930" s="5"/>
      <c r="B930" s="25"/>
      <c r="C930" s="26"/>
      <c r="D930" s="5"/>
      <c r="E930" s="5"/>
      <c r="F930" s="32"/>
      <c r="G930" s="9"/>
      <c r="H930" s="6"/>
      <c r="I930" s="7"/>
      <c r="J930" s="9"/>
      <c r="N930" s="9"/>
      <c r="O930" s="12"/>
      <c r="S930" s="9"/>
      <c r="T930" s="18"/>
      <c r="U930" s="18"/>
      <c r="Z930" s="19"/>
      <c r="AC930" s="11"/>
      <c r="AD930" s="9"/>
      <c r="AF930" s="14"/>
      <c r="AG930" s="13"/>
    </row>
    <row r="931" spans="1:33" x14ac:dyDescent="0.2">
      <c r="A931" s="5"/>
      <c r="B931" s="25"/>
      <c r="C931" s="26"/>
      <c r="D931" s="5"/>
      <c r="E931" s="5"/>
      <c r="F931" s="32"/>
      <c r="G931" s="9"/>
      <c r="H931" s="6"/>
      <c r="I931" s="7"/>
      <c r="J931" s="9"/>
      <c r="N931" s="9"/>
      <c r="O931" s="12"/>
      <c r="S931" s="9"/>
      <c r="T931" s="18"/>
      <c r="U931" s="18"/>
      <c r="Z931" s="19"/>
      <c r="AC931" s="11"/>
      <c r="AD931" s="9"/>
      <c r="AF931" s="14"/>
      <c r="AG931" s="13"/>
    </row>
    <row r="932" spans="1:33" x14ac:dyDescent="0.2">
      <c r="A932" s="5"/>
      <c r="B932" s="25"/>
      <c r="C932" s="26"/>
      <c r="D932" s="5"/>
      <c r="E932" s="5"/>
      <c r="F932" s="32"/>
      <c r="G932" s="9"/>
      <c r="H932" s="6"/>
      <c r="I932" s="7"/>
      <c r="J932" s="9"/>
      <c r="N932" s="9"/>
      <c r="O932" s="12"/>
      <c r="P932" s="12"/>
      <c r="S932" s="9"/>
      <c r="T932" s="18"/>
      <c r="U932" s="18"/>
      <c r="Z932" s="19"/>
      <c r="AC932" s="11"/>
      <c r="AD932" s="9"/>
      <c r="AF932" s="14"/>
      <c r="AG932" s="13"/>
    </row>
    <row r="933" spans="1:33" x14ac:dyDescent="0.2">
      <c r="A933" s="5"/>
      <c r="B933" s="25"/>
      <c r="C933" s="26"/>
      <c r="D933" s="5"/>
      <c r="E933" s="5"/>
      <c r="F933" s="32"/>
      <c r="G933" s="9"/>
      <c r="H933" s="6"/>
      <c r="I933" s="7"/>
      <c r="J933" s="9"/>
      <c r="N933" s="9"/>
      <c r="O933" s="12"/>
      <c r="S933" s="9"/>
      <c r="T933" s="18"/>
      <c r="U933" s="18"/>
      <c r="Z933" s="19"/>
      <c r="AC933" s="11"/>
      <c r="AD933" s="9"/>
      <c r="AF933" s="14"/>
      <c r="AG933" s="13"/>
    </row>
    <row r="934" spans="1:33" x14ac:dyDescent="0.2">
      <c r="A934" s="5"/>
      <c r="B934" s="25"/>
      <c r="C934" s="26"/>
      <c r="D934" s="5"/>
      <c r="E934" s="5"/>
      <c r="F934" s="32"/>
      <c r="G934" s="9"/>
      <c r="H934" s="6"/>
      <c r="I934" s="7"/>
      <c r="J934" s="9"/>
      <c r="N934" s="9"/>
      <c r="O934" s="12"/>
      <c r="S934" s="9"/>
      <c r="T934" s="18"/>
      <c r="U934" s="18"/>
      <c r="Z934" s="19"/>
      <c r="AC934" s="11"/>
      <c r="AD934" s="9"/>
      <c r="AF934" s="14"/>
      <c r="AG934" s="13"/>
    </row>
    <row r="935" spans="1:33" x14ac:dyDescent="0.2">
      <c r="A935" s="5"/>
      <c r="B935" s="25"/>
      <c r="C935" s="26"/>
      <c r="D935" s="5"/>
      <c r="E935" s="5"/>
      <c r="F935" s="32"/>
      <c r="G935" s="9"/>
      <c r="H935" s="6"/>
      <c r="I935" s="7"/>
      <c r="J935" s="9"/>
      <c r="N935" s="9"/>
      <c r="O935" s="12"/>
      <c r="P935" s="12"/>
      <c r="S935" s="9"/>
      <c r="T935" s="18"/>
      <c r="U935" s="18"/>
      <c r="Z935" s="19"/>
      <c r="AC935" s="11"/>
      <c r="AD935" s="9"/>
      <c r="AF935" s="14"/>
      <c r="AG935" s="13"/>
    </row>
    <row r="936" spans="1:33" x14ac:dyDescent="0.2">
      <c r="A936" s="5"/>
      <c r="B936" s="25"/>
      <c r="C936" s="26"/>
      <c r="D936" s="5"/>
      <c r="E936" s="5"/>
      <c r="F936" s="32"/>
      <c r="G936" s="9"/>
      <c r="H936" s="6"/>
      <c r="I936" s="7"/>
      <c r="J936" s="9"/>
      <c r="N936" s="9"/>
      <c r="O936" s="12"/>
      <c r="P936" s="12"/>
      <c r="S936" s="9"/>
      <c r="T936" s="18"/>
      <c r="U936" s="18"/>
      <c r="Z936" s="19"/>
      <c r="AC936" s="11"/>
      <c r="AD936" s="9"/>
      <c r="AF936" s="14"/>
      <c r="AG936" s="13"/>
    </row>
    <row r="937" spans="1:33" x14ac:dyDescent="0.2">
      <c r="A937" s="5"/>
      <c r="B937" s="25"/>
      <c r="C937" s="26"/>
      <c r="D937" s="5"/>
      <c r="E937" s="5"/>
      <c r="F937" s="32"/>
      <c r="G937" s="9"/>
      <c r="H937" s="6"/>
      <c r="I937" s="7"/>
      <c r="J937" s="9"/>
      <c r="N937" s="9"/>
      <c r="O937" s="12"/>
      <c r="S937" s="9"/>
      <c r="T937" s="18"/>
      <c r="U937" s="18"/>
      <c r="Z937" s="19"/>
      <c r="AC937" s="11"/>
      <c r="AD937" s="9"/>
      <c r="AF937" s="14"/>
      <c r="AG937" s="13"/>
    </row>
    <row r="938" spans="1:33" x14ac:dyDescent="0.2">
      <c r="A938" s="5"/>
      <c r="B938" s="25"/>
      <c r="C938" s="26"/>
      <c r="D938" s="5"/>
      <c r="E938" s="5"/>
      <c r="F938" s="32"/>
      <c r="G938" s="9"/>
      <c r="H938" s="6"/>
      <c r="I938" s="7"/>
      <c r="J938" s="9"/>
      <c r="N938" s="9"/>
      <c r="O938" s="12"/>
      <c r="S938" s="9"/>
      <c r="T938" s="18"/>
      <c r="U938" s="18"/>
      <c r="Z938" s="19"/>
      <c r="AC938" s="11"/>
      <c r="AD938" s="9"/>
      <c r="AF938" s="14"/>
      <c r="AG938" s="13"/>
    </row>
    <row r="939" spans="1:33" x14ac:dyDescent="0.2">
      <c r="A939" s="5"/>
      <c r="B939" s="25"/>
      <c r="C939" s="26"/>
      <c r="D939" s="5"/>
      <c r="E939" s="5"/>
      <c r="F939" s="32"/>
      <c r="G939" s="9"/>
      <c r="H939" s="6"/>
      <c r="I939" s="7"/>
      <c r="J939" s="9"/>
      <c r="N939" s="9"/>
      <c r="O939" s="12"/>
      <c r="S939" s="9"/>
      <c r="T939" s="18"/>
      <c r="U939" s="18"/>
      <c r="Z939" s="19"/>
      <c r="AC939" s="11"/>
      <c r="AD939" s="9"/>
      <c r="AF939" s="14"/>
      <c r="AG939" s="13"/>
    </row>
    <row r="940" spans="1:33" x14ac:dyDescent="0.2">
      <c r="A940" s="5"/>
      <c r="B940" s="25"/>
      <c r="C940" s="26"/>
      <c r="D940" s="5"/>
      <c r="E940" s="5"/>
      <c r="F940" s="32"/>
      <c r="G940" s="9"/>
      <c r="H940" s="6"/>
      <c r="I940" s="7"/>
      <c r="J940" s="9"/>
      <c r="N940" s="9"/>
      <c r="O940" s="12"/>
      <c r="S940" s="9"/>
      <c r="T940" s="18"/>
      <c r="U940" s="18"/>
      <c r="Z940" s="19"/>
      <c r="AC940" s="11"/>
      <c r="AD940" s="9"/>
      <c r="AF940" s="14"/>
      <c r="AG940" s="13"/>
    </row>
    <row r="941" spans="1:33" x14ac:dyDescent="0.2">
      <c r="A941" s="5"/>
      <c r="B941" s="25"/>
      <c r="C941" s="26"/>
      <c r="D941" s="5"/>
      <c r="E941" s="5"/>
      <c r="F941" s="32"/>
      <c r="G941" s="9"/>
      <c r="H941" s="6"/>
      <c r="I941" s="7"/>
      <c r="J941" s="9"/>
      <c r="N941" s="9"/>
      <c r="O941" s="12"/>
      <c r="S941" s="9"/>
      <c r="T941" s="18"/>
      <c r="U941" s="18"/>
      <c r="Z941" s="19"/>
      <c r="AC941" s="11"/>
      <c r="AD941" s="9"/>
      <c r="AF941" s="14"/>
      <c r="AG941" s="13"/>
    </row>
    <row r="942" spans="1:33" x14ac:dyDescent="0.2">
      <c r="A942" s="5"/>
      <c r="B942" s="25"/>
      <c r="C942" s="26"/>
      <c r="D942" s="5"/>
      <c r="E942" s="5"/>
      <c r="F942" s="32"/>
      <c r="G942" s="9"/>
      <c r="H942" s="6"/>
      <c r="I942" s="7"/>
      <c r="J942" s="9"/>
      <c r="N942" s="9"/>
      <c r="O942" s="12"/>
      <c r="P942" s="12"/>
      <c r="S942" s="9"/>
      <c r="T942" s="18"/>
      <c r="U942" s="18"/>
      <c r="Z942" s="19"/>
      <c r="AC942" s="11"/>
      <c r="AD942" s="9"/>
      <c r="AF942" s="14"/>
      <c r="AG942" s="13"/>
    </row>
    <row r="943" spans="1:33" x14ac:dyDescent="0.2">
      <c r="A943" s="5"/>
      <c r="B943" s="25"/>
      <c r="C943" s="26"/>
      <c r="D943" s="5"/>
      <c r="E943" s="5"/>
      <c r="F943" s="32"/>
      <c r="G943" s="9"/>
      <c r="H943" s="6"/>
      <c r="I943" s="7"/>
      <c r="J943" s="9"/>
      <c r="N943" s="9"/>
      <c r="O943" s="12"/>
      <c r="S943" s="9"/>
      <c r="T943" s="18"/>
      <c r="U943" s="18"/>
      <c r="Z943" s="19"/>
      <c r="AC943" s="11"/>
      <c r="AD943" s="9"/>
      <c r="AF943" s="14"/>
      <c r="AG943" s="13"/>
    </row>
    <row r="944" spans="1:33" x14ac:dyDescent="0.2">
      <c r="A944" s="5"/>
      <c r="B944" s="25"/>
      <c r="C944" s="26"/>
      <c r="D944" s="5"/>
      <c r="E944" s="5"/>
      <c r="F944" s="32"/>
      <c r="G944" s="9"/>
      <c r="H944" s="6"/>
      <c r="I944" s="7"/>
      <c r="J944" s="9"/>
      <c r="N944" s="9"/>
      <c r="O944" s="12"/>
      <c r="S944" s="9"/>
      <c r="T944" s="18"/>
      <c r="U944" s="18"/>
      <c r="Z944" s="19"/>
      <c r="AC944" s="11"/>
      <c r="AD944" s="9"/>
      <c r="AF944" s="14"/>
      <c r="AG944" s="13"/>
    </row>
    <row r="945" spans="1:33" x14ac:dyDescent="0.2">
      <c r="A945" s="5"/>
      <c r="B945" s="25"/>
      <c r="C945" s="26"/>
      <c r="D945" s="5"/>
      <c r="E945" s="5"/>
      <c r="F945" s="32"/>
      <c r="G945" s="9"/>
      <c r="H945" s="6"/>
      <c r="I945" s="7"/>
      <c r="J945" s="9"/>
      <c r="N945" s="9"/>
      <c r="O945" s="12"/>
      <c r="S945" s="9"/>
      <c r="T945" s="18"/>
      <c r="U945" s="18"/>
      <c r="Z945" s="19"/>
      <c r="AC945" s="11"/>
      <c r="AD945" s="9"/>
      <c r="AF945" s="14"/>
      <c r="AG945" s="13"/>
    </row>
    <row r="946" spans="1:33" x14ac:dyDescent="0.2">
      <c r="A946" s="5"/>
      <c r="B946" s="25"/>
      <c r="C946" s="26"/>
      <c r="D946" s="5"/>
      <c r="E946" s="5"/>
      <c r="F946" s="32"/>
      <c r="G946" s="9"/>
      <c r="H946" s="6"/>
      <c r="I946" s="7"/>
      <c r="J946" s="9"/>
      <c r="N946" s="9"/>
      <c r="O946" s="12"/>
      <c r="S946" s="9"/>
      <c r="T946" s="18"/>
      <c r="U946" s="18"/>
      <c r="Z946" s="19"/>
      <c r="AC946" s="11"/>
      <c r="AD946" s="9"/>
      <c r="AF946" s="14"/>
      <c r="AG946" s="13"/>
    </row>
    <row r="947" spans="1:33" x14ac:dyDescent="0.2">
      <c r="A947" s="5"/>
      <c r="B947" s="25"/>
      <c r="C947" s="26"/>
      <c r="D947" s="5"/>
      <c r="E947" s="5"/>
      <c r="F947" s="32"/>
      <c r="G947" s="9"/>
      <c r="H947" s="6"/>
      <c r="I947" s="7"/>
      <c r="J947" s="9"/>
      <c r="N947" s="9"/>
      <c r="O947" s="12"/>
      <c r="P947" s="12"/>
      <c r="S947" s="9"/>
      <c r="T947" s="18"/>
      <c r="U947" s="18"/>
      <c r="Z947" s="19"/>
      <c r="AC947" s="11"/>
      <c r="AD947" s="9"/>
      <c r="AF947" s="14"/>
      <c r="AG947" s="13"/>
    </row>
    <row r="948" spans="1:33" x14ac:dyDescent="0.2">
      <c r="A948" s="5"/>
      <c r="B948" s="25"/>
      <c r="C948" s="26"/>
      <c r="D948" s="5"/>
      <c r="E948" s="5"/>
      <c r="F948" s="32"/>
      <c r="G948" s="9"/>
      <c r="H948" s="6"/>
      <c r="I948" s="7"/>
      <c r="J948" s="9"/>
      <c r="N948" s="9"/>
      <c r="O948" s="12"/>
      <c r="P948" s="12"/>
      <c r="S948" s="9"/>
      <c r="T948" s="18"/>
      <c r="U948" s="18"/>
      <c r="Z948" s="19"/>
      <c r="AC948" s="11"/>
      <c r="AD948" s="9"/>
      <c r="AF948" s="14"/>
      <c r="AG948" s="13"/>
    </row>
    <row r="949" spans="1:33" x14ac:dyDescent="0.2">
      <c r="A949" s="5"/>
      <c r="B949" s="25"/>
      <c r="C949" s="26"/>
      <c r="D949" s="5"/>
      <c r="E949" s="5"/>
      <c r="F949" s="32"/>
      <c r="G949" s="9"/>
      <c r="H949" s="6"/>
      <c r="I949" s="7"/>
      <c r="J949" s="9"/>
      <c r="N949" s="9"/>
      <c r="O949" s="12"/>
      <c r="S949" s="9"/>
      <c r="T949" s="18"/>
      <c r="U949" s="18"/>
      <c r="Z949" s="19"/>
      <c r="AC949" s="11"/>
      <c r="AD949" s="9"/>
      <c r="AF949" s="14"/>
      <c r="AG949" s="13"/>
    </row>
    <row r="950" spans="1:33" x14ac:dyDescent="0.2">
      <c r="A950" s="5"/>
      <c r="B950" s="25"/>
      <c r="C950" s="26"/>
      <c r="D950" s="5"/>
      <c r="E950" s="5"/>
      <c r="F950" s="32"/>
      <c r="G950" s="9"/>
      <c r="H950" s="6"/>
      <c r="I950" s="7"/>
      <c r="J950" s="9"/>
      <c r="N950" s="9"/>
      <c r="O950" s="12"/>
      <c r="S950" s="9"/>
      <c r="T950" s="18"/>
      <c r="U950" s="18"/>
      <c r="Z950" s="19"/>
      <c r="AC950" s="11"/>
      <c r="AD950" s="9"/>
      <c r="AF950" s="14"/>
      <c r="AG950" s="13"/>
    </row>
    <row r="951" spans="1:33" x14ac:dyDescent="0.2">
      <c r="A951" s="5"/>
      <c r="B951" s="25"/>
      <c r="C951" s="26"/>
      <c r="D951" s="5"/>
      <c r="E951" s="5"/>
      <c r="F951" s="32"/>
      <c r="G951" s="9"/>
      <c r="H951" s="6"/>
      <c r="I951" s="7"/>
      <c r="J951" s="9"/>
      <c r="N951" s="9"/>
      <c r="O951" s="12"/>
      <c r="S951" s="9"/>
      <c r="T951" s="18"/>
      <c r="U951" s="18"/>
      <c r="Z951" s="19"/>
      <c r="AC951" s="11"/>
      <c r="AD951" s="9"/>
      <c r="AF951" s="14"/>
      <c r="AG951" s="13"/>
    </row>
    <row r="952" spans="1:33" x14ac:dyDescent="0.2">
      <c r="A952" s="5"/>
      <c r="B952" s="25"/>
      <c r="C952" s="26"/>
      <c r="D952" s="5"/>
      <c r="E952" s="5"/>
      <c r="F952" s="32"/>
      <c r="G952" s="9"/>
      <c r="H952" s="6"/>
      <c r="I952" s="7"/>
      <c r="J952" s="9"/>
      <c r="N952" s="9"/>
      <c r="O952" s="12"/>
      <c r="S952" s="9"/>
      <c r="T952" s="18"/>
      <c r="U952" s="18"/>
      <c r="Z952" s="19"/>
      <c r="AC952" s="11"/>
      <c r="AD952" s="9"/>
      <c r="AF952" s="14"/>
      <c r="AG952" s="13"/>
    </row>
    <row r="953" spans="1:33" x14ac:dyDescent="0.2">
      <c r="A953" s="5"/>
      <c r="B953" s="25"/>
      <c r="C953" s="26"/>
      <c r="D953" s="5"/>
      <c r="E953" s="5"/>
      <c r="F953" s="32"/>
      <c r="G953" s="9"/>
      <c r="H953" s="6"/>
      <c r="I953" s="7"/>
      <c r="J953" s="9"/>
      <c r="N953" s="9"/>
      <c r="O953" s="12"/>
      <c r="S953" s="9"/>
      <c r="T953" s="18"/>
      <c r="U953" s="18"/>
      <c r="Z953" s="19"/>
      <c r="AC953" s="11"/>
      <c r="AD953" s="9"/>
      <c r="AF953" s="14"/>
      <c r="AG953" s="13"/>
    </row>
    <row r="954" spans="1:33" x14ac:dyDescent="0.2">
      <c r="A954" s="5"/>
      <c r="B954" s="25"/>
      <c r="C954" s="26"/>
      <c r="D954" s="5"/>
      <c r="E954" s="5"/>
      <c r="F954" s="32"/>
      <c r="G954" s="9"/>
      <c r="H954" s="6"/>
      <c r="I954" s="7"/>
      <c r="J954" s="9"/>
      <c r="N954" s="9"/>
      <c r="O954" s="12"/>
      <c r="P954" s="12"/>
      <c r="S954" s="9"/>
      <c r="T954" s="18"/>
      <c r="U954" s="18"/>
      <c r="Z954" s="19"/>
      <c r="AC954" s="11"/>
      <c r="AD954" s="9"/>
      <c r="AF954" s="14"/>
      <c r="AG954" s="13"/>
    </row>
    <row r="955" spans="1:33" x14ac:dyDescent="0.2">
      <c r="A955" s="5"/>
      <c r="B955" s="25"/>
      <c r="C955" s="26"/>
      <c r="D955" s="5"/>
      <c r="E955" s="5"/>
      <c r="F955" s="32"/>
      <c r="G955" s="9"/>
      <c r="H955" s="6"/>
      <c r="I955" s="7"/>
      <c r="J955" s="9"/>
      <c r="N955" s="9"/>
      <c r="O955" s="12"/>
      <c r="P955" s="12"/>
      <c r="S955" s="9"/>
      <c r="T955" s="18"/>
      <c r="U955" s="18"/>
      <c r="Z955" s="19"/>
      <c r="AC955" s="11"/>
      <c r="AD955" s="9"/>
      <c r="AF955" s="14"/>
      <c r="AG955" s="13"/>
    </row>
    <row r="956" spans="1:33" x14ac:dyDescent="0.2">
      <c r="A956" s="5"/>
      <c r="B956" s="25"/>
      <c r="C956" s="26"/>
      <c r="D956" s="5"/>
      <c r="E956" s="5"/>
      <c r="F956" s="32"/>
      <c r="G956" s="9"/>
      <c r="H956" s="6"/>
      <c r="I956" s="7"/>
      <c r="J956" s="9"/>
      <c r="N956" s="9"/>
      <c r="O956" s="12"/>
      <c r="P956" s="12"/>
      <c r="S956" s="9"/>
      <c r="T956" s="18"/>
      <c r="U956" s="18"/>
      <c r="Z956" s="19"/>
      <c r="AC956" s="11"/>
      <c r="AD956" s="9"/>
      <c r="AF956" s="14"/>
      <c r="AG956" s="13"/>
    </row>
    <row r="957" spans="1:33" x14ac:dyDescent="0.2">
      <c r="A957" s="5"/>
      <c r="B957" s="25"/>
      <c r="C957" s="26"/>
      <c r="D957" s="5"/>
      <c r="E957" s="5"/>
      <c r="F957" s="32"/>
      <c r="G957" s="9"/>
      <c r="H957" s="6"/>
      <c r="I957" s="7"/>
      <c r="J957" s="9"/>
      <c r="N957" s="9"/>
      <c r="O957" s="12"/>
      <c r="S957" s="9"/>
      <c r="T957" s="18"/>
      <c r="U957" s="18"/>
      <c r="Z957" s="19"/>
      <c r="AC957" s="11"/>
      <c r="AD957" s="9"/>
      <c r="AF957" s="14"/>
      <c r="AG957" s="13"/>
    </row>
    <row r="958" spans="1:33" x14ac:dyDescent="0.2">
      <c r="A958" s="5"/>
      <c r="B958" s="25"/>
      <c r="C958" s="26"/>
      <c r="D958" s="5"/>
      <c r="E958" s="5"/>
      <c r="F958" s="32"/>
      <c r="G958" s="9"/>
      <c r="H958" s="6"/>
      <c r="I958" s="7"/>
      <c r="J958" s="9"/>
      <c r="N958" s="9"/>
      <c r="O958" s="12"/>
      <c r="S958" s="9"/>
      <c r="T958" s="18"/>
      <c r="U958" s="18"/>
      <c r="Z958" s="19"/>
      <c r="AC958" s="11"/>
      <c r="AD958" s="9"/>
      <c r="AF958" s="14"/>
      <c r="AG958" s="13"/>
    </row>
    <row r="959" spans="1:33" x14ac:dyDescent="0.2">
      <c r="A959" s="5"/>
      <c r="B959" s="25"/>
      <c r="C959" s="26"/>
      <c r="D959" s="5"/>
      <c r="E959" s="5"/>
      <c r="F959" s="32"/>
      <c r="G959" s="9"/>
      <c r="H959" s="6"/>
      <c r="I959" s="7"/>
      <c r="J959" s="9"/>
      <c r="N959" s="9"/>
      <c r="O959" s="12"/>
      <c r="S959" s="9"/>
      <c r="T959" s="18"/>
      <c r="U959" s="18"/>
      <c r="Z959" s="19"/>
      <c r="AC959" s="11"/>
      <c r="AD959" s="9"/>
      <c r="AF959" s="14"/>
      <c r="AG959" s="13"/>
    </row>
    <row r="960" spans="1:33" x14ac:dyDescent="0.2">
      <c r="A960" s="5"/>
      <c r="B960" s="25"/>
      <c r="C960" s="26"/>
      <c r="D960" s="5"/>
      <c r="E960" s="5"/>
      <c r="F960" s="32"/>
      <c r="G960" s="9"/>
      <c r="H960" s="6"/>
      <c r="I960" s="7"/>
      <c r="J960" s="9"/>
      <c r="N960" s="9"/>
      <c r="O960" s="37"/>
      <c r="S960" s="9"/>
      <c r="T960" s="18"/>
      <c r="U960" s="18"/>
      <c r="Z960" s="19"/>
      <c r="AC960" s="11"/>
      <c r="AD960" s="9"/>
      <c r="AF960" s="14"/>
      <c r="AG960" s="13"/>
    </row>
    <row r="961" spans="1:33" x14ac:dyDescent="0.2">
      <c r="A961" s="5"/>
      <c r="B961" s="25"/>
      <c r="C961" s="26"/>
      <c r="D961" s="5"/>
      <c r="E961" s="5"/>
      <c r="F961" s="32"/>
      <c r="G961" s="9"/>
      <c r="H961" s="6"/>
      <c r="I961" s="7"/>
      <c r="J961" s="9"/>
      <c r="N961" s="9"/>
      <c r="O961" s="37"/>
      <c r="S961" s="9"/>
      <c r="T961" s="18"/>
      <c r="U961" s="18"/>
      <c r="Z961" s="19"/>
      <c r="AC961" s="11"/>
      <c r="AD961" s="9"/>
      <c r="AF961" s="14"/>
      <c r="AG961" s="13"/>
    </row>
    <row r="962" spans="1:33" x14ac:dyDescent="0.2">
      <c r="A962" s="5"/>
      <c r="B962" s="25"/>
      <c r="C962" s="26"/>
      <c r="D962" s="5"/>
      <c r="E962" s="5"/>
      <c r="F962" s="32"/>
      <c r="G962" s="9"/>
      <c r="H962" s="6"/>
      <c r="I962" s="7"/>
      <c r="J962" s="9"/>
      <c r="N962" s="9"/>
      <c r="O962" s="12"/>
      <c r="P962" s="12"/>
      <c r="S962" s="9"/>
      <c r="T962" s="18"/>
      <c r="U962" s="18"/>
      <c r="Z962" s="19"/>
      <c r="AC962" s="11"/>
      <c r="AD962" s="9"/>
      <c r="AF962" s="14"/>
      <c r="AG962" s="13"/>
    </row>
    <row r="963" spans="1:33" x14ac:dyDescent="0.2">
      <c r="A963" s="5"/>
      <c r="B963" s="25"/>
      <c r="C963" s="26"/>
      <c r="D963" s="5"/>
      <c r="E963" s="5"/>
      <c r="F963" s="32"/>
      <c r="G963" s="9"/>
      <c r="H963" s="6"/>
      <c r="I963" s="7"/>
      <c r="J963" s="9"/>
      <c r="N963" s="9"/>
      <c r="O963" s="12"/>
      <c r="P963" s="12"/>
      <c r="S963" s="9"/>
      <c r="T963" s="18"/>
      <c r="U963" s="18"/>
      <c r="Z963" s="19"/>
      <c r="AC963" s="11"/>
      <c r="AD963" s="9"/>
      <c r="AF963" s="14"/>
      <c r="AG963" s="13"/>
    </row>
    <row r="964" spans="1:33" x14ac:dyDescent="0.2">
      <c r="A964" s="5"/>
      <c r="B964" s="25"/>
      <c r="C964" s="26"/>
      <c r="D964" s="5"/>
      <c r="E964" s="5"/>
      <c r="F964" s="32"/>
      <c r="G964" s="9"/>
      <c r="H964" s="6"/>
      <c r="I964" s="7"/>
      <c r="J964" s="9"/>
      <c r="N964" s="9"/>
      <c r="O964" s="12"/>
      <c r="S964" s="9"/>
      <c r="T964" s="18"/>
      <c r="U964" s="18"/>
      <c r="Z964" s="19"/>
      <c r="AC964" s="11"/>
      <c r="AD964" s="9"/>
      <c r="AF964" s="14"/>
      <c r="AG964" s="13"/>
    </row>
    <row r="965" spans="1:33" x14ac:dyDescent="0.2">
      <c r="A965" s="5"/>
      <c r="B965" s="25"/>
      <c r="C965" s="26"/>
      <c r="D965" s="5"/>
      <c r="E965" s="5"/>
      <c r="F965" s="32"/>
      <c r="G965" s="9"/>
      <c r="H965" s="6"/>
      <c r="I965" s="7"/>
      <c r="J965" s="9"/>
      <c r="N965" s="9"/>
      <c r="O965" s="12"/>
      <c r="S965" s="9"/>
      <c r="T965" s="18"/>
      <c r="U965" s="18"/>
      <c r="Z965" s="19"/>
      <c r="AC965" s="11"/>
      <c r="AD965" s="9"/>
      <c r="AF965" s="14"/>
      <c r="AG965" s="13"/>
    </row>
    <row r="966" spans="1:33" x14ac:dyDescent="0.2">
      <c r="A966" s="5"/>
      <c r="B966" s="25"/>
      <c r="C966" s="26"/>
      <c r="D966" s="5"/>
      <c r="E966" s="5"/>
      <c r="F966" s="32"/>
      <c r="G966" s="9"/>
      <c r="H966" s="6"/>
      <c r="I966" s="7"/>
      <c r="J966" s="9"/>
      <c r="N966" s="9"/>
      <c r="O966" s="12"/>
      <c r="S966" s="9"/>
      <c r="T966" s="18"/>
      <c r="U966" s="18"/>
      <c r="Z966" s="19"/>
      <c r="AC966" s="11"/>
      <c r="AD966" s="9"/>
      <c r="AF966" s="14"/>
      <c r="AG966" s="13"/>
    </row>
    <row r="967" spans="1:33" x14ac:dyDescent="0.2">
      <c r="A967" s="5"/>
      <c r="B967" s="25"/>
      <c r="C967" s="26"/>
      <c r="D967" s="5"/>
      <c r="E967" s="5"/>
      <c r="F967" s="32"/>
      <c r="G967" s="9"/>
      <c r="H967" s="6"/>
      <c r="I967" s="7"/>
      <c r="J967" s="9"/>
      <c r="N967" s="9"/>
      <c r="O967" s="12"/>
      <c r="S967" s="9"/>
      <c r="T967" s="18"/>
      <c r="U967" s="18"/>
      <c r="Z967" s="19"/>
      <c r="AC967" s="11"/>
      <c r="AD967" s="9"/>
      <c r="AF967" s="14"/>
      <c r="AG967" s="13"/>
    </row>
    <row r="968" spans="1:33" x14ac:dyDescent="0.2">
      <c r="A968" s="5"/>
      <c r="B968" s="25"/>
      <c r="C968" s="26"/>
      <c r="D968" s="5"/>
      <c r="E968" s="5"/>
      <c r="F968" s="32"/>
      <c r="G968" s="9"/>
      <c r="H968" s="6"/>
      <c r="I968" s="7"/>
      <c r="J968" s="9"/>
      <c r="N968" s="9"/>
      <c r="O968" s="12"/>
      <c r="P968" s="12"/>
      <c r="S968" s="9"/>
      <c r="T968" s="18"/>
      <c r="U968" s="18"/>
      <c r="Z968" s="19"/>
      <c r="AC968" s="11"/>
      <c r="AD968" s="9"/>
      <c r="AF968" s="14"/>
      <c r="AG968" s="13"/>
    </row>
    <row r="969" spans="1:33" x14ac:dyDescent="0.2">
      <c r="A969" s="5"/>
      <c r="B969" s="25"/>
      <c r="C969" s="26"/>
      <c r="D969" s="5"/>
      <c r="E969" s="5"/>
      <c r="F969" s="32"/>
      <c r="G969" s="9"/>
      <c r="H969" s="6"/>
      <c r="I969" s="7"/>
      <c r="J969" s="9"/>
      <c r="N969" s="9"/>
      <c r="O969" s="12"/>
      <c r="P969" s="12"/>
      <c r="S969" s="9"/>
      <c r="T969" s="18"/>
      <c r="U969" s="18"/>
      <c r="Z969" s="19"/>
      <c r="AC969" s="11"/>
      <c r="AD969" s="9"/>
      <c r="AF969" s="14"/>
      <c r="AG969" s="13"/>
    </row>
    <row r="970" spans="1:33" x14ac:dyDescent="0.2">
      <c r="A970" s="5"/>
      <c r="B970" s="25"/>
      <c r="C970" s="26"/>
      <c r="D970" s="5"/>
      <c r="E970" s="5"/>
      <c r="F970" s="32"/>
      <c r="G970" s="9"/>
      <c r="H970" s="6"/>
      <c r="I970" s="7"/>
      <c r="J970" s="9"/>
      <c r="N970" s="9"/>
      <c r="O970" s="12"/>
      <c r="S970" s="9"/>
      <c r="T970" s="18"/>
      <c r="U970" s="18"/>
      <c r="Z970" s="19"/>
      <c r="AC970" s="11"/>
      <c r="AD970" s="9"/>
      <c r="AF970" s="14"/>
      <c r="AG970" s="13"/>
    </row>
    <row r="971" spans="1:33" x14ac:dyDescent="0.2">
      <c r="A971" s="5"/>
      <c r="B971" s="25"/>
      <c r="C971" s="26"/>
      <c r="D971" s="5"/>
      <c r="E971" s="5"/>
      <c r="F971" s="32"/>
      <c r="G971" s="9"/>
      <c r="H971" s="6"/>
      <c r="I971" s="7"/>
      <c r="J971" s="9"/>
      <c r="N971" s="9"/>
      <c r="O971" s="12"/>
      <c r="P971" s="12"/>
      <c r="S971" s="9"/>
      <c r="T971" s="18"/>
      <c r="U971" s="18"/>
      <c r="Z971" s="19"/>
      <c r="AC971" s="11"/>
      <c r="AD971" s="9"/>
      <c r="AF971" s="14"/>
      <c r="AG971" s="13"/>
    </row>
    <row r="972" spans="1:33" x14ac:dyDescent="0.2">
      <c r="A972" s="5"/>
      <c r="B972" s="25"/>
      <c r="C972" s="26"/>
      <c r="D972" s="26"/>
      <c r="E972" s="5"/>
      <c r="F972" s="32"/>
      <c r="G972" s="9"/>
      <c r="H972" s="6"/>
      <c r="I972" s="7"/>
      <c r="J972" s="9"/>
      <c r="N972" s="9"/>
      <c r="O972" s="12"/>
      <c r="S972" s="9"/>
      <c r="T972" s="18"/>
      <c r="U972" s="18"/>
      <c r="Z972" s="19"/>
      <c r="AC972" s="11"/>
      <c r="AD972" s="9"/>
      <c r="AF972" s="14"/>
      <c r="AG972" s="13"/>
    </row>
    <row r="973" spans="1:33" x14ac:dyDescent="0.2">
      <c r="A973" s="5"/>
      <c r="B973" s="25"/>
      <c r="C973" s="26"/>
      <c r="D973" s="26"/>
      <c r="E973" s="5"/>
      <c r="F973" s="32"/>
      <c r="G973" s="9"/>
      <c r="H973" s="6"/>
      <c r="I973" s="7"/>
      <c r="J973" s="9"/>
      <c r="N973" s="9"/>
      <c r="O973" s="12"/>
      <c r="S973" s="9"/>
      <c r="T973" s="18"/>
      <c r="U973" s="18"/>
      <c r="Z973" s="19"/>
      <c r="AC973" s="11"/>
      <c r="AD973" s="9"/>
      <c r="AF973" s="14"/>
      <c r="AG973" s="13"/>
    </row>
    <row r="974" spans="1:33" x14ac:dyDescent="0.2">
      <c r="A974" s="5"/>
      <c r="B974" s="25"/>
      <c r="C974" s="26"/>
      <c r="D974" s="26"/>
      <c r="E974" s="5"/>
      <c r="F974" s="32"/>
      <c r="G974" s="9"/>
      <c r="H974" s="6"/>
      <c r="I974" s="7"/>
      <c r="J974" s="9"/>
      <c r="N974" s="9"/>
      <c r="O974" s="12"/>
      <c r="S974" s="9"/>
      <c r="T974" s="18"/>
      <c r="U974" s="18"/>
      <c r="Z974" s="19"/>
      <c r="AC974" s="11"/>
      <c r="AD974" s="9"/>
      <c r="AF974" s="14"/>
      <c r="AG974" s="13"/>
    </row>
    <row r="975" spans="1:33" x14ac:dyDescent="0.2">
      <c r="A975" s="5"/>
      <c r="B975" s="25"/>
      <c r="C975" s="26"/>
      <c r="D975" s="26"/>
      <c r="E975" s="5"/>
      <c r="F975" s="32"/>
      <c r="G975" s="9"/>
      <c r="H975" s="6"/>
      <c r="I975" s="7"/>
      <c r="J975" s="9"/>
      <c r="N975" s="9"/>
      <c r="O975" s="12"/>
      <c r="S975" s="9"/>
      <c r="T975" s="18"/>
      <c r="U975" s="18"/>
      <c r="Z975" s="19"/>
      <c r="AC975" s="11"/>
      <c r="AD975" s="9"/>
      <c r="AF975" s="14"/>
      <c r="AG975" s="13"/>
    </row>
    <row r="976" spans="1:33" x14ac:dyDescent="0.2">
      <c r="A976" s="5"/>
      <c r="B976" s="25"/>
      <c r="C976" s="26"/>
      <c r="D976" s="26"/>
      <c r="E976" s="5"/>
      <c r="F976" s="32"/>
      <c r="G976" s="9"/>
      <c r="H976" s="6"/>
      <c r="I976" s="7"/>
      <c r="J976" s="9"/>
      <c r="N976" s="9"/>
      <c r="S976" s="9"/>
      <c r="T976" s="18"/>
      <c r="U976" s="18"/>
      <c r="Z976" s="19"/>
      <c r="AC976" s="11"/>
      <c r="AD976" s="9"/>
      <c r="AF976" s="14"/>
      <c r="AG976" s="13"/>
    </row>
    <row r="977" spans="1:33" x14ac:dyDescent="0.2">
      <c r="A977" s="5"/>
      <c r="B977" s="25"/>
      <c r="C977" s="26"/>
      <c r="D977" s="26"/>
      <c r="E977" s="5"/>
      <c r="F977" s="32"/>
      <c r="G977" s="9"/>
      <c r="H977" s="6"/>
      <c r="I977" s="7"/>
      <c r="J977" s="9"/>
      <c r="N977" s="9"/>
      <c r="P977" s="12"/>
      <c r="S977" s="9"/>
      <c r="T977" s="18"/>
      <c r="U977" s="18"/>
      <c r="Z977" s="19"/>
      <c r="AC977" s="11"/>
      <c r="AD977" s="9"/>
      <c r="AF977" s="14"/>
      <c r="AG977" s="13"/>
    </row>
    <row r="978" spans="1:33" x14ac:dyDescent="0.2">
      <c r="A978" s="5"/>
      <c r="B978" s="25"/>
      <c r="C978" s="26"/>
      <c r="D978" s="26"/>
      <c r="E978" s="5"/>
      <c r="F978" s="32"/>
      <c r="G978" s="9"/>
      <c r="H978" s="6"/>
      <c r="I978" s="7"/>
      <c r="J978" s="9"/>
      <c r="N978" s="9"/>
      <c r="O978" s="12"/>
      <c r="P978" s="12"/>
      <c r="S978" s="9"/>
      <c r="T978" s="18"/>
      <c r="U978" s="18"/>
      <c r="Z978" s="19"/>
      <c r="AC978" s="11"/>
      <c r="AD978" s="9"/>
      <c r="AF978" s="14"/>
      <c r="AG978" s="13"/>
    </row>
    <row r="979" spans="1:33" x14ac:dyDescent="0.2">
      <c r="A979" s="5"/>
      <c r="B979" s="25"/>
      <c r="C979" s="26"/>
      <c r="D979" s="5"/>
      <c r="E979" s="5"/>
      <c r="F979" s="32"/>
      <c r="G979" s="9"/>
      <c r="H979" s="6"/>
      <c r="I979" s="7"/>
      <c r="J979" s="9"/>
      <c r="N979" s="9"/>
      <c r="O979" s="12"/>
      <c r="S979" s="9"/>
      <c r="T979" s="18"/>
      <c r="U979" s="18"/>
      <c r="Z979" s="19"/>
      <c r="AC979" s="11"/>
      <c r="AD979" s="9"/>
      <c r="AF979" s="14"/>
      <c r="AG979" s="13"/>
    </row>
    <row r="980" spans="1:33" x14ac:dyDescent="0.2">
      <c r="A980" s="5"/>
      <c r="B980" s="25"/>
      <c r="C980" s="26"/>
      <c r="D980" s="5"/>
      <c r="E980" s="5"/>
      <c r="F980" s="32"/>
      <c r="G980" s="9"/>
      <c r="H980" s="6"/>
      <c r="I980" s="7"/>
      <c r="J980" s="9"/>
      <c r="N980" s="9"/>
      <c r="O980" s="12"/>
      <c r="S980" s="9"/>
      <c r="T980" s="18"/>
      <c r="U980" s="18"/>
      <c r="Z980" s="19"/>
      <c r="AC980" s="11"/>
      <c r="AD980" s="9"/>
      <c r="AF980" s="14"/>
      <c r="AG980" s="13"/>
    </row>
    <row r="981" spans="1:33" x14ac:dyDescent="0.2">
      <c r="A981" s="5"/>
      <c r="B981" s="25"/>
      <c r="C981" s="26"/>
      <c r="D981" s="5"/>
      <c r="E981" s="5"/>
      <c r="F981" s="32"/>
      <c r="G981" s="9"/>
      <c r="H981" s="6"/>
      <c r="I981" s="7"/>
      <c r="J981" s="9"/>
      <c r="N981" s="9"/>
      <c r="O981" s="12"/>
      <c r="P981" s="12"/>
      <c r="S981" s="9"/>
      <c r="T981" s="18"/>
      <c r="U981" s="18"/>
      <c r="Z981" s="19"/>
      <c r="AC981" s="11"/>
      <c r="AD981" s="9"/>
      <c r="AF981" s="14"/>
      <c r="AG981" s="13"/>
    </row>
    <row r="982" spans="1:33" x14ac:dyDescent="0.2">
      <c r="A982" s="5"/>
      <c r="B982" s="25"/>
      <c r="C982" s="26"/>
      <c r="D982" s="5"/>
      <c r="E982" s="5"/>
      <c r="F982" s="32"/>
      <c r="G982" s="9"/>
      <c r="H982" s="6"/>
      <c r="I982" s="7"/>
      <c r="J982" s="9"/>
      <c r="N982" s="9"/>
      <c r="O982" s="12"/>
      <c r="P982" s="12"/>
      <c r="S982" s="9"/>
      <c r="T982" s="18"/>
      <c r="U982" s="18"/>
      <c r="Z982" s="19"/>
      <c r="AC982" s="11"/>
      <c r="AD982" s="9"/>
      <c r="AF982" s="14"/>
      <c r="AG982" s="13"/>
    </row>
    <row r="983" spans="1:33" x14ac:dyDescent="0.2">
      <c r="A983" s="5"/>
      <c r="B983" s="25"/>
      <c r="C983" s="26"/>
      <c r="D983" s="5"/>
      <c r="E983" s="5"/>
      <c r="F983" s="32"/>
      <c r="G983" s="9"/>
      <c r="H983" s="6"/>
      <c r="I983" s="7"/>
      <c r="J983" s="9"/>
      <c r="N983" s="9"/>
      <c r="O983" s="12"/>
      <c r="P983" s="12"/>
      <c r="S983" s="9"/>
      <c r="T983" s="18"/>
      <c r="U983" s="18"/>
      <c r="Z983" s="19"/>
      <c r="AC983" s="11"/>
      <c r="AD983" s="9"/>
      <c r="AF983" s="14"/>
      <c r="AG983" s="13"/>
    </row>
    <row r="984" spans="1:33" x14ac:dyDescent="0.2">
      <c r="A984" s="5"/>
      <c r="B984" s="25"/>
      <c r="C984" s="26"/>
      <c r="D984" s="5"/>
      <c r="E984" s="5"/>
      <c r="F984" s="32"/>
      <c r="G984" s="9"/>
      <c r="H984" s="6"/>
      <c r="I984" s="7"/>
      <c r="J984" s="9"/>
      <c r="N984" s="9"/>
      <c r="O984" s="12"/>
      <c r="P984" s="12"/>
      <c r="S984" s="9"/>
      <c r="T984" s="18"/>
      <c r="U984" s="18"/>
      <c r="Z984" s="19"/>
      <c r="AC984" s="11"/>
      <c r="AD984" s="9"/>
      <c r="AF984" s="14"/>
      <c r="AG984" s="13"/>
    </row>
    <row r="985" spans="1:33" x14ac:dyDescent="0.2">
      <c r="A985" s="5"/>
      <c r="B985" s="25"/>
      <c r="C985" s="26"/>
      <c r="D985" s="5"/>
      <c r="E985" s="5"/>
      <c r="F985" s="32"/>
      <c r="G985" s="9"/>
      <c r="H985" s="6"/>
      <c r="I985" s="7"/>
      <c r="J985" s="9"/>
      <c r="N985" s="9"/>
      <c r="O985" s="12"/>
      <c r="S985" s="9"/>
      <c r="T985" s="18"/>
      <c r="U985" s="18"/>
      <c r="Z985" s="19"/>
      <c r="AC985" s="11"/>
      <c r="AD985" s="9"/>
      <c r="AF985" s="14"/>
      <c r="AG985" s="13"/>
    </row>
    <row r="986" spans="1:33" x14ac:dyDescent="0.2">
      <c r="A986" s="5"/>
      <c r="B986" s="25"/>
      <c r="C986" s="26"/>
      <c r="D986" s="5"/>
      <c r="E986" s="5"/>
      <c r="F986" s="32"/>
      <c r="G986" s="9"/>
      <c r="H986" s="6"/>
      <c r="I986" s="7"/>
      <c r="J986" s="9"/>
      <c r="N986" s="9"/>
      <c r="O986" s="12"/>
      <c r="S986" s="9"/>
      <c r="T986" s="18"/>
      <c r="U986" s="18"/>
      <c r="Z986" s="19"/>
      <c r="AC986" s="11"/>
      <c r="AD986" s="9"/>
      <c r="AF986" s="14"/>
      <c r="AG986" s="13"/>
    </row>
    <row r="987" spans="1:33" x14ac:dyDescent="0.2">
      <c r="A987" s="5"/>
      <c r="B987" s="25"/>
      <c r="C987" s="26"/>
      <c r="D987" s="5"/>
      <c r="E987" s="5"/>
      <c r="F987" s="32"/>
      <c r="G987" s="9"/>
      <c r="H987" s="6"/>
      <c r="I987" s="7"/>
      <c r="J987" s="9"/>
      <c r="N987" s="9"/>
      <c r="O987" s="12"/>
      <c r="S987" s="9"/>
      <c r="T987" s="18"/>
      <c r="U987" s="18"/>
      <c r="Z987" s="19"/>
      <c r="AC987" s="11"/>
      <c r="AD987" s="9"/>
      <c r="AF987" s="14"/>
      <c r="AG987" s="13"/>
    </row>
    <row r="988" spans="1:33" x14ac:dyDescent="0.2">
      <c r="A988" s="5"/>
      <c r="B988" s="25"/>
      <c r="C988" s="26"/>
      <c r="D988" s="5"/>
      <c r="E988" s="5"/>
      <c r="F988" s="32"/>
      <c r="G988" s="9"/>
      <c r="H988" s="6"/>
      <c r="I988" s="7"/>
      <c r="J988" s="9"/>
      <c r="N988" s="9"/>
      <c r="O988" s="12"/>
      <c r="P988" s="12"/>
      <c r="S988" s="9"/>
      <c r="T988" s="18"/>
      <c r="U988" s="18"/>
      <c r="Z988" s="19"/>
      <c r="AC988" s="11"/>
      <c r="AD988" s="9"/>
      <c r="AF988" s="14"/>
      <c r="AG988" s="13"/>
    </row>
    <row r="989" spans="1:33" x14ac:dyDescent="0.2">
      <c r="A989" s="5"/>
      <c r="B989" s="25"/>
      <c r="C989" s="26"/>
      <c r="D989" s="5"/>
      <c r="E989" s="5"/>
      <c r="F989" s="32"/>
      <c r="G989" s="9"/>
      <c r="H989" s="6"/>
      <c r="I989" s="7"/>
      <c r="J989" s="9"/>
      <c r="N989" s="9"/>
      <c r="O989" s="12"/>
      <c r="P989" s="12"/>
      <c r="S989" s="9"/>
      <c r="T989" s="18"/>
      <c r="U989" s="18"/>
      <c r="Z989" s="19"/>
      <c r="AC989" s="11"/>
      <c r="AD989" s="9"/>
      <c r="AF989" s="14"/>
      <c r="AG989" s="13"/>
    </row>
    <row r="990" spans="1:33" x14ac:dyDescent="0.2">
      <c r="A990" s="5"/>
      <c r="B990" s="25"/>
      <c r="C990" s="26"/>
      <c r="D990" s="5"/>
      <c r="E990" s="5"/>
      <c r="F990" s="32"/>
      <c r="G990" s="9"/>
      <c r="H990" s="6"/>
      <c r="I990" s="7"/>
      <c r="J990" s="9"/>
      <c r="N990" s="9"/>
      <c r="P990" s="12"/>
      <c r="S990" s="9"/>
      <c r="T990" s="18"/>
      <c r="U990" s="18"/>
      <c r="Z990" s="19"/>
      <c r="AC990" s="11"/>
      <c r="AD990" s="9"/>
      <c r="AF990" s="14"/>
      <c r="AG990" s="13"/>
    </row>
    <row r="991" spans="1:33" x14ac:dyDescent="0.2">
      <c r="A991" s="5"/>
      <c r="B991" s="25"/>
      <c r="C991" s="26"/>
      <c r="D991" s="5"/>
      <c r="E991" s="5"/>
      <c r="F991" s="32"/>
      <c r="G991" s="9"/>
      <c r="H991" s="6"/>
      <c r="I991" s="7"/>
      <c r="J991" s="9"/>
      <c r="N991" s="9"/>
      <c r="O991" s="12"/>
      <c r="P991" s="12"/>
      <c r="S991" s="9"/>
      <c r="T991" s="18"/>
      <c r="U991" s="18"/>
      <c r="Z991" s="19"/>
      <c r="AC991" s="11"/>
      <c r="AD991" s="9"/>
      <c r="AF991" s="14"/>
      <c r="AG991" s="13"/>
    </row>
    <row r="992" spans="1:33" x14ac:dyDescent="0.2">
      <c r="A992" s="5"/>
      <c r="B992" s="25"/>
      <c r="C992" s="26"/>
      <c r="D992" s="5"/>
      <c r="E992" s="5"/>
      <c r="F992" s="32"/>
      <c r="G992" s="9"/>
      <c r="H992" s="6"/>
      <c r="I992" s="7"/>
      <c r="J992" s="9"/>
      <c r="N992" s="9"/>
      <c r="O992" s="12"/>
      <c r="P992" s="12"/>
      <c r="S992" s="9"/>
      <c r="T992" s="18"/>
      <c r="U992" s="18"/>
      <c r="Z992" s="19"/>
      <c r="AC992" s="11"/>
      <c r="AD992" s="9"/>
      <c r="AF992" s="14"/>
      <c r="AG992" s="13"/>
    </row>
    <row r="993" spans="1:41" x14ac:dyDescent="0.2">
      <c r="A993" s="5"/>
      <c r="B993" s="25"/>
      <c r="C993" s="26"/>
      <c r="D993" s="5"/>
      <c r="E993" s="5"/>
      <c r="F993" s="32"/>
      <c r="G993" s="9"/>
      <c r="H993" s="6"/>
      <c r="I993" s="7"/>
      <c r="J993" s="9"/>
      <c r="N993" s="9"/>
      <c r="O993" s="12"/>
      <c r="S993" s="9"/>
      <c r="T993" s="18"/>
      <c r="U993" s="18"/>
      <c r="Z993" s="19"/>
      <c r="AC993" s="11"/>
      <c r="AD993" s="9"/>
      <c r="AF993" s="14"/>
      <c r="AG993" s="13"/>
    </row>
    <row r="994" spans="1:41" x14ac:dyDescent="0.2">
      <c r="A994" s="5"/>
      <c r="B994" s="25"/>
      <c r="C994" s="26"/>
      <c r="D994" s="5"/>
      <c r="E994" s="5"/>
      <c r="F994" s="32"/>
      <c r="G994" s="9"/>
      <c r="H994" s="6"/>
      <c r="I994" s="7"/>
      <c r="J994" s="9"/>
      <c r="N994" s="9"/>
      <c r="O994" s="12"/>
      <c r="S994" s="9"/>
      <c r="T994" s="18"/>
      <c r="U994" s="18"/>
      <c r="Z994" s="19"/>
      <c r="AC994" s="11"/>
      <c r="AD994" s="9"/>
      <c r="AF994" s="14"/>
      <c r="AG994" s="13"/>
    </row>
    <row r="995" spans="1:41" x14ac:dyDescent="0.2">
      <c r="A995" s="5"/>
      <c r="B995" s="25"/>
      <c r="C995" s="26"/>
      <c r="D995" s="5"/>
      <c r="E995" s="5"/>
      <c r="F995" s="32"/>
      <c r="G995" s="9"/>
      <c r="H995" s="6"/>
      <c r="I995" s="7"/>
      <c r="J995" s="9"/>
      <c r="N995" s="9"/>
      <c r="O995" s="12"/>
      <c r="S995" s="9"/>
      <c r="T995" s="18"/>
      <c r="U995" s="18"/>
      <c r="Z995" s="19"/>
      <c r="AC995" s="11"/>
      <c r="AD995" s="9"/>
      <c r="AF995" s="14"/>
      <c r="AG995" s="13"/>
    </row>
    <row r="996" spans="1:41" x14ac:dyDescent="0.2">
      <c r="A996" s="5"/>
      <c r="B996" s="25"/>
      <c r="C996" s="26"/>
      <c r="D996" s="5"/>
      <c r="E996" s="5"/>
      <c r="F996" s="32"/>
      <c r="G996" s="9"/>
      <c r="H996" s="6"/>
      <c r="I996" s="7"/>
      <c r="J996" s="9"/>
      <c r="N996" s="9"/>
      <c r="O996" s="12"/>
      <c r="S996" s="9"/>
      <c r="T996" s="18"/>
      <c r="U996" s="18"/>
      <c r="Z996" s="19"/>
      <c r="AC996" s="11"/>
      <c r="AD996" s="9"/>
      <c r="AF996" s="14"/>
      <c r="AG996" s="13"/>
    </row>
    <row r="997" spans="1:41" x14ac:dyDescent="0.2">
      <c r="A997" s="5"/>
      <c r="B997" s="25"/>
      <c r="C997" s="26"/>
      <c r="D997" s="5"/>
      <c r="E997" s="5"/>
      <c r="F997" s="32"/>
      <c r="G997" s="9"/>
      <c r="H997" s="6"/>
      <c r="I997" s="7"/>
      <c r="J997" s="9"/>
      <c r="N997" s="9"/>
      <c r="O997" s="12"/>
      <c r="S997" s="9"/>
      <c r="T997" s="18"/>
      <c r="U997" s="18"/>
      <c r="Z997" s="19"/>
      <c r="AC997" s="11"/>
      <c r="AD997" s="9"/>
      <c r="AF997" s="14"/>
      <c r="AG997" s="13"/>
    </row>
    <row r="998" spans="1:41" x14ac:dyDescent="0.2">
      <c r="A998" s="5"/>
      <c r="B998" s="25"/>
      <c r="C998" s="26"/>
      <c r="D998" s="5"/>
      <c r="E998" s="5"/>
      <c r="F998" s="32"/>
      <c r="G998" s="9"/>
      <c r="H998" s="6"/>
      <c r="I998" s="7"/>
      <c r="J998" s="9"/>
      <c r="N998" s="9"/>
      <c r="O998" s="12"/>
      <c r="P998" s="12"/>
      <c r="S998" s="9"/>
      <c r="T998" s="18"/>
      <c r="U998" s="18"/>
      <c r="Z998" s="19"/>
      <c r="AC998" s="11"/>
      <c r="AD998" s="9"/>
      <c r="AF998" s="14"/>
      <c r="AG998" s="13"/>
    </row>
    <row r="999" spans="1:41" x14ac:dyDescent="0.2">
      <c r="A999" s="5"/>
      <c r="B999" s="25"/>
      <c r="C999" s="26"/>
      <c r="D999" s="5"/>
      <c r="E999" s="5"/>
      <c r="F999" s="32"/>
      <c r="G999" s="9"/>
      <c r="H999" s="6"/>
      <c r="I999" s="7"/>
      <c r="J999" s="9"/>
      <c r="N999" s="9"/>
      <c r="O999" s="12"/>
      <c r="P999" s="12"/>
      <c r="S999" s="9"/>
      <c r="T999" s="18"/>
      <c r="U999" s="18"/>
      <c r="Z999" s="19"/>
      <c r="AC999" s="11"/>
      <c r="AD999" s="9"/>
      <c r="AF999" s="14"/>
      <c r="AG999" s="13"/>
    </row>
    <row r="1000" spans="1:41" x14ac:dyDescent="0.2">
      <c r="A1000" s="5"/>
      <c r="B1000" s="25"/>
      <c r="C1000" s="26"/>
      <c r="D1000" s="5"/>
      <c r="E1000" s="5"/>
      <c r="F1000" s="32"/>
      <c r="G1000" s="9"/>
      <c r="H1000" s="6"/>
      <c r="I1000" s="7"/>
      <c r="J1000" s="9"/>
      <c r="N1000" s="9"/>
      <c r="O1000" s="12"/>
      <c r="P1000" s="12"/>
      <c r="S1000" s="9"/>
      <c r="T1000" s="18"/>
      <c r="U1000" s="18"/>
      <c r="Z1000" s="19"/>
      <c r="AC1000" s="11"/>
      <c r="AD1000" s="9"/>
      <c r="AF1000" s="14"/>
      <c r="AG1000" s="13"/>
    </row>
    <row r="1001" spans="1:41" x14ac:dyDescent="0.2">
      <c r="A1001" s="49"/>
      <c r="B1001" s="50"/>
      <c r="C1001" s="51"/>
      <c r="D1001" s="49"/>
      <c r="E1001" s="49"/>
      <c r="F1001" s="52"/>
      <c r="G1001" s="53"/>
      <c r="H1001" s="54"/>
      <c r="I1001" s="55"/>
      <c r="J1001" s="53"/>
      <c r="K1001" s="53"/>
      <c r="L1001" s="53"/>
      <c r="M1001" s="56"/>
      <c r="N1001" s="53"/>
      <c r="O1001" s="57"/>
      <c r="P1001" s="58"/>
      <c r="Q1001" s="53"/>
      <c r="R1001" s="53"/>
      <c r="S1001" s="53"/>
      <c r="T1001" s="59"/>
      <c r="U1001" s="59"/>
      <c r="V1001" s="53"/>
      <c r="W1001" s="53"/>
      <c r="X1001" s="53"/>
      <c r="Z1001" s="60"/>
      <c r="AA1001" s="58"/>
      <c r="AB1001" s="58"/>
      <c r="AC1001" s="61"/>
      <c r="AD1001" s="53"/>
      <c r="AE1001" s="56"/>
      <c r="AF1001" s="56"/>
      <c r="AG1001" s="62"/>
      <c r="AH1001" s="63"/>
      <c r="AI1001" s="61"/>
      <c r="AJ1001" s="58"/>
      <c r="AK1001" s="58"/>
      <c r="AL1001" s="58"/>
      <c r="AM1001" s="58"/>
      <c r="AN1001" s="58"/>
      <c r="AO1001" s="58"/>
    </row>
    <row r="1002" spans="1:41" x14ac:dyDescent="0.2">
      <c r="A1002" s="49"/>
      <c r="B1002" s="50"/>
      <c r="C1002" s="51"/>
      <c r="D1002" s="49"/>
      <c r="E1002" s="49"/>
      <c r="F1002" s="52"/>
      <c r="G1002" s="53"/>
      <c r="H1002" s="54"/>
      <c r="I1002" s="55"/>
      <c r="J1002" s="53"/>
      <c r="K1002" s="53"/>
      <c r="L1002" s="53"/>
      <c r="M1002" s="56"/>
      <c r="N1002" s="53"/>
      <c r="O1002" s="57"/>
      <c r="P1002" s="58"/>
      <c r="Q1002" s="53"/>
      <c r="R1002" s="53"/>
      <c r="S1002" s="53"/>
      <c r="T1002" s="59"/>
      <c r="U1002" s="59"/>
      <c r="V1002" s="53"/>
      <c r="W1002" s="53"/>
      <c r="X1002" s="53"/>
      <c r="Z1002" s="60"/>
      <c r="AA1002" s="58"/>
      <c r="AB1002" s="58"/>
      <c r="AC1002" s="61"/>
      <c r="AD1002" s="53"/>
      <c r="AE1002" s="56"/>
      <c r="AF1002" s="56"/>
      <c r="AG1002" s="62"/>
      <c r="AH1002" s="63"/>
      <c r="AI1002" s="61"/>
      <c r="AJ1002" s="58"/>
      <c r="AK1002" s="58"/>
      <c r="AL1002" s="58"/>
      <c r="AM1002" s="58"/>
      <c r="AN1002" s="58"/>
      <c r="AO1002" s="58"/>
    </row>
    <row r="1003" spans="1:41" x14ac:dyDescent="0.2">
      <c r="A1003" s="49"/>
      <c r="B1003" s="50"/>
      <c r="C1003" s="51"/>
      <c r="D1003" s="49"/>
      <c r="E1003" s="49"/>
      <c r="F1003" s="52"/>
      <c r="G1003" s="53"/>
      <c r="H1003" s="54"/>
      <c r="I1003" s="55"/>
      <c r="J1003" s="53"/>
      <c r="K1003" s="53"/>
      <c r="L1003" s="53"/>
      <c r="M1003" s="56"/>
      <c r="N1003" s="53"/>
      <c r="O1003" s="57"/>
      <c r="P1003" s="58"/>
      <c r="Q1003" s="53"/>
      <c r="R1003" s="53"/>
      <c r="S1003" s="53"/>
      <c r="T1003" s="59"/>
      <c r="U1003" s="59"/>
      <c r="V1003" s="53"/>
      <c r="W1003" s="53"/>
      <c r="X1003" s="53"/>
      <c r="Z1003" s="60"/>
      <c r="AA1003" s="58"/>
      <c r="AB1003" s="58"/>
      <c r="AC1003" s="61"/>
      <c r="AD1003" s="53"/>
      <c r="AE1003" s="56"/>
      <c r="AF1003" s="56"/>
      <c r="AG1003" s="62"/>
      <c r="AH1003" s="63"/>
      <c r="AI1003" s="61"/>
      <c r="AJ1003" s="58"/>
      <c r="AK1003" s="58"/>
      <c r="AL1003" s="58"/>
      <c r="AM1003" s="58"/>
      <c r="AN1003" s="58"/>
      <c r="AO1003" s="58"/>
    </row>
    <row r="1004" spans="1:41" x14ac:dyDescent="0.2">
      <c r="A1004" s="49"/>
      <c r="B1004" s="50"/>
      <c r="C1004" s="51"/>
      <c r="D1004" s="49"/>
      <c r="E1004" s="49"/>
      <c r="F1004" s="52"/>
      <c r="G1004" s="53"/>
      <c r="H1004" s="54"/>
      <c r="I1004" s="55"/>
      <c r="J1004" s="53"/>
      <c r="K1004" s="53"/>
      <c r="L1004" s="53"/>
      <c r="M1004" s="56"/>
      <c r="N1004" s="53"/>
      <c r="O1004" s="57"/>
      <c r="P1004" s="57"/>
      <c r="Q1004" s="53"/>
      <c r="R1004" s="53"/>
      <c r="S1004" s="53"/>
      <c r="T1004" s="59"/>
      <c r="U1004" s="59"/>
      <c r="V1004" s="53"/>
      <c r="W1004" s="53"/>
      <c r="X1004" s="53"/>
      <c r="Z1004" s="60"/>
      <c r="AA1004" s="58"/>
      <c r="AB1004" s="58"/>
      <c r="AC1004" s="61"/>
      <c r="AD1004" s="53"/>
      <c r="AE1004" s="56"/>
      <c r="AF1004" s="56"/>
      <c r="AG1004" s="62"/>
      <c r="AH1004" s="63"/>
      <c r="AI1004" s="61"/>
      <c r="AJ1004" s="58"/>
      <c r="AK1004" s="58"/>
      <c r="AL1004" s="58"/>
      <c r="AM1004" s="58"/>
      <c r="AN1004" s="58"/>
      <c r="AO1004" s="58"/>
    </row>
    <row r="1005" spans="1:41" x14ac:dyDescent="0.2">
      <c r="A1005" s="49"/>
      <c r="B1005" s="50"/>
      <c r="C1005" s="51"/>
      <c r="D1005" s="49"/>
      <c r="E1005" s="49"/>
      <c r="F1005" s="52"/>
      <c r="G1005" s="53"/>
      <c r="H1005" s="54"/>
      <c r="I1005" s="55"/>
      <c r="J1005" s="53"/>
      <c r="K1005" s="53"/>
      <c r="L1005" s="53"/>
      <c r="M1005" s="56"/>
      <c r="N1005" s="53"/>
      <c r="O1005" s="57"/>
      <c r="P1005" s="57"/>
      <c r="Q1005" s="53"/>
      <c r="R1005" s="53"/>
      <c r="S1005" s="53"/>
      <c r="T1005" s="59"/>
      <c r="U1005" s="59"/>
      <c r="V1005" s="53"/>
      <c r="W1005" s="53"/>
      <c r="X1005" s="53"/>
      <c r="Z1005" s="60"/>
      <c r="AA1005" s="58"/>
      <c r="AB1005" s="58"/>
      <c r="AC1005" s="61"/>
      <c r="AD1005" s="53"/>
      <c r="AE1005" s="56"/>
      <c r="AF1005" s="56"/>
      <c r="AG1005" s="62"/>
      <c r="AH1005" s="63"/>
      <c r="AI1005" s="61"/>
      <c r="AJ1005" s="58"/>
      <c r="AK1005" s="58"/>
      <c r="AL1005" s="58"/>
      <c r="AM1005" s="58"/>
      <c r="AN1005" s="58"/>
      <c r="AO1005" s="58"/>
    </row>
    <row r="1006" spans="1:41" x14ac:dyDescent="0.2">
      <c r="A1006" s="49"/>
      <c r="B1006" s="50"/>
      <c r="C1006" s="51"/>
      <c r="D1006" s="49"/>
      <c r="E1006" s="49"/>
      <c r="F1006" s="52"/>
      <c r="G1006" s="53"/>
      <c r="H1006" s="54"/>
      <c r="I1006" s="55"/>
      <c r="J1006" s="53"/>
      <c r="K1006" s="53"/>
      <c r="L1006" s="53"/>
      <c r="M1006" s="56"/>
      <c r="N1006" s="53"/>
      <c r="O1006" s="57"/>
      <c r="P1006" s="57"/>
      <c r="Q1006" s="53"/>
      <c r="R1006" s="53"/>
      <c r="S1006" s="53"/>
      <c r="T1006" s="59"/>
      <c r="U1006" s="59"/>
      <c r="V1006" s="53"/>
      <c r="W1006" s="53"/>
      <c r="X1006" s="53"/>
      <c r="Z1006" s="60"/>
      <c r="AA1006" s="58"/>
      <c r="AB1006" s="58"/>
      <c r="AC1006" s="61"/>
      <c r="AD1006" s="53"/>
      <c r="AE1006" s="56"/>
      <c r="AF1006" s="56"/>
      <c r="AG1006" s="62"/>
      <c r="AH1006" s="63"/>
      <c r="AI1006" s="61"/>
      <c r="AJ1006" s="58"/>
      <c r="AK1006" s="58"/>
      <c r="AL1006" s="58"/>
      <c r="AM1006" s="58"/>
      <c r="AN1006" s="58"/>
      <c r="AO1006" s="58"/>
    </row>
    <row r="1007" spans="1:41" x14ac:dyDescent="0.2">
      <c r="A1007" s="49"/>
      <c r="B1007" s="50"/>
      <c r="C1007" s="51"/>
      <c r="D1007" s="49"/>
      <c r="E1007" s="49"/>
      <c r="F1007" s="52"/>
      <c r="G1007" s="53"/>
      <c r="H1007" s="54"/>
      <c r="I1007" s="55"/>
      <c r="J1007" s="53"/>
      <c r="K1007" s="53"/>
      <c r="L1007" s="53"/>
      <c r="M1007" s="56"/>
      <c r="N1007" s="53"/>
      <c r="O1007" s="57"/>
      <c r="P1007" s="57"/>
      <c r="Q1007" s="53"/>
      <c r="R1007" s="53"/>
      <c r="S1007" s="53"/>
      <c r="T1007" s="59"/>
      <c r="U1007" s="59"/>
      <c r="V1007" s="53"/>
      <c r="W1007" s="53"/>
      <c r="X1007" s="53"/>
      <c r="Z1007" s="60"/>
      <c r="AA1007" s="58"/>
      <c r="AB1007" s="58"/>
      <c r="AC1007" s="61"/>
      <c r="AD1007" s="53"/>
      <c r="AE1007" s="56"/>
      <c r="AF1007" s="56"/>
      <c r="AG1007" s="62"/>
      <c r="AH1007" s="63"/>
      <c r="AI1007" s="61"/>
      <c r="AJ1007" s="58"/>
      <c r="AK1007" s="58"/>
      <c r="AL1007" s="58"/>
      <c r="AM1007" s="58"/>
      <c r="AN1007" s="58"/>
      <c r="AO1007" s="58"/>
    </row>
    <row r="1008" spans="1:41" x14ac:dyDescent="0.2">
      <c r="A1008" s="49"/>
      <c r="B1008" s="50"/>
      <c r="C1008" s="51"/>
      <c r="D1008" s="49"/>
      <c r="E1008" s="49"/>
      <c r="F1008" s="52"/>
      <c r="G1008" s="53"/>
      <c r="H1008" s="54"/>
      <c r="I1008" s="55"/>
      <c r="J1008" s="53"/>
      <c r="K1008" s="53"/>
      <c r="L1008" s="53"/>
      <c r="M1008" s="56"/>
      <c r="N1008" s="53"/>
      <c r="O1008" s="57"/>
      <c r="P1008" s="58"/>
      <c r="Q1008" s="53"/>
      <c r="R1008" s="53"/>
      <c r="S1008" s="53"/>
      <c r="T1008" s="59"/>
      <c r="U1008" s="59"/>
      <c r="V1008" s="53"/>
      <c r="W1008" s="53"/>
      <c r="X1008" s="53"/>
      <c r="Z1008" s="60"/>
      <c r="AA1008" s="58"/>
      <c r="AB1008" s="58"/>
      <c r="AC1008" s="61"/>
      <c r="AD1008" s="53"/>
      <c r="AE1008" s="56"/>
      <c r="AF1008" s="56"/>
      <c r="AG1008" s="62"/>
      <c r="AH1008" s="63"/>
      <c r="AI1008" s="61"/>
      <c r="AJ1008" s="58"/>
      <c r="AK1008" s="58"/>
      <c r="AL1008" s="58"/>
      <c r="AM1008" s="58"/>
      <c r="AN1008" s="58"/>
      <c r="AO1008" s="58"/>
    </row>
    <row r="1009" spans="1:41" x14ac:dyDescent="0.2">
      <c r="A1009" s="49"/>
      <c r="B1009" s="50"/>
      <c r="C1009" s="51"/>
      <c r="D1009" s="49"/>
      <c r="E1009" s="49"/>
      <c r="F1009" s="52"/>
      <c r="G1009" s="53"/>
      <c r="H1009" s="54"/>
      <c r="I1009" s="55"/>
      <c r="J1009" s="53"/>
      <c r="K1009" s="53"/>
      <c r="L1009" s="53"/>
      <c r="M1009" s="56"/>
      <c r="N1009" s="53"/>
      <c r="O1009" s="57"/>
      <c r="P1009" s="58"/>
      <c r="Q1009" s="53"/>
      <c r="R1009" s="53"/>
      <c r="S1009" s="53"/>
      <c r="T1009" s="59"/>
      <c r="U1009" s="59"/>
      <c r="V1009" s="53"/>
      <c r="W1009" s="53"/>
      <c r="X1009" s="53"/>
      <c r="Z1009" s="60"/>
      <c r="AA1009" s="58"/>
      <c r="AB1009" s="58"/>
      <c r="AC1009" s="61"/>
      <c r="AD1009" s="53"/>
      <c r="AE1009" s="56"/>
      <c r="AF1009" s="56"/>
      <c r="AG1009" s="62"/>
      <c r="AH1009" s="63"/>
      <c r="AI1009" s="61"/>
      <c r="AJ1009" s="58"/>
      <c r="AK1009" s="58"/>
      <c r="AL1009" s="58"/>
      <c r="AM1009" s="58"/>
      <c r="AN1009" s="58"/>
      <c r="AO1009" s="58"/>
    </row>
    <row r="1010" spans="1:41" x14ac:dyDescent="0.2">
      <c r="A1010" s="49"/>
      <c r="B1010" s="50"/>
      <c r="C1010" s="51"/>
      <c r="D1010" s="49"/>
      <c r="E1010" s="49"/>
      <c r="F1010" s="52"/>
      <c r="G1010" s="53"/>
      <c r="H1010" s="54"/>
      <c r="I1010" s="55"/>
      <c r="J1010" s="53"/>
      <c r="K1010" s="53"/>
      <c r="L1010" s="53"/>
      <c r="M1010" s="56"/>
      <c r="N1010" s="53"/>
      <c r="O1010" s="57"/>
      <c r="P1010" s="58"/>
      <c r="Q1010" s="53"/>
      <c r="R1010" s="53"/>
      <c r="S1010" s="53"/>
      <c r="T1010" s="59"/>
      <c r="U1010" s="59"/>
      <c r="V1010" s="53"/>
      <c r="W1010" s="53"/>
      <c r="X1010" s="53"/>
      <c r="Z1010" s="60"/>
      <c r="AA1010" s="58"/>
      <c r="AB1010" s="58"/>
      <c r="AC1010" s="61"/>
      <c r="AD1010" s="53"/>
      <c r="AE1010" s="56"/>
      <c r="AF1010" s="56"/>
      <c r="AG1010" s="62"/>
      <c r="AH1010" s="63"/>
      <c r="AI1010" s="61"/>
      <c r="AJ1010" s="58"/>
      <c r="AK1010" s="58"/>
      <c r="AL1010" s="58"/>
      <c r="AM1010" s="58"/>
      <c r="AN1010" s="58"/>
      <c r="AO1010" s="58"/>
    </row>
    <row r="1011" spans="1:41" x14ac:dyDescent="0.2">
      <c r="A1011" s="49"/>
      <c r="B1011" s="50"/>
      <c r="C1011" s="51"/>
      <c r="D1011" s="49"/>
      <c r="E1011" s="49"/>
      <c r="F1011" s="52"/>
      <c r="G1011" s="53"/>
      <c r="H1011" s="54"/>
      <c r="I1011" s="55"/>
      <c r="J1011" s="53"/>
      <c r="K1011" s="53"/>
      <c r="L1011" s="53"/>
      <c r="M1011" s="56"/>
      <c r="N1011" s="53"/>
      <c r="O1011" s="58"/>
      <c r="P1011" s="57"/>
      <c r="Q1011" s="53"/>
      <c r="R1011" s="53"/>
      <c r="S1011" s="53"/>
      <c r="T1011" s="59"/>
      <c r="U1011" s="59"/>
      <c r="V1011" s="53"/>
      <c r="W1011" s="53"/>
      <c r="X1011" s="53"/>
      <c r="Z1011" s="60"/>
      <c r="AA1011" s="58"/>
      <c r="AB1011" s="58"/>
      <c r="AC1011" s="61"/>
      <c r="AD1011" s="53"/>
      <c r="AE1011" s="56"/>
      <c r="AF1011" s="56"/>
      <c r="AG1011" s="62"/>
      <c r="AH1011" s="63"/>
      <c r="AI1011" s="61"/>
      <c r="AJ1011" s="58"/>
      <c r="AK1011" s="58"/>
      <c r="AL1011" s="58"/>
      <c r="AM1011" s="58"/>
      <c r="AN1011" s="58"/>
      <c r="AO1011" s="58"/>
    </row>
    <row r="1012" spans="1:41" x14ac:dyDescent="0.2">
      <c r="A1012" s="49"/>
      <c r="B1012" s="50"/>
      <c r="C1012" s="51"/>
      <c r="D1012" s="49"/>
      <c r="E1012" s="49"/>
      <c r="F1012" s="52"/>
      <c r="G1012" s="53"/>
      <c r="H1012" s="54"/>
      <c r="I1012" s="55"/>
      <c r="J1012" s="53"/>
      <c r="K1012" s="53"/>
      <c r="L1012" s="53"/>
      <c r="M1012" s="56"/>
      <c r="N1012" s="53"/>
      <c r="O1012" s="58"/>
      <c r="P1012" s="57"/>
      <c r="Q1012" s="53"/>
      <c r="R1012" s="53"/>
      <c r="S1012" s="53"/>
      <c r="T1012" s="59"/>
      <c r="U1012" s="59"/>
      <c r="V1012" s="53"/>
      <c r="W1012" s="53"/>
      <c r="X1012" s="53"/>
      <c r="Z1012" s="60"/>
      <c r="AA1012" s="58"/>
      <c r="AB1012" s="58"/>
      <c r="AC1012" s="61"/>
      <c r="AD1012" s="53"/>
      <c r="AE1012" s="56"/>
      <c r="AF1012" s="56"/>
      <c r="AG1012" s="62"/>
      <c r="AH1012" s="63"/>
      <c r="AI1012" s="61"/>
      <c r="AJ1012" s="58"/>
      <c r="AK1012" s="58"/>
      <c r="AL1012" s="58"/>
      <c r="AM1012" s="58"/>
      <c r="AN1012" s="58"/>
      <c r="AO1012" s="58"/>
    </row>
    <row r="1013" spans="1:41" x14ac:dyDescent="0.2">
      <c r="A1013" s="49"/>
      <c r="B1013" s="50"/>
      <c r="C1013" s="51"/>
      <c r="D1013" s="49"/>
      <c r="E1013" s="49"/>
      <c r="F1013" s="52"/>
      <c r="G1013" s="53"/>
      <c r="H1013" s="54"/>
      <c r="I1013" s="55"/>
      <c r="J1013" s="53"/>
      <c r="K1013" s="53"/>
      <c r="L1013" s="53"/>
      <c r="M1013" s="56"/>
      <c r="N1013" s="53"/>
      <c r="O1013" s="57"/>
      <c r="P1013" s="57"/>
      <c r="Q1013" s="53"/>
      <c r="R1013" s="53"/>
      <c r="S1013" s="53"/>
      <c r="T1013" s="59"/>
      <c r="U1013" s="59"/>
      <c r="V1013" s="53"/>
      <c r="W1013" s="53"/>
      <c r="X1013" s="53"/>
      <c r="Z1013" s="60"/>
      <c r="AA1013" s="58"/>
      <c r="AB1013" s="58"/>
      <c r="AC1013" s="61"/>
      <c r="AD1013" s="53"/>
      <c r="AE1013" s="56"/>
      <c r="AF1013" s="56"/>
      <c r="AG1013" s="62"/>
      <c r="AH1013" s="63"/>
      <c r="AI1013" s="61"/>
      <c r="AJ1013" s="58"/>
      <c r="AK1013" s="58"/>
      <c r="AL1013" s="58"/>
      <c r="AM1013" s="58"/>
      <c r="AN1013" s="58"/>
      <c r="AO1013" s="58"/>
    </row>
    <row r="1014" spans="1:41" x14ac:dyDescent="0.2">
      <c r="A1014" s="61"/>
      <c r="B1014" s="67"/>
      <c r="C1014" s="61"/>
      <c r="D1014" s="53"/>
      <c r="E1014" s="53"/>
      <c r="F1014" s="68"/>
      <c r="G1014" s="61"/>
      <c r="H1014" s="61"/>
      <c r="I1014" s="61"/>
      <c r="J1014" s="61"/>
      <c r="K1014" s="53"/>
      <c r="L1014" s="53"/>
      <c r="M1014" s="56"/>
      <c r="N1014" s="58"/>
      <c r="O1014" s="58"/>
      <c r="P1014" s="58"/>
      <c r="Q1014" s="53"/>
      <c r="R1014" s="53"/>
      <c r="S1014" s="69"/>
      <c r="T1014" s="69"/>
      <c r="U1014" s="49"/>
      <c r="V1014" s="53"/>
      <c r="W1014" s="53"/>
      <c r="X1014" s="53"/>
      <c r="Z1014" s="69"/>
      <c r="AA1014" s="58"/>
      <c r="AB1014" s="58"/>
      <c r="AC1014" s="63"/>
      <c r="AD1014" s="70"/>
      <c r="AE1014" s="56"/>
      <c r="AF1014" s="71"/>
      <c r="AG1014" s="71"/>
      <c r="AH1014" s="63"/>
      <c r="AI1014" s="61"/>
      <c r="AJ1014" s="58"/>
      <c r="AK1014" s="58"/>
      <c r="AL1014" s="58"/>
      <c r="AM1014" s="58"/>
      <c r="AN1014" s="58"/>
      <c r="AO1014" s="58"/>
    </row>
    <row r="1015" spans="1:41" x14ac:dyDescent="0.2">
      <c r="A1015" s="49"/>
      <c r="B1015" s="50"/>
      <c r="C1015" s="51"/>
      <c r="D1015" s="49"/>
      <c r="E1015" s="49"/>
      <c r="F1015" s="52"/>
      <c r="G1015" s="53"/>
      <c r="H1015" s="54"/>
      <c r="I1015" s="55"/>
      <c r="J1015" s="53"/>
      <c r="K1015" s="53"/>
      <c r="L1015" s="53"/>
      <c r="M1015" s="56"/>
      <c r="N1015" s="53"/>
      <c r="O1015" s="57"/>
      <c r="P1015" s="58"/>
      <c r="Q1015" s="53"/>
      <c r="R1015" s="53"/>
      <c r="S1015" s="53"/>
      <c r="T1015" s="59"/>
      <c r="U1015" s="59"/>
      <c r="V1015" s="53"/>
      <c r="W1015" s="53"/>
      <c r="X1015" s="53"/>
      <c r="Z1015" s="60"/>
      <c r="AA1015" s="58"/>
      <c r="AB1015" s="58"/>
      <c r="AC1015" s="61"/>
      <c r="AD1015" s="53"/>
      <c r="AE1015" s="56"/>
      <c r="AF1015" s="56"/>
      <c r="AG1015" s="62"/>
      <c r="AH1015" s="63"/>
      <c r="AI1015" s="61"/>
      <c r="AJ1015" s="58"/>
      <c r="AK1015" s="58"/>
      <c r="AL1015" s="58"/>
      <c r="AM1015" s="58"/>
      <c r="AN1015" s="58"/>
      <c r="AO1015" s="58"/>
    </row>
    <row r="1016" spans="1:41" x14ac:dyDescent="0.2">
      <c r="A1016" s="49"/>
      <c r="B1016" s="50"/>
      <c r="C1016" s="51"/>
      <c r="D1016" s="49"/>
      <c r="E1016" s="49"/>
      <c r="F1016" s="52"/>
      <c r="G1016" s="53"/>
      <c r="H1016" s="54"/>
      <c r="I1016" s="55"/>
      <c r="J1016" s="53"/>
      <c r="K1016" s="53"/>
      <c r="L1016" s="53"/>
      <c r="M1016" s="56"/>
      <c r="N1016" s="53"/>
      <c r="O1016" s="57"/>
      <c r="P1016" s="58"/>
      <c r="Q1016" s="53"/>
      <c r="R1016" s="53"/>
      <c r="S1016" s="53"/>
      <c r="T1016" s="59"/>
      <c r="U1016" s="59"/>
      <c r="V1016" s="53"/>
      <c r="W1016" s="53"/>
      <c r="X1016" s="53"/>
      <c r="Z1016" s="60"/>
      <c r="AA1016" s="58"/>
      <c r="AB1016" s="58"/>
      <c r="AC1016" s="61"/>
      <c r="AD1016" s="53"/>
      <c r="AE1016" s="56"/>
      <c r="AF1016" s="56"/>
      <c r="AG1016" s="62"/>
      <c r="AH1016" s="63"/>
      <c r="AI1016" s="61"/>
      <c r="AJ1016" s="58"/>
      <c r="AK1016" s="58"/>
      <c r="AL1016" s="58"/>
      <c r="AM1016" s="58"/>
      <c r="AN1016" s="58"/>
      <c r="AO1016" s="58"/>
    </row>
    <row r="1017" spans="1:41" x14ac:dyDescent="0.2">
      <c r="A1017" s="49"/>
      <c r="B1017" s="50"/>
      <c r="C1017" s="51"/>
      <c r="D1017" s="49"/>
      <c r="E1017" s="49"/>
      <c r="F1017" s="52"/>
      <c r="G1017" s="53"/>
      <c r="H1017" s="54"/>
      <c r="I1017" s="55"/>
      <c r="J1017" s="53"/>
      <c r="K1017" s="53"/>
      <c r="L1017" s="53"/>
      <c r="M1017" s="56"/>
      <c r="N1017" s="53"/>
      <c r="O1017" s="57"/>
      <c r="P1017" s="58"/>
      <c r="Q1017" s="53"/>
      <c r="R1017" s="53"/>
      <c r="S1017" s="53"/>
      <c r="T1017" s="59"/>
      <c r="U1017" s="59"/>
      <c r="V1017" s="53"/>
      <c r="W1017" s="53"/>
      <c r="X1017" s="53"/>
      <c r="Z1017" s="60"/>
      <c r="AA1017" s="58"/>
      <c r="AB1017" s="58"/>
      <c r="AC1017" s="61"/>
      <c r="AD1017" s="53"/>
      <c r="AE1017" s="56"/>
      <c r="AF1017" s="56"/>
      <c r="AG1017" s="62"/>
      <c r="AH1017" s="63"/>
      <c r="AI1017" s="61"/>
      <c r="AJ1017" s="58"/>
      <c r="AK1017" s="58"/>
      <c r="AL1017" s="58"/>
      <c r="AM1017" s="58"/>
      <c r="AN1017" s="58"/>
      <c r="AO1017" s="58"/>
    </row>
    <row r="1018" spans="1:41" x14ac:dyDescent="0.2">
      <c r="A1018" s="49"/>
      <c r="B1018" s="50"/>
      <c r="C1018" s="51"/>
      <c r="D1018" s="49"/>
      <c r="E1018" s="49"/>
      <c r="F1018" s="52"/>
      <c r="G1018" s="53"/>
      <c r="H1018" s="54"/>
      <c r="I1018" s="55"/>
      <c r="J1018" s="53"/>
      <c r="K1018" s="53"/>
      <c r="L1018" s="53"/>
      <c r="M1018" s="56"/>
      <c r="N1018" s="53"/>
      <c r="O1018" s="57"/>
      <c r="P1018" s="58"/>
      <c r="Q1018" s="53"/>
      <c r="R1018" s="53"/>
      <c r="S1018" s="53"/>
      <c r="T1018" s="59"/>
      <c r="U1018" s="59"/>
      <c r="V1018" s="53"/>
      <c r="W1018" s="53"/>
      <c r="X1018" s="53"/>
      <c r="Z1018" s="60"/>
      <c r="AA1018" s="58"/>
      <c r="AB1018" s="58"/>
      <c r="AC1018" s="61"/>
      <c r="AD1018" s="53"/>
      <c r="AE1018" s="56"/>
      <c r="AF1018" s="56"/>
      <c r="AG1018" s="62"/>
      <c r="AH1018" s="63"/>
      <c r="AI1018" s="61"/>
      <c r="AJ1018" s="58"/>
      <c r="AK1018" s="58"/>
      <c r="AL1018" s="58"/>
      <c r="AM1018" s="58"/>
      <c r="AN1018" s="58"/>
      <c r="AO1018" s="58"/>
    </row>
    <row r="1019" spans="1:41" x14ac:dyDescent="0.2">
      <c r="A1019" s="49"/>
      <c r="B1019" s="50"/>
      <c r="C1019" s="51"/>
      <c r="D1019" s="49"/>
      <c r="E1019" s="49"/>
      <c r="F1019" s="52"/>
      <c r="G1019" s="53"/>
      <c r="H1019" s="54"/>
      <c r="I1019" s="55"/>
      <c r="J1019" s="53"/>
      <c r="K1019" s="53"/>
      <c r="L1019" s="53"/>
      <c r="M1019" s="56"/>
      <c r="N1019" s="53"/>
      <c r="O1019" s="58"/>
      <c r="P1019" s="57"/>
      <c r="Q1019" s="53"/>
      <c r="R1019" s="53"/>
      <c r="S1019" s="53"/>
      <c r="T1019" s="59"/>
      <c r="U1019" s="59"/>
      <c r="V1019" s="53"/>
      <c r="W1019" s="53"/>
      <c r="X1019" s="53"/>
      <c r="Z1019" s="60"/>
      <c r="AA1019" s="58"/>
      <c r="AB1019" s="58"/>
      <c r="AC1019" s="61"/>
      <c r="AD1019" s="53"/>
      <c r="AE1019" s="56"/>
      <c r="AF1019" s="56"/>
      <c r="AG1019" s="62"/>
      <c r="AH1019" s="63"/>
      <c r="AI1019" s="61"/>
      <c r="AJ1019" s="58"/>
      <c r="AK1019" s="58"/>
      <c r="AL1019" s="58"/>
      <c r="AM1019" s="58"/>
      <c r="AN1019" s="58"/>
      <c r="AO1019" s="58"/>
    </row>
    <row r="1020" spans="1:41" x14ac:dyDescent="0.2">
      <c r="A1020" s="49"/>
      <c r="B1020" s="50"/>
      <c r="C1020" s="51"/>
      <c r="D1020" s="49"/>
      <c r="E1020" s="49"/>
      <c r="F1020" s="52"/>
      <c r="G1020" s="53"/>
      <c r="H1020" s="54"/>
      <c r="I1020" s="55"/>
      <c r="J1020" s="53"/>
      <c r="K1020" s="53"/>
      <c r="L1020" s="53"/>
      <c r="M1020" s="56"/>
      <c r="N1020" s="53"/>
      <c r="O1020" s="57"/>
      <c r="P1020" s="57"/>
      <c r="Q1020" s="53"/>
      <c r="R1020" s="53"/>
      <c r="S1020" s="53"/>
      <c r="T1020" s="59"/>
      <c r="U1020" s="59"/>
      <c r="V1020" s="53"/>
      <c r="W1020" s="53"/>
      <c r="X1020" s="53"/>
      <c r="Z1020" s="60"/>
      <c r="AA1020" s="58"/>
      <c r="AB1020" s="58"/>
      <c r="AC1020" s="61"/>
      <c r="AD1020" s="53"/>
      <c r="AE1020" s="56"/>
      <c r="AF1020" s="56"/>
      <c r="AG1020" s="62"/>
      <c r="AH1020" s="63"/>
      <c r="AI1020" s="61"/>
      <c r="AJ1020" s="58"/>
      <c r="AK1020" s="58"/>
      <c r="AL1020" s="58"/>
      <c r="AM1020" s="58"/>
      <c r="AN1020" s="58"/>
      <c r="AO1020" s="58"/>
    </row>
    <row r="1021" spans="1:41" x14ac:dyDescent="0.2">
      <c r="A1021" s="49"/>
      <c r="B1021" s="50"/>
      <c r="C1021" s="51"/>
      <c r="D1021" s="49"/>
      <c r="E1021" s="49"/>
      <c r="F1021" s="52"/>
      <c r="G1021" s="53"/>
      <c r="H1021" s="54"/>
      <c r="I1021" s="55"/>
      <c r="J1021" s="53"/>
      <c r="K1021" s="53"/>
      <c r="L1021" s="53"/>
      <c r="M1021" s="56"/>
      <c r="N1021" s="53"/>
      <c r="O1021" s="58"/>
      <c r="P1021" s="57"/>
      <c r="Q1021" s="53"/>
      <c r="R1021" s="53"/>
      <c r="S1021" s="53"/>
      <c r="T1021" s="59"/>
      <c r="U1021" s="59"/>
      <c r="V1021" s="53"/>
      <c r="W1021" s="53"/>
      <c r="X1021" s="53"/>
      <c r="Z1021" s="60"/>
      <c r="AA1021" s="58"/>
      <c r="AB1021" s="58"/>
      <c r="AC1021" s="61"/>
      <c r="AD1021" s="53"/>
      <c r="AE1021" s="56"/>
      <c r="AF1021" s="56"/>
      <c r="AG1021" s="62"/>
      <c r="AH1021" s="63"/>
      <c r="AI1021" s="61"/>
      <c r="AJ1021" s="58"/>
      <c r="AK1021" s="58"/>
      <c r="AL1021" s="58"/>
      <c r="AM1021" s="58"/>
      <c r="AN1021" s="58"/>
      <c r="AO1021" s="58"/>
    </row>
    <row r="1022" spans="1:41" x14ac:dyDescent="0.2">
      <c r="A1022" s="49"/>
      <c r="B1022" s="50"/>
      <c r="C1022" s="51"/>
      <c r="D1022" s="49"/>
      <c r="E1022" s="49"/>
      <c r="F1022" s="52"/>
      <c r="G1022" s="53"/>
      <c r="H1022" s="54"/>
      <c r="I1022" s="55"/>
      <c r="J1022" s="53"/>
      <c r="K1022" s="53"/>
      <c r="L1022" s="53"/>
      <c r="M1022" s="56"/>
      <c r="N1022" s="53"/>
      <c r="O1022" s="57"/>
      <c r="P1022" s="57"/>
      <c r="Q1022" s="53"/>
      <c r="R1022" s="53"/>
      <c r="S1022" s="53"/>
      <c r="T1022" s="59"/>
      <c r="U1022" s="59"/>
      <c r="V1022" s="53"/>
      <c r="W1022" s="53"/>
      <c r="X1022" s="53"/>
      <c r="Z1022" s="60"/>
      <c r="AA1022" s="58"/>
      <c r="AB1022" s="58"/>
      <c r="AC1022" s="61"/>
      <c r="AD1022" s="53"/>
      <c r="AE1022" s="56"/>
      <c r="AF1022" s="56"/>
      <c r="AG1022" s="62"/>
      <c r="AH1022" s="63"/>
      <c r="AI1022" s="61"/>
      <c r="AJ1022" s="58"/>
      <c r="AK1022" s="58"/>
      <c r="AL1022" s="58"/>
      <c r="AM1022" s="58"/>
      <c r="AN1022" s="58"/>
      <c r="AO1022" s="58"/>
    </row>
    <row r="1023" spans="1:41" x14ac:dyDescent="0.2">
      <c r="A1023" s="49"/>
      <c r="B1023" s="50"/>
      <c r="C1023" s="51"/>
      <c r="D1023" s="49"/>
      <c r="E1023" s="49"/>
      <c r="F1023" s="52"/>
      <c r="G1023" s="53"/>
      <c r="H1023" s="54"/>
      <c r="I1023" s="55"/>
      <c r="J1023" s="53"/>
      <c r="K1023" s="53"/>
      <c r="L1023" s="53"/>
      <c r="M1023" s="56"/>
      <c r="N1023" s="53"/>
      <c r="O1023" s="57"/>
      <c r="P1023" s="58"/>
      <c r="Q1023" s="53"/>
      <c r="R1023" s="53"/>
      <c r="S1023" s="53"/>
      <c r="T1023" s="59"/>
      <c r="U1023" s="59"/>
      <c r="V1023" s="53"/>
      <c r="W1023" s="53"/>
      <c r="X1023" s="53"/>
      <c r="Z1023" s="60"/>
      <c r="AA1023" s="58"/>
      <c r="AB1023" s="58"/>
      <c r="AC1023" s="61"/>
      <c r="AD1023" s="53"/>
      <c r="AE1023" s="56"/>
      <c r="AF1023" s="56"/>
      <c r="AG1023" s="62"/>
      <c r="AH1023" s="63"/>
      <c r="AI1023" s="61"/>
      <c r="AJ1023" s="58"/>
      <c r="AK1023" s="58"/>
      <c r="AL1023" s="58"/>
      <c r="AM1023" s="58"/>
      <c r="AN1023" s="58"/>
      <c r="AO1023" s="58"/>
    </row>
    <row r="1024" spans="1:41" x14ac:dyDescent="0.2">
      <c r="A1024" s="49"/>
      <c r="B1024" s="50"/>
      <c r="C1024" s="51"/>
      <c r="D1024" s="49"/>
      <c r="E1024" s="49"/>
      <c r="F1024" s="52"/>
      <c r="G1024" s="53"/>
      <c r="H1024" s="54"/>
      <c r="I1024" s="55"/>
      <c r="J1024" s="53"/>
      <c r="K1024" s="53"/>
      <c r="L1024" s="53"/>
      <c r="M1024" s="56"/>
      <c r="N1024" s="53"/>
      <c r="O1024" s="58"/>
      <c r="P1024" s="58"/>
      <c r="Q1024" s="53"/>
      <c r="R1024" s="53"/>
      <c r="S1024" s="53"/>
      <c r="T1024" s="59"/>
      <c r="U1024" s="59"/>
      <c r="V1024" s="53"/>
      <c r="W1024" s="53"/>
      <c r="X1024" s="53"/>
      <c r="Z1024" s="60"/>
      <c r="AA1024" s="58"/>
      <c r="AB1024" s="58"/>
      <c r="AC1024" s="61"/>
      <c r="AD1024" s="53"/>
      <c r="AE1024" s="56"/>
      <c r="AF1024" s="56"/>
      <c r="AG1024" s="62"/>
      <c r="AH1024" s="63"/>
      <c r="AI1024" s="61"/>
      <c r="AJ1024" s="58"/>
      <c r="AK1024" s="58"/>
      <c r="AL1024" s="58"/>
      <c r="AM1024" s="58"/>
      <c r="AN1024" s="58"/>
      <c r="AO1024" s="58"/>
    </row>
    <row r="1025" spans="1:41" x14ac:dyDescent="0.2">
      <c r="A1025" s="49"/>
      <c r="B1025" s="50"/>
      <c r="C1025" s="51"/>
      <c r="D1025" s="49"/>
      <c r="E1025" s="49"/>
      <c r="F1025" s="52"/>
      <c r="G1025" s="53"/>
      <c r="H1025" s="54"/>
      <c r="I1025" s="55"/>
      <c r="J1025" s="53"/>
      <c r="K1025" s="53"/>
      <c r="L1025" s="53"/>
      <c r="M1025" s="56"/>
      <c r="N1025" s="53"/>
      <c r="O1025" s="57"/>
      <c r="P1025" s="57"/>
      <c r="Q1025" s="53"/>
      <c r="R1025" s="53"/>
      <c r="S1025" s="53"/>
      <c r="T1025" s="59"/>
      <c r="U1025" s="59"/>
      <c r="V1025" s="53"/>
      <c r="W1025" s="53"/>
      <c r="X1025" s="53"/>
      <c r="Z1025" s="60"/>
      <c r="AA1025" s="58"/>
      <c r="AB1025" s="58"/>
      <c r="AC1025" s="61"/>
      <c r="AD1025" s="53"/>
      <c r="AE1025" s="56"/>
      <c r="AF1025" s="56"/>
      <c r="AG1025" s="62"/>
      <c r="AH1025" s="63"/>
      <c r="AI1025" s="61"/>
      <c r="AJ1025" s="58"/>
      <c r="AK1025" s="58"/>
      <c r="AL1025" s="58"/>
      <c r="AM1025" s="58"/>
      <c r="AN1025" s="58"/>
      <c r="AO1025" s="58"/>
    </row>
    <row r="1026" spans="1:41" x14ac:dyDescent="0.2">
      <c r="A1026" s="49"/>
      <c r="B1026" s="50"/>
      <c r="C1026" s="51"/>
      <c r="D1026" s="49"/>
      <c r="E1026" s="49"/>
      <c r="F1026" s="52"/>
      <c r="G1026" s="53"/>
      <c r="H1026" s="54"/>
      <c r="I1026" s="55"/>
      <c r="J1026" s="53"/>
      <c r="K1026" s="53"/>
      <c r="L1026" s="53"/>
      <c r="M1026" s="56"/>
      <c r="N1026" s="53"/>
      <c r="O1026" s="57"/>
      <c r="P1026" s="57"/>
      <c r="Q1026" s="53"/>
      <c r="R1026" s="53"/>
      <c r="S1026" s="53"/>
      <c r="T1026" s="59"/>
      <c r="U1026" s="59"/>
      <c r="V1026" s="53"/>
      <c r="W1026" s="53"/>
      <c r="X1026" s="53"/>
      <c r="Z1026" s="60"/>
      <c r="AA1026" s="58"/>
      <c r="AB1026" s="58"/>
      <c r="AC1026" s="61"/>
      <c r="AD1026" s="53"/>
      <c r="AE1026" s="56"/>
      <c r="AF1026" s="56"/>
      <c r="AG1026" s="62"/>
      <c r="AH1026" s="63"/>
      <c r="AI1026" s="61"/>
      <c r="AJ1026" s="58"/>
      <c r="AK1026" s="58"/>
      <c r="AL1026" s="58"/>
      <c r="AM1026" s="58"/>
      <c r="AN1026" s="58"/>
      <c r="AO1026" s="58"/>
    </row>
    <row r="1027" spans="1:41" x14ac:dyDescent="0.2">
      <c r="A1027" s="49"/>
      <c r="B1027" s="50"/>
      <c r="C1027" s="51"/>
      <c r="D1027" s="49"/>
      <c r="E1027" s="49"/>
      <c r="F1027" s="52"/>
      <c r="G1027" s="53"/>
      <c r="H1027" s="54"/>
      <c r="I1027" s="55"/>
      <c r="J1027" s="53"/>
      <c r="K1027" s="53"/>
      <c r="L1027" s="53"/>
      <c r="M1027" s="56"/>
      <c r="N1027" s="53"/>
      <c r="O1027" s="57"/>
      <c r="P1027" s="57"/>
      <c r="Q1027" s="53"/>
      <c r="R1027" s="53"/>
      <c r="S1027" s="53"/>
      <c r="T1027" s="59"/>
      <c r="U1027" s="59"/>
      <c r="V1027" s="53"/>
      <c r="W1027" s="53"/>
      <c r="X1027" s="53"/>
      <c r="Z1027" s="60"/>
      <c r="AA1027" s="58"/>
      <c r="AB1027" s="58"/>
      <c r="AC1027" s="61"/>
      <c r="AD1027" s="53"/>
      <c r="AE1027" s="56"/>
      <c r="AF1027" s="56"/>
      <c r="AG1027" s="62"/>
      <c r="AH1027" s="63"/>
      <c r="AI1027" s="61"/>
      <c r="AJ1027" s="58"/>
      <c r="AK1027" s="58"/>
      <c r="AL1027" s="58"/>
      <c r="AM1027" s="58"/>
      <c r="AN1027" s="58"/>
      <c r="AO1027" s="58"/>
    </row>
    <row r="1028" spans="1:41" x14ac:dyDescent="0.2">
      <c r="A1028" s="49"/>
      <c r="B1028" s="50"/>
      <c r="C1028" s="51"/>
      <c r="D1028" s="49"/>
      <c r="E1028" s="49"/>
      <c r="F1028" s="52"/>
      <c r="G1028" s="53"/>
      <c r="H1028" s="54"/>
      <c r="I1028" s="55"/>
      <c r="J1028" s="53"/>
      <c r="K1028" s="53"/>
      <c r="L1028" s="53"/>
      <c r="M1028" s="56"/>
      <c r="N1028" s="53"/>
      <c r="O1028" s="57"/>
      <c r="P1028" s="57"/>
      <c r="Q1028" s="53"/>
      <c r="R1028" s="53"/>
      <c r="S1028" s="53"/>
      <c r="T1028" s="59"/>
      <c r="U1028" s="59"/>
      <c r="V1028" s="53"/>
      <c r="W1028" s="53"/>
      <c r="X1028" s="53"/>
      <c r="Z1028" s="60"/>
      <c r="AA1028" s="58"/>
      <c r="AB1028" s="58"/>
      <c r="AC1028" s="61"/>
      <c r="AD1028" s="53"/>
      <c r="AE1028" s="56"/>
      <c r="AF1028" s="56"/>
      <c r="AG1028" s="62"/>
      <c r="AH1028" s="63"/>
      <c r="AI1028" s="61"/>
      <c r="AJ1028" s="58"/>
      <c r="AK1028" s="58"/>
      <c r="AL1028" s="58"/>
      <c r="AM1028" s="58"/>
      <c r="AN1028" s="58"/>
      <c r="AO1028" s="58"/>
    </row>
    <row r="1029" spans="1:41" x14ac:dyDescent="0.2">
      <c r="A1029" s="49"/>
      <c r="B1029" s="50"/>
      <c r="C1029" s="51"/>
      <c r="D1029" s="49"/>
      <c r="E1029" s="49"/>
      <c r="F1029" s="52"/>
      <c r="G1029" s="53"/>
      <c r="H1029" s="54"/>
      <c r="I1029" s="55"/>
      <c r="J1029" s="53"/>
      <c r="K1029" s="53"/>
      <c r="L1029" s="53"/>
      <c r="M1029" s="56"/>
      <c r="N1029" s="53"/>
      <c r="O1029" s="58"/>
      <c r="P1029" s="57"/>
      <c r="Q1029" s="53"/>
      <c r="R1029" s="53"/>
      <c r="S1029" s="53"/>
      <c r="T1029" s="59"/>
      <c r="U1029" s="59"/>
      <c r="V1029" s="53"/>
      <c r="W1029" s="53"/>
      <c r="X1029" s="53"/>
      <c r="Z1029" s="60"/>
      <c r="AA1029" s="58"/>
      <c r="AB1029" s="58"/>
      <c r="AC1029" s="61"/>
      <c r="AD1029" s="53"/>
      <c r="AE1029" s="56"/>
      <c r="AF1029" s="56"/>
      <c r="AG1029" s="62"/>
      <c r="AH1029" s="63"/>
      <c r="AI1029" s="61"/>
      <c r="AJ1029" s="58"/>
      <c r="AK1029" s="58"/>
      <c r="AL1029" s="58"/>
      <c r="AM1029" s="58"/>
      <c r="AN1029" s="58"/>
      <c r="AO1029" s="58"/>
    </row>
    <row r="1030" spans="1:41" x14ac:dyDescent="0.2">
      <c r="A1030" s="49"/>
      <c r="B1030" s="50"/>
      <c r="C1030" s="51"/>
      <c r="D1030" s="49"/>
      <c r="E1030" s="49"/>
      <c r="F1030" s="52"/>
      <c r="G1030" s="53"/>
      <c r="H1030" s="54"/>
      <c r="I1030" s="55"/>
      <c r="J1030" s="53"/>
      <c r="K1030" s="53"/>
      <c r="L1030" s="53"/>
      <c r="M1030" s="56"/>
      <c r="N1030" s="53"/>
      <c r="O1030" s="58"/>
      <c r="P1030" s="57"/>
      <c r="Q1030" s="53"/>
      <c r="R1030" s="53"/>
      <c r="S1030" s="53"/>
      <c r="T1030" s="59"/>
      <c r="U1030" s="59"/>
      <c r="V1030" s="53"/>
      <c r="W1030" s="53"/>
      <c r="X1030" s="53"/>
      <c r="Z1030" s="60"/>
      <c r="AA1030" s="58"/>
      <c r="AB1030" s="58"/>
      <c r="AC1030" s="61"/>
      <c r="AD1030" s="53"/>
      <c r="AE1030" s="56"/>
      <c r="AF1030" s="56"/>
      <c r="AG1030" s="62"/>
      <c r="AH1030" s="63"/>
      <c r="AI1030" s="61"/>
      <c r="AJ1030" s="58"/>
      <c r="AK1030" s="58"/>
      <c r="AL1030" s="58"/>
      <c r="AM1030" s="58"/>
      <c r="AN1030" s="58"/>
      <c r="AO1030" s="58"/>
    </row>
    <row r="1031" spans="1:41" x14ac:dyDescent="0.2">
      <c r="A1031" s="49"/>
      <c r="B1031" s="50"/>
      <c r="C1031" s="51"/>
      <c r="D1031" s="49"/>
      <c r="E1031" s="49"/>
      <c r="F1031" s="52"/>
      <c r="G1031" s="53"/>
      <c r="H1031" s="54"/>
      <c r="I1031" s="55"/>
      <c r="J1031" s="53"/>
      <c r="K1031" s="53"/>
      <c r="L1031" s="53"/>
      <c r="M1031" s="56"/>
      <c r="N1031" s="53"/>
      <c r="O1031" s="58"/>
      <c r="P1031" s="57"/>
      <c r="Q1031" s="53"/>
      <c r="R1031" s="53"/>
      <c r="S1031" s="53"/>
      <c r="T1031" s="59"/>
      <c r="U1031" s="59"/>
      <c r="V1031" s="53"/>
      <c r="W1031" s="53"/>
      <c r="X1031" s="53"/>
      <c r="Z1031" s="60"/>
      <c r="AA1031" s="58"/>
      <c r="AB1031" s="58"/>
      <c r="AC1031" s="61"/>
      <c r="AD1031" s="53"/>
      <c r="AE1031" s="56"/>
      <c r="AF1031" s="56"/>
      <c r="AG1031" s="62"/>
      <c r="AH1031" s="63"/>
      <c r="AI1031" s="61"/>
      <c r="AJ1031" s="58"/>
      <c r="AK1031" s="58"/>
      <c r="AL1031" s="58"/>
      <c r="AM1031" s="58"/>
      <c r="AN1031" s="58"/>
      <c r="AO1031" s="58"/>
    </row>
    <row r="1032" spans="1:41" x14ac:dyDescent="0.2">
      <c r="A1032" s="49"/>
      <c r="B1032" s="50"/>
      <c r="C1032" s="51"/>
      <c r="D1032" s="49"/>
      <c r="E1032" s="49"/>
      <c r="F1032" s="52"/>
      <c r="G1032" s="53"/>
      <c r="H1032" s="54"/>
      <c r="I1032" s="55"/>
      <c r="J1032" s="53"/>
      <c r="K1032" s="53"/>
      <c r="L1032" s="53"/>
      <c r="M1032" s="56"/>
      <c r="N1032" s="53"/>
      <c r="O1032" s="57"/>
      <c r="P1032" s="57"/>
      <c r="Q1032" s="53"/>
      <c r="R1032" s="53"/>
      <c r="S1032" s="53"/>
      <c r="T1032" s="59"/>
      <c r="U1032" s="59"/>
      <c r="V1032" s="53"/>
      <c r="W1032" s="53"/>
      <c r="X1032" s="53"/>
      <c r="Z1032" s="60"/>
      <c r="AA1032" s="58"/>
      <c r="AB1032" s="58"/>
      <c r="AC1032" s="61"/>
      <c r="AD1032" s="53"/>
      <c r="AE1032" s="56"/>
      <c r="AF1032" s="56"/>
      <c r="AG1032" s="62"/>
      <c r="AH1032" s="63"/>
      <c r="AI1032" s="61"/>
      <c r="AJ1032" s="58"/>
      <c r="AK1032" s="58"/>
      <c r="AL1032" s="58"/>
      <c r="AM1032" s="58"/>
      <c r="AN1032" s="58"/>
      <c r="AO1032" s="58"/>
    </row>
    <row r="1033" spans="1:41" x14ac:dyDescent="0.2">
      <c r="A1033" s="49"/>
      <c r="B1033" s="50"/>
      <c r="C1033" s="51"/>
      <c r="D1033" s="49"/>
      <c r="E1033" s="49"/>
      <c r="F1033" s="52"/>
      <c r="G1033" s="53"/>
      <c r="H1033" s="54"/>
      <c r="I1033" s="55"/>
      <c r="J1033" s="53"/>
      <c r="K1033" s="53"/>
      <c r="L1033" s="53"/>
      <c r="M1033" s="56"/>
      <c r="N1033" s="53"/>
      <c r="O1033" s="57"/>
      <c r="P1033" s="58"/>
      <c r="Q1033" s="53"/>
      <c r="R1033" s="53"/>
      <c r="S1033" s="53"/>
      <c r="T1033" s="59"/>
      <c r="U1033" s="59"/>
      <c r="V1033" s="53"/>
      <c r="W1033" s="53"/>
      <c r="X1033" s="53"/>
      <c r="Z1033" s="60"/>
      <c r="AA1033" s="58"/>
      <c r="AB1033" s="58"/>
      <c r="AC1033" s="61"/>
      <c r="AD1033" s="53"/>
      <c r="AE1033" s="56"/>
      <c r="AF1033" s="56"/>
      <c r="AG1033" s="62"/>
      <c r="AH1033" s="63"/>
      <c r="AI1033" s="61"/>
      <c r="AJ1033" s="58"/>
      <c r="AK1033" s="58"/>
      <c r="AL1033" s="58"/>
      <c r="AM1033" s="58"/>
      <c r="AN1033" s="58"/>
      <c r="AO1033" s="58"/>
    </row>
    <row r="1034" spans="1:41" x14ac:dyDescent="0.2">
      <c r="A1034" s="49"/>
      <c r="B1034" s="50"/>
      <c r="C1034" s="51"/>
      <c r="D1034" s="49"/>
      <c r="E1034" s="49"/>
      <c r="F1034" s="52"/>
      <c r="G1034" s="53"/>
      <c r="H1034" s="54"/>
      <c r="I1034" s="55"/>
      <c r="J1034" s="53"/>
      <c r="K1034" s="53"/>
      <c r="L1034" s="53"/>
      <c r="M1034" s="56"/>
      <c r="N1034" s="53"/>
      <c r="O1034" s="57"/>
      <c r="P1034" s="58"/>
      <c r="Q1034" s="53"/>
      <c r="R1034" s="53"/>
      <c r="S1034" s="53"/>
      <c r="T1034" s="59"/>
      <c r="U1034" s="59"/>
      <c r="V1034" s="53"/>
      <c r="W1034" s="53"/>
      <c r="X1034" s="53"/>
      <c r="Z1034" s="60"/>
      <c r="AA1034" s="58"/>
      <c r="AB1034" s="58"/>
      <c r="AC1034" s="61"/>
      <c r="AD1034" s="53"/>
      <c r="AE1034" s="56"/>
      <c r="AF1034" s="56"/>
      <c r="AG1034" s="62"/>
      <c r="AH1034" s="63"/>
      <c r="AI1034" s="61"/>
      <c r="AJ1034" s="58"/>
      <c r="AK1034" s="58"/>
      <c r="AL1034" s="58"/>
      <c r="AM1034" s="58"/>
      <c r="AN1034" s="58"/>
      <c r="AO1034" s="58"/>
    </row>
    <row r="1035" spans="1:41" x14ac:dyDescent="0.2">
      <c r="A1035" s="49"/>
      <c r="B1035" s="50"/>
      <c r="C1035" s="51"/>
      <c r="D1035" s="49"/>
      <c r="E1035" s="49"/>
      <c r="F1035" s="52"/>
      <c r="G1035" s="53"/>
      <c r="H1035" s="54"/>
      <c r="I1035" s="55"/>
      <c r="J1035" s="53"/>
      <c r="K1035" s="53"/>
      <c r="L1035" s="53"/>
      <c r="M1035" s="56"/>
      <c r="N1035" s="53"/>
      <c r="O1035" s="57"/>
      <c r="P1035" s="58"/>
      <c r="Q1035" s="53"/>
      <c r="R1035" s="53"/>
      <c r="S1035" s="53"/>
      <c r="T1035" s="59"/>
      <c r="U1035" s="59"/>
      <c r="V1035" s="53"/>
      <c r="W1035" s="53"/>
      <c r="X1035" s="53"/>
      <c r="Z1035" s="60"/>
      <c r="AA1035" s="58"/>
      <c r="AB1035" s="58"/>
      <c r="AC1035" s="61"/>
      <c r="AD1035" s="53"/>
      <c r="AE1035" s="56"/>
      <c r="AF1035" s="56"/>
      <c r="AG1035" s="62"/>
      <c r="AH1035" s="63"/>
      <c r="AI1035" s="61"/>
      <c r="AJ1035" s="58"/>
      <c r="AK1035" s="58"/>
      <c r="AL1035" s="58"/>
      <c r="AM1035" s="58"/>
      <c r="AN1035" s="58"/>
      <c r="AO1035" s="58"/>
    </row>
    <row r="1036" spans="1:41" x14ac:dyDescent="0.2">
      <c r="A1036" s="49"/>
      <c r="B1036" s="50"/>
      <c r="C1036" s="51"/>
      <c r="D1036" s="49"/>
      <c r="E1036" s="49"/>
      <c r="F1036" s="52"/>
      <c r="G1036" s="53"/>
      <c r="H1036" s="54"/>
      <c r="I1036" s="55"/>
      <c r="J1036" s="53"/>
      <c r="K1036" s="53"/>
      <c r="L1036" s="53"/>
      <c r="M1036" s="56"/>
      <c r="N1036" s="53"/>
      <c r="O1036" s="57"/>
      <c r="P1036" s="58"/>
      <c r="Q1036" s="53"/>
      <c r="R1036" s="53"/>
      <c r="S1036" s="53"/>
      <c r="T1036" s="59"/>
      <c r="U1036" s="59"/>
      <c r="V1036" s="53"/>
      <c r="W1036" s="53"/>
      <c r="X1036" s="53"/>
      <c r="Z1036" s="60"/>
      <c r="AA1036" s="58"/>
      <c r="AB1036" s="58"/>
      <c r="AC1036" s="61"/>
      <c r="AD1036" s="53"/>
      <c r="AE1036" s="56"/>
      <c r="AF1036" s="56"/>
      <c r="AG1036" s="62"/>
      <c r="AH1036" s="63"/>
      <c r="AI1036" s="61"/>
      <c r="AJ1036" s="58"/>
      <c r="AK1036" s="58"/>
      <c r="AL1036" s="58"/>
      <c r="AM1036" s="58"/>
      <c r="AN1036" s="58"/>
      <c r="AO1036" s="58"/>
    </row>
    <row r="1037" spans="1:41" x14ac:dyDescent="0.2">
      <c r="A1037" s="49"/>
      <c r="B1037" s="50"/>
      <c r="C1037" s="51"/>
      <c r="D1037" s="49"/>
      <c r="E1037" s="49"/>
      <c r="F1037" s="52"/>
      <c r="G1037" s="53"/>
      <c r="H1037" s="54"/>
      <c r="I1037" s="55"/>
      <c r="J1037" s="53"/>
      <c r="K1037" s="53"/>
      <c r="L1037" s="53"/>
      <c r="M1037" s="56"/>
      <c r="N1037" s="53"/>
      <c r="O1037" s="57"/>
      <c r="P1037" s="58"/>
      <c r="Q1037" s="53"/>
      <c r="R1037" s="53"/>
      <c r="S1037" s="53"/>
      <c r="T1037" s="59"/>
      <c r="U1037" s="59"/>
      <c r="V1037" s="53"/>
      <c r="W1037" s="53"/>
      <c r="X1037" s="53"/>
      <c r="Z1037" s="60"/>
      <c r="AA1037" s="58"/>
      <c r="AB1037" s="58"/>
      <c r="AC1037" s="61"/>
      <c r="AD1037" s="53"/>
      <c r="AE1037" s="56"/>
      <c r="AF1037" s="56"/>
      <c r="AG1037" s="62"/>
      <c r="AH1037" s="63"/>
      <c r="AI1037" s="61"/>
      <c r="AJ1037" s="58"/>
      <c r="AK1037" s="58"/>
      <c r="AL1037" s="58"/>
      <c r="AM1037" s="58"/>
      <c r="AN1037" s="58"/>
      <c r="AO1037" s="58"/>
    </row>
    <row r="1038" spans="1:41" x14ac:dyDescent="0.2">
      <c r="A1038" s="49"/>
      <c r="B1038" s="50"/>
      <c r="C1038" s="51"/>
      <c r="D1038" s="49"/>
      <c r="E1038" s="49"/>
      <c r="F1038" s="52"/>
      <c r="G1038" s="53"/>
      <c r="H1038" s="54"/>
      <c r="I1038" s="55"/>
      <c r="J1038" s="53"/>
      <c r="K1038" s="53"/>
      <c r="L1038" s="53"/>
      <c r="M1038" s="56"/>
      <c r="N1038" s="53"/>
      <c r="O1038" s="58"/>
      <c r="P1038" s="57"/>
      <c r="Q1038" s="53"/>
      <c r="R1038" s="53"/>
      <c r="S1038" s="53"/>
      <c r="T1038" s="59"/>
      <c r="U1038" s="59"/>
      <c r="V1038" s="53"/>
      <c r="W1038" s="53"/>
      <c r="X1038" s="53"/>
      <c r="Z1038" s="60"/>
      <c r="AA1038" s="58"/>
      <c r="AB1038" s="58"/>
      <c r="AC1038" s="61"/>
      <c r="AD1038" s="53"/>
      <c r="AE1038" s="56"/>
      <c r="AF1038" s="56"/>
      <c r="AG1038" s="62"/>
      <c r="AH1038" s="63"/>
      <c r="AI1038" s="61"/>
      <c r="AJ1038" s="58"/>
      <c r="AK1038" s="58"/>
      <c r="AL1038" s="58"/>
      <c r="AM1038" s="58"/>
      <c r="AN1038" s="58"/>
      <c r="AO1038" s="58"/>
    </row>
    <row r="1039" spans="1:41" x14ac:dyDescent="0.2">
      <c r="A1039" s="49"/>
      <c r="B1039" s="50"/>
      <c r="C1039" s="51"/>
      <c r="D1039" s="49"/>
      <c r="E1039" s="49"/>
      <c r="F1039" s="52"/>
      <c r="G1039" s="53"/>
      <c r="H1039" s="54"/>
      <c r="I1039" s="55"/>
      <c r="J1039" s="53"/>
      <c r="K1039" s="53"/>
      <c r="L1039" s="53"/>
      <c r="M1039" s="56"/>
      <c r="N1039" s="53"/>
      <c r="O1039" s="57"/>
      <c r="P1039" s="57"/>
      <c r="Q1039" s="53"/>
      <c r="R1039" s="53"/>
      <c r="S1039" s="53"/>
      <c r="T1039" s="59"/>
      <c r="U1039" s="59"/>
      <c r="V1039" s="53"/>
      <c r="W1039" s="53"/>
      <c r="X1039" s="53"/>
      <c r="Z1039" s="60"/>
      <c r="AA1039" s="58"/>
      <c r="AB1039" s="58"/>
      <c r="AC1039" s="61"/>
      <c r="AD1039" s="53"/>
      <c r="AE1039" s="56"/>
      <c r="AF1039" s="56"/>
      <c r="AG1039" s="62"/>
      <c r="AH1039" s="63"/>
      <c r="AI1039" s="61"/>
      <c r="AJ1039" s="58"/>
      <c r="AK1039" s="58"/>
      <c r="AL1039" s="58"/>
      <c r="AM1039" s="58"/>
      <c r="AN1039" s="58"/>
      <c r="AO1039" s="58"/>
    </row>
    <row r="1040" spans="1:41" x14ac:dyDescent="0.2">
      <c r="A1040" s="49"/>
      <c r="B1040" s="50"/>
      <c r="C1040" s="51"/>
      <c r="D1040" s="49"/>
      <c r="E1040" s="49"/>
      <c r="F1040" s="52"/>
      <c r="G1040" s="53"/>
      <c r="H1040" s="54"/>
      <c r="I1040" s="55"/>
      <c r="J1040" s="53"/>
      <c r="K1040" s="53"/>
      <c r="L1040" s="53"/>
      <c r="M1040" s="56"/>
      <c r="N1040" s="53"/>
      <c r="O1040" s="57"/>
      <c r="P1040" s="58"/>
      <c r="Q1040" s="53"/>
      <c r="R1040" s="53"/>
      <c r="S1040" s="53"/>
      <c r="T1040" s="59"/>
      <c r="U1040" s="59"/>
      <c r="V1040" s="53"/>
      <c r="W1040" s="53"/>
      <c r="X1040" s="53"/>
      <c r="Z1040" s="60"/>
      <c r="AA1040" s="58"/>
      <c r="AB1040" s="58"/>
      <c r="AC1040" s="61"/>
      <c r="AD1040" s="53"/>
      <c r="AE1040" s="56"/>
      <c r="AF1040" s="56"/>
      <c r="AG1040" s="62"/>
      <c r="AH1040" s="63"/>
      <c r="AI1040" s="61"/>
      <c r="AJ1040" s="58"/>
      <c r="AK1040" s="58"/>
      <c r="AL1040" s="58"/>
      <c r="AM1040" s="58"/>
      <c r="AN1040" s="58"/>
      <c r="AO1040" s="58"/>
    </row>
    <row r="1041" spans="1:41" x14ac:dyDescent="0.2">
      <c r="A1041" s="49"/>
      <c r="B1041" s="50"/>
      <c r="C1041" s="51"/>
      <c r="D1041" s="49"/>
      <c r="E1041" s="49"/>
      <c r="F1041" s="52"/>
      <c r="G1041" s="53"/>
      <c r="H1041" s="54"/>
      <c r="I1041" s="55"/>
      <c r="J1041" s="53"/>
      <c r="K1041" s="53"/>
      <c r="L1041" s="53"/>
      <c r="M1041" s="56"/>
      <c r="N1041" s="53"/>
      <c r="O1041" s="57"/>
      <c r="P1041" s="57"/>
      <c r="Q1041" s="53"/>
      <c r="R1041" s="53"/>
      <c r="S1041" s="53"/>
      <c r="T1041" s="59"/>
      <c r="U1041" s="59"/>
      <c r="V1041" s="53"/>
      <c r="W1041" s="53"/>
      <c r="X1041" s="53"/>
      <c r="Z1041" s="60"/>
      <c r="AA1041" s="58"/>
      <c r="AB1041" s="58"/>
      <c r="AC1041" s="61"/>
      <c r="AD1041" s="53"/>
      <c r="AE1041" s="56"/>
      <c r="AF1041" s="56"/>
      <c r="AG1041" s="62"/>
      <c r="AH1041" s="63"/>
      <c r="AI1041" s="61"/>
      <c r="AJ1041" s="58"/>
      <c r="AK1041" s="58"/>
      <c r="AL1041" s="58"/>
      <c r="AM1041" s="58"/>
      <c r="AN1041" s="58"/>
      <c r="AO1041" s="58"/>
    </row>
    <row r="1042" spans="1:41" x14ac:dyDescent="0.2">
      <c r="A1042" s="49"/>
      <c r="B1042" s="50"/>
      <c r="C1042" s="51"/>
      <c r="D1042" s="49"/>
      <c r="E1042" s="49"/>
      <c r="F1042" s="52"/>
      <c r="G1042" s="53"/>
      <c r="H1042" s="54"/>
      <c r="I1042" s="55"/>
      <c r="J1042" s="53"/>
      <c r="K1042" s="53"/>
      <c r="L1042" s="53"/>
      <c r="M1042" s="56"/>
      <c r="N1042" s="53"/>
      <c r="O1042" s="57"/>
      <c r="P1042" s="58"/>
      <c r="Q1042" s="53"/>
      <c r="R1042" s="53"/>
      <c r="S1042" s="53"/>
      <c r="T1042" s="59"/>
      <c r="U1042" s="59"/>
      <c r="V1042" s="53"/>
      <c r="W1042" s="53"/>
      <c r="X1042" s="53"/>
      <c r="Z1042" s="60"/>
      <c r="AA1042" s="58"/>
      <c r="AB1042" s="58"/>
      <c r="AC1042" s="61"/>
      <c r="AD1042" s="53"/>
      <c r="AE1042" s="56"/>
      <c r="AF1042" s="56"/>
      <c r="AG1042" s="62"/>
      <c r="AH1042" s="63"/>
      <c r="AI1042" s="61"/>
      <c r="AJ1042" s="58"/>
      <c r="AK1042" s="58"/>
      <c r="AL1042" s="58"/>
      <c r="AM1042" s="58"/>
      <c r="AN1042" s="58"/>
      <c r="AO1042" s="58"/>
    </row>
    <row r="1043" spans="1:41" x14ac:dyDescent="0.2">
      <c r="A1043" s="49"/>
      <c r="B1043" s="50"/>
      <c r="C1043" s="51"/>
      <c r="D1043" s="49"/>
      <c r="E1043" s="49"/>
      <c r="F1043" s="52"/>
      <c r="G1043" s="53"/>
      <c r="H1043" s="54"/>
      <c r="I1043" s="55"/>
      <c r="J1043" s="53"/>
      <c r="K1043" s="53"/>
      <c r="L1043" s="53"/>
      <c r="M1043" s="56"/>
      <c r="N1043" s="53"/>
      <c r="O1043" s="57"/>
      <c r="P1043" s="58"/>
      <c r="Q1043" s="53"/>
      <c r="R1043" s="53"/>
      <c r="S1043" s="53"/>
      <c r="T1043" s="59"/>
      <c r="U1043" s="59"/>
      <c r="V1043" s="53"/>
      <c r="W1043" s="53"/>
      <c r="X1043" s="53"/>
      <c r="Z1043" s="60"/>
      <c r="AA1043" s="58"/>
      <c r="AB1043" s="58"/>
      <c r="AC1043" s="61"/>
      <c r="AD1043" s="53"/>
      <c r="AE1043" s="56"/>
      <c r="AF1043" s="56"/>
      <c r="AG1043" s="62"/>
      <c r="AH1043" s="63"/>
      <c r="AI1043" s="61"/>
      <c r="AJ1043" s="58"/>
      <c r="AK1043" s="58"/>
      <c r="AL1043" s="58"/>
      <c r="AM1043" s="58"/>
      <c r="AN1043" s="58"/>
      <c r="AO1043" s="58"/>
    </row>
    <row r="1044" spans="1:41" x14ac:dyDescent="0.2">
      <c r="A1044" s="49"/>
      <c r="B1044" s="50"/>
      <c r="C1044" s="51"/>
      <c r="D1044" s="49"/>
      <c r="E1044" s="49"/>
      <c r="F1044" s="52"/>
      <c r="G1044" s="53"/>
      <c r="H1044" s="54"/>
      <c r="I1044" s="55"/>
      <c r="J1044" s="53"/>
      <c r="K1044" s="53"/>
      <c r="L1044" s="53"/>
      <c r="M1044" s="56"/>
      <c r="N1044" s="53"/>
      <c r="O1044" s="57"/>
      <c r="P1044" s="57"/>
      <c r="Q1044" s="53"/>
      <c r="R1044" s="53"/>
      <c r="S1044" s="53"/>
      <c r="T1044" s="59"/>
      <c r="U1044" s="59"/>
      <c r="V1044" s="53"/>
      <c r="W1044" s="53"/>
      <c r="X1044" s="53"/>
      <c r="Z1044" s="60"/>
      <c r="AA1044" s="58"/>
      <c r="AB1044" s="58"/>
      <c r="AC1044" s="61"/>
      <c r="AD1044" s="53"/>
      <c r="AE1044" s="56"/>
      <c r="AF1044" s="56"/>
      <c r="AG1044" s="62"/>
      <c r="AH1044" s="63"/>
      <c r="AI1044" s="61"/>
      <c r="AJ1044" s="58"/>
      <c r="AK1044" s="58"/>
      <c r="AL1044" s="58"/>
      <c r="AM1044" s="58"/>
      <c r="AN1044" s="58"/>
      <c r="AO1044" s="58"/>
    </row>
    <row r="1045" spans="1:41" x14ac:dyDescent="0.2">
      <c r="A1045" s="49"/>
      <c r="B1045" s="50"/>
      <c r="C1045" s="51"/>
      <c r="D1045" s="49"/>
      <c r="E1045" s="49"/>
      <c r="F1045" s="52"/>
      <c r="G1045" s="53"/>
      <c r="H1045" s="54"/>
      <c r="I1045" s="55"/>
      <c r="J1045" s="53"/>
      <c r="K1045" s="53"/>
      <c r="L1045" s="53"/>
      <c r="M1045" s="56"/>
      <c r="N1045" s="53"/>
      <c r="O1045" s="57"/>
      <c r="P1045" s="57"/>
      <c r="Q1045" s="53"/>
      <c r="R1045" s="53"/>
      <c r="S1045" s="53"/>
      <c r="T1045" s="59"/>
      <c r="U1045" s="59"/>
      <c r="V1045" s="53"/>
      <c r="W1045" s="53"/>
      <c r="X1045" s="53"/>
      <c r="Z1045" s="60"/>
      <c r="AA1045" s="58"/>
      <c r="AB1045" s="58"/>
      <c r="AC1045" s="61"/>
      <c r="AD1045" s="53"/>
      <c r="AE1045" s="56"/>
      <c r="AF1045" s="56"/>
      <c r="AG1045" s="62"/>
      <c r="AH1045" s="63"/>
      <c r="AI1045" s="61"/>
      <c r="AJ1045" s="58"/>
      <c r="AK1045" s="58"/>
      <c r="AL1045" s="58"/>
      <c r="AM1045" s="58"/>
      <c r="AN1045" s="58"/>
      <c r="AO1045" s="58"/>
    </row>
    <row r="1046" spans="1:41" x14ac:dyDescent="0.2">
      <c r="A1046" s="49"/>
      <c r="B1046" s="50"/>
      <c r="C1046" s="51"/>
      <c r="D1046" s="49"/>
      <c r="E1046" s="49"/>
      <c r="F1046" s="52"/>
      <c r="G1046" s="53"/>
      <c r="H1046" s="54"/>
      <c r="I1046" s="55"/>
      <c r="J1046" s="53"/>
      <c r="K1046" s="53"/>
      <c r="L1046" s="53"/>
      <c r="M1046" s="56"/>
      <c r="N1046" s="53"/>
      <c r="O1046" s="57"/>
      <c r="P1046" s="58"/>
      <c r="Q1046" s="53"/>
      <c r="R1046" s="53"/>
      <c r="S1046" s="53"/>
      <c r="T1046" s="59"/>
      <c r="U1046" s="59"/>
      <c r="V1046" s="53"/>
      <c r="W1046" s="53"/>
      <c r="X1046" s="53"/>
      <c r="Z1046" s="60"/>
      <c r="AA1046" s="58"/>
      <c r="AB1046" s="58"/>
      <c r="AC1046" s="61"/>
      <c r="AD1046" s="53"/>
      <c r="AE1046" s="56"/>
      <c r="AF1046" s="56"/>
      <c r="AG1046" s="62"/>
      <c r="AH1046" s="63"/>
      <c r="AI1046" s="61"/>
      <c r="AJ1046" s="58"/>
      <c r="AK1046" s="58"/>
      <c r="AL1046" s="58"/>
      <c r="AM1046" s="58"/>
      <c r="AN1046" s="58"/>
      <c r="AO1046" s="58"/>
    </row>
    <row r="1047" spans="1:41" x14ac:dyDescent="0.2">
      <c r="A1047" s="49"/>
      <c r="B1047" s="50"/>
      <c r="C1047" s="51"/>
      <c r="D1047" s="49"/>
      <c r="E1047" s="49"/>
      <c r="F1047" s="52"/>
      <c r="G1047" s="53"/>
      <c r="H1047" s="54"/>
      <c r="I1047" s="55"/>
      <c r="J1047" s="53"/>
      <c r="K1047" s="53"/>
      <c r="L1047" s="53"/>
      <c r="M1047" s="56"/>
      <c r="N1047" s="53"/>
      <c r="O1047" s="57"/>
      <c r="P1047" s="58"/>
      <c r="Q1047" s="53"/>
      <c r="R1047" s="53"/>
      <c r="S1047" s="53"/>
      <c r="T1047" s="59"/>
      <c r="U1047" s="59"/>
      <c r="V1047" s="53"/>
      <c r="W1047" s="53"/>
      <c r="X1047" s="53"/>
      <c r="Z1047" s="60"/>
      <c r="AA1047" s="58"/>
      <c r="AB1047" s="58"/>
      <c r="AC1047" s="61"/>
      <c r="AD1047" s="53"/>
      <c r="AE1047" s="56"/>
      <c r="AF1047" s="56"/>
      <c r="AG1047" s="62"/>
      <c r="AH1047" s="63"/>
      <c r="AI1047" s="61"/>
      <c r="AJ1047" s="58"/>
      <c r="AK1047" s="58"/>
      <c r="AL1047" s="58"/>
      <c r="AM1047" s="58"/>
      <c r="AN1047" s="58"/>
      <c r="AO1047" s="58"/>
    </row>
    <row r="1048" spans="1:41" x14ac:dyDescent="0.2">
      <c r="A1048" s="49"/>
      <c r="B1048" s="50"/>
      <c r="C1048" s="51"/>
      <c r="D1048" s="49"/>
      <c r="E1048" s="49"/>
      <c r="F1048" s="52"/>
      <c r="G1048" s="53"/>
      <c r="H1048" s="54"/>
      <c r="I1048" s="55"/>
      <c r="J1048" s="53"/>
      <c r="K1048" s="53"/>
      <c r="L1048" s="53"/>
      <c r="M1048" s="56"/>
      <c r="N1048" s="53"/>
      <c r="O1048" s="57"/>
      <c r="P1048" s="58"/>
      <c r="Q1048" s="53"/>
      <c r="R1048" s="53"/>
      <c r="S1048" s="53"/>
      <c r="T1048" s="59"/>
      <c r="U1048" s="59"/>
      <c r="V1048" s="53"/>
      <c r="W1048" s="53"/>
      <c r="X1048" s="53"/>
      <c r="Z1048" s="60"/>
      <c r="AA1048" s="58"/>
      <c r="AB1048" s="58"/>
      <c r="AC1048" s="61"/>
      <c r="AD1048" s="53"/>
      <c r="AE1048" s="56"/>
      <c r="AF1048" s="56"/>
      <c r="AG1048" s="62"/>
      <c r="AH1048" s="63"/>
      <c r="AI1048" s="61"/>
      <c r="AJ1048" s="58"/>
      <c r="AK1048" s="58"/>
      <c r="AL1048" s="58"/>
      <c r="AM1048" s="58"/>
      <c r="AN1048" s="58"/>
      <c r="AO1048" s="58"/>
    </row>
    <row r="1049" spans="1:41" x14ac:dyDescent="0.2">
      <c r="A1049" s="49"/>
      <c r="B1049" s="50"/>
      <c r="C1049" s="51"/>
      <c r="D1049" s="49"/>
      <c r="E1049" s="49"/>
      <c r="F1049" s="52"/>
      <c r="G1049" s="53"/>
      <c r="H1049" s="54"/>
      <c r="I1049" s="55"/>
      <c r="J1049" s="53"/>
      <c r="K1049" s="53"/>
      <c r="L1049" s="53"/>
      <c r="M1049" s="56"/>
      <c r="N1049" s="53"/>
      <c r="O1049" s="57"/>
      <c r="P1049" s="58"/>
      <c r="Q1049" s="53"/>
      <c r="R1049" s="53"/>
      <c r="S1049" s="53"/>
      <c r="T1049" s="59"/>
      <c r="U1049" s="59"/>
      <c r="V1049" s="53"/>
      <c r="W1049" s="53"/>
      <c r="X1049" s="53"/>
      <c r="Z1049" s="60"/>
      <c r="AA1049" s="58"/>
      <c r="AB1049" s="58"/>
      <c r="AC1049" s="61"/>
      <c r="AD1049" s="53"/>
      <c r="AE1049" s="56"/>
      <c r="AF1049" s="56"/>
      <c r="AG1049" s="62"/>
      <c r="AH1049" s="63"/>
      <c r="AI1049" s="61"/>
      <c r="AJ1049" s="58"/>
      <c r="AK1049" s="58"/>
      <c r="AL1049" s="58"/>
      <c r="AM1049" s="58"/>
      <c r="AN1049" s="58"/>
      <c r="AO1049" s="58"/>
    </row>
    <row r="1050" spans="1:41" x14ac:dyDescent="0.2">
      <c r="A1050" s="49"/>
      <c r="B1050" s="50"/>
      <c r="C1050" s="51"/>
      <c r="D1050" s="49"/>
      <c r="E1050" s="49"/>
      <c r="F1050" s="52"/>
      <c r="G1050" s="53"/>
      <c r="H1050" s="54"/>
      <c r="I1050" s="55"/>
      <c r="J1050" s="53"/>
      <c r="K1050" s="53"/>
      <c r="L1050" s="53"/>
      <c r="M1050" s="56"/>
      <c r="N1050" s="53"/>
      <c r="O1050" s="57"/>
      <c r="P1050" s="58"/>
      <c r="Q1050" s="53"/>
      <c r="R1050" s="53"/>
      <c r="S1050" s="53"/>
      <c r="T1050" s="59"/>
      <c r="U1050" s="59"/>
      <c r="V1050" s="53"/>
      <c r="W1050" s="53"/>
      <c r="X1050" s="53"/>
      <c r="Z1050" s="60"/>
      <c r="AA1050" s="58"/>
      <c r="AB1050" s="58"/>
      <c r="AC1050" s="61"/>
      <c r="AD1050" s="53"/>
      <c r="AE1050" s="56"/>
      <c r="AF1050" s="56"/>
      <c r="AG1050" s="62"/>
      <c r="AH1050" s="63"/>
      <c r="AI1050" s="61"/>
      <c r="AJ1050" s="58"/>
      <c r="AK1050" s="58"/>
      <c r="AL1050" s="58"/>
      <c r="AM1050" s="58"/>
      <c r="AN1050" s="58"/>
      <c r="AO1050" s="58"/>
    </row>
    <row r="1051" spans="1:41" x14ac:dyDescent="0.2">
      <c r="A1051" s="49"/>
      <c r="B1051" s="50"/>
      <c r="C1051" s="51"/>
      <c r="D1051" s="49"/>
      <c r="E1051" s="49"/>
      <c r="F1051" s="52"/>
      <c r="G1051" s="53"/>
      <c r="H1051" s="54"/>
      <c r="I1051" s="55"/>
      <c r="J1051" s="53"/>
      <c r="K1051" s="53"/>
      <c r="L1051" s="53"/>
      <c r="M1051" s="56"/>
      <c r="N1051" s="53"/>
      <c r="O1051" s="57"/>
      <c r="P1051" s="58"/>
      <c r="Q1051" s="53"/>
      <c r="R1051" s="53"/>
      <c r="S1051" s="53"/>
      <c r="T1051" s="59"/>
      <c r="U1051" s="59"/>
      <c r="V1051" s="53"/>
      <c r="W1051" s="53"/>
      <c r="X1051" s="53"/>
      <c r="Z1051" s="60"/>
      <c r="AA1051" s="58"/>
      <c r="AB1051" s="58"/>
      <c r="AC1051" s="61"/>
      <c r="AD1051" s="53"/>
      <c r="AE1051" s="56"/>
      <c r="AF1051" s="56"/>
      <c r="AG1051" s="62"/>
      <c r="AH1051" s="63"/>
      <c r="AI1051" s="61"/>
      <c r="AJ1051" s="58"/>
      <c r="AK1051" s="58"/>
      <c r="AL1051" s="58"/>
      <c r="AM1051" s="58"/>
      <c r="AN1051" s="58"/>
      <c r="AO1051" s="58"/>
    </row>
    <row r="1052" spans="1:41" x14ac:dyDescent="0.2">
      <c r="A1052" s="49"/>
      <c r="B1052" s="50"/>
      <c r="C1052" s="51"/>
      <c r="D1052" s="49"/>
      <c r="E1052" s="49"/>
      <c r="F1052" s="52"/>
      <c r="G1052" s="53"/>
      <c r="H1052" s="54"/>
      <c r="I1052" s="55"/>
      <c r="J1052" s="53"/>
      <c r="K1052" s="53"/>
      <c r="L1052" s="53"/>
      <c r="M1052" s="56"/>
      <c r="N1052" s="53"/>
      <c r="O1052" s="57"/>
      <c r="P1052" s="57"/>
      <c r="Q1052" s="53"/>
      <c r="R1052" s="53"/>
      <c r="S1052" s="53"/>
      <c r="T1052" s="59"/>
      <c r="U1052" s="59"/>
      <c r="V1052" s="53"/>
      <c r="W1052" s="53"/>
      <c r="X1052" s="53"/>
      <c r="Z1052" s="60"/>
      <c r="AA1052" s="58"/>
      <c r="AB1052" s="58"/>
      <c r="AC1052" s="61"/>
      <c r="AD1052" s="53"/>
      <c r="AE1052" s="56"/>
      <c r="AF1052" s="56"/>
      <c r="AG1052" s="62"/>
      <c r="AH1052" s="63"/>
      <c r="AI1052" s="61"/>
      <c r="AJ1052" s="58"/>
      <c r="AK1052" s="58"/>
      <c r="AL1052" s="58"/>
      <c r="AM1052" s="58"/>
      <c r="AN1052" s="58"/>
      <c r="AO1052" s="58"/>
    </row>
    <row r="1053" spans="1:41" x14ac:dyDescent="0.2">
      <c r="A1053" s="49"/>
      <c r="B1053" s="50"/>
      <c r="C1053" s="51"/>
      <c r="D1053" s="49"/>
      <c r="E1053" s="49"/>
      <c r="F1053" s="52"/>
      <c r="G1053" s="53"/>
      <c r="H1053" s="54"/>
      <c r="I1053" s="55"/>
      <c r="J1053" s="53"/>
      <c r="K1053" s="53"/>
      <c r="L1053" s="53"/>
      <c r="M1053" s="56"/>
      <c r="N1053" s="53"/>
      <c r="O1053" s="57"/>
      <c r="P1053" s="57"/>
      <c r="Q1053" s="53"/>
      <c r="R1053" s="53"/>
      <c r="S1053" s="53"/>
      <c r="T1053" s="59"/>
      <c r="U1053" s="59"/>
      <c r="V1053" s="53"/>
      <c r="W1053" s="53"/>
      <c r="X1053" s="53"/>
      <c r="Z1053" s="60"/>
      <c r="AA1053" s="58"/>
      <c r="AB1053" s="58"/>
      <c r="AC1053" s="61"/>
      <c r="AD1053" s="53"/>
      <c r="AE1053" s="56"/>
      <c r="AF1053" s="56"/>
      <c r="AG1053" s="62"/>
      <c r="AH1053" s="63"/>
      <c r="AI1053" s="61"/>
      <c r="AJ1053" s="58"/>
      <c r="AK1053" s="58"/>
      <c r="AL1053" s="58"/>
      <c r="AM1053" s="58"/>
      <c r="AN1053" s="58"/>
      <c r="AO1053" s="58"/>
    </row>
    <row r="1054" spans="1:41" x14ac:dyDescent="0.2">
      <c r="A1054" s="49"/>
      <c r="B1054" s="50"/>
      <c r="C1054" s="51"/>
      <c r="D1054" s="49"/>
      <c r="E1054" s="49"/>
      <c r="F1054" s="52"/>
      <c r="G1054" s="53"/>
      <c r="H1054" s="54"/>
      <c r="I1054" s="55"/>
      <c r="J1054" s="53"/>
      <c r="K1054" s="53"/>
      <c r="L1054" s="53"/>
      <c r="M1054" s="56"/>
      <c r="N1054" s="53"/>
      <c r="O1054" s="57"/>
      <c r="P1054" s="58"/>
      <c r="Q1054" s="53"/>
      <c r="R1054" s="53"/>
      <c r="S1054" s="53"/>
      <c r="T1054" s="59"/>
      <c r="U1054" s="59"/>
      <c r="V1054" s="53"/>
      <c r="W1054" s="53"/>
      <c r="X1054" s="53"/>
      <c r="Z1054" s="60"/>
      <c r="AA1054" s="58"/>
      <c r="AB1054" s="58"/>
      <c r="AC1054" s="61"/>
      <c r="AD1054" s="53"/>
      <c r="AE1054" s="56"/>
      <c r="AF1054" s="56"/>
      <c r="AG1054" s="62"/>
      <c r="AH1054" s="63"/>
      <c r="AI1054" s="61"/>
      <c r="AJ1054" s="58"/>
      <c r="AK1054" s="58"/>
      <c r="AL1054" s="58"/>
      <c r="AM1054" s="58"/>
      <c r="AN1054" s="58"/>
      <c r="AO1054" s="58"/>
    </row>
    <row r="1055" spans="1:41" x14ac:dyDescent="0.2">
      <c r="A1055" s="49"/>
      <c r="B1055" s="50"/>
      <c r="C1055" s="51"/>
      <c r="D1055" s="49"/>
      <c r="E1055" s="49"/>
      <c r="F1055" s="52"/>
      <c r="G1055" s="53"/>
      <c r="H1055" s="54"/>
      <c r="I1055" s="55"/>
      <c r="J1055" s="53"/>
      <c r="K1055" s="53"/>
      <c r="L1055" s="53"/>
      <c r="M1055" s="56"/>
      <c r="N1055" s="53"/>
      <c r="O1055" s="57"/>
      <c r="P1055" s="58"/>
      <c r="Q1055" s="53"/>
      <c r="R1055" s="53"/>
      <c r="S1055" s="53"/>
      <c r="T1055" s="59"/>
      <c r="U1055" s="59"/>
      <c r="V1055" s="53"/>
      <c r="W1055" s="53"/>
      <c r="X1055" s="53"/>
      <c r="Z1055" s="60"/>
      <c r="AA1055" s="58"/>
      <c r="AB1055" s="58"/>
      <c r="AC1055" s="61"/>
      <c r="AD1055" s="53"/>
      <c r="AE1055" s="56"/>
      <c r="AF1055" s="56"/>
      <c r="AG1055" s="62"/>
      <c r="AH1055" s="63"/>
      <c r="AI1055" s="61"/>
      <c r="AJ1055" s="58"/>
      <c r="AK1055" s="58"/>
      <c r="AL1055" s="58"/>
      <c r="AM1055" s="58"/>
      <c r="AN1055" s="58"/>
      <c r="AO1055" s="58"/>
    </row>
    <row r="1056" spans="1:41" x14ac:dyDescent="0.2">
      <c r="A1056" s="49"/>
      <c r="B1056" s="50"/>
      <c r="C1056" s="51"/>
      <c r="D1056" s="49"/>
      <c r="E1056" s="49"/>
      <c r="F1056" s="52"/>
      <c r="G1056" s="53"/>
      <c r="H1056" s="54"/>
      <c r="I1056" s="55"/>
      <c r="J1056" s="53"/>
      <c r="K1056" s="53"/>
      <c r="L1056" s="53"/>
      <c r="M1056" s="56"/>
      <c r="N1056" s="53"/>
      <c r="O1056" s="57"/>
      <c r="P1056" s="58"/>
      <c r="Q1056" s="53"/>
      <c r="R1056" s="53"/>
      <c r="S1056" s="53"/>
      <c r="T1056" s="59"/>
      <c r="U1056" s="59"/>
      <c r="V1056" s="53"/>
      <c r="W1056" s="53"/>
      <c r="X1056" s="53"/>
      <c r="Z1056" s="60"/>
      <c r="AA1056" s="58"/>
      <c r="AB1056" s="58"/>
      <c r="AC1056" s="61"/>
      <c r="AD1056" s="53"/>
      <c r="AE1056" s="56"/>
      <c r="AF1056" s="56"/>
      <c r="AG1056" s="62"/>
      <c r="AH1056" s="63"/>
      <c r="AI1056" s="61"/>
      <c r="AJ1056" s="58"/>
      <c r="AK1056" s="58"/>
      <c r="AL1056" s="58"/>
      <c r="AM1056" s="58"/>
      <c r="AN1056" s="58"/>
      <c r="AO1056" s="58"/>
    </row>
    <row r="1057" spans="1:41" x14ac:dyDescent="0.2">
      <c r="A1057" s="49"/>
      <c r="B1057" s="50"/>
      <c r="C1057" s="51"/>
      <c r="D1057" s="49"/>
      <c r="E1057" s="49"/>
      <c r="F1057" s="52"/>
      <c r="G1057" s="53"/>
      <c r="H1057" s="54"/>
      <c r="I1057" s="55"/>
      <c r="J1057" s="53"/>
      <c r="K1057" s="53"/>
      <c r="L1057" s="53"/>
      <c r="M1057" s="56"/>
      <c r="N1057" s="53"/>
      <c r="O1057" s="57"/>
      <c r="P1057" s="58"/>
      <c r="Q1057" s="53"/>
      <c r="R1057" s="53"/>
      <c r="S1057" s="53"/>
      <c r="T1057" s="59"/>
      <c r="U1057" s="59"/>
      <c r="V1057" s="53"/>
      <c r="W1057" s="53"/>
      <c r="X1057" s="53"/>
      <c r="Z1057" s="60"/>
      <c r="AA1057" s="58"/>
      <c r="AB1057" s="58"/>
      <c r="AC1057" s="61"/>
      <c r="AD1057" s="53"/>
      <c r="AE1057" s="56"/>
      <c r="AF1057" s="56"/>
      <c r="AG1057" s="62"/>
      <c r="AH1057" s="63"/>
      <c r="AI1057" s="61"/>
      <c r="AJ1057" s="58"/>
      <c r="AK1057" s="58"/>
      <c r="AL1057" s="58"/>
      <c r="AM1057" s="58"/>
      <c r="AN1057" s="58"/>
      <c r="AO1057" s="58"/>
    </row>
    <row r="1058" spans="1:41" x14ac:dyDescent="0.2">
      <c r="A1058" s="49"/>
      <c r="B1058" s="50"/>
      <c r="C1058" s="51"/>
      <c r="D1058" s="49"/>
      <c r="E1058" s="49"/>
      <c r="F1058" s="52"/>
      <c r="G1058" s="53"/>
      <c r="H1058" s="54"/>
      <c r="I1058" s="55"/>
      <c r="J1058" s="53"/>
      <c r="K1058" s="53"/>
      <c r="L1058" s="53"/>
      <c r="M1058" s="56"/>
      <c r="N1058" s="53"/>
      <c r="O1058" s="57"/>
      <c r="P1058" s="58"/>
      <c r="Q1058" s="53"/>
      <c r="R1058" s="53"/>
      <c r="S1058" s="53"/>
      <c r="T1058" s="59"/>
      <c r="U1058" s="59"/>
      <c r="V1058" s="53"/>
      <c r="W1058" s="53"/>
      <c r="X1058" s="53"/>
      <c r="Z1058" s="60"/>
      <c r="AA1058" s="58"/>
      <c r="AB1058" s="58"/>
      <c r="AC1058" s="61"/>
      <c r="AD1058" s="53"/>
      <c r="AE1058" s="56"/>
      <c r="AF1058" s="56"/>
      <c r="AG1058" s="62"/>
      <c r="AH1058" s="63"/>
      <c r="AI1058" s="61"/>
      <c r="AJ1058" s="58"/>
      <c r="AK1058" s="58"/>
      <c r="AL1058" s="58"/>
      <c r="AM1058" s="58"/>
      <c r="AN1058" s="58"/>
      <c r="AO1058" s="58"/>
    </row>
    <row r="1059" spans="1:41" x14ac:dyDescent="0.2">
      <c r="A1059" s="49"/>
      <c r="B1059" s="50"/>
      <c r="C1059" s="51"/>
      <c r="D1059" s="49"/>
      <c r="E1059" s="49"/>
      <c r="F1059" s="52"/>
      <c r="G1059" s="53"/>
      <c r="H1059" s="54"/>
      <c r="I1059" s="55"/>
      <c r="J1059" s="53"/>
      <c r="K1059" s="53"/>
      <c r="L1059" s="53"/>
      <c r="M1059" s="56"/>
      <c r="N1059" s="53"/>
      <c r="O1059" s="57"/>
      <c r="P1059" s="57"/>
      <c r="Q1059" s="53"/>
      <c r="R1059" s="53"/>
      <c r="S1059" s="53"/>
      <c r="T1059" s="59"/>
      <c r="U1059" s="59"/>
      <c r="V1059" s="53"/>
      <c r="W1059" s="53"/>
      <c r="X1059" s="53"/>
      <c r="Z1059" s="60"/>
      <c r="AA1059" s="58"/>
      <c r="AB1059" s="58"/>
      <c r="AC1059" s="61"/>
      <c r="AD1059" s="53"/>
      <c r="AE1059" s="56"/>
      <c r="AF1059" s="56"/>
      <c r="AG1059" s="62"/>
      <c r="AH1059" s="63"/>
      <c r="AI1059" s="61"/>
      <c r="AJ1059" s="58"/>
      <c r="AK1059" s="58"/>
      <c r="AL1059" s="58"/>
      <c r="AM1059" s="58"/>
      <c r="AN1059" s="58"/>
      <c r="AO1059" s="58"/>
    </row>
    <row r="1060" spans="1:41" x14ac:dyDescent="0.2">
      <c r="A1060" s="49"/>
      <c r="B1060" s="50"/>
      <c r="C1060" s="51"/>
      <c r="D1060" s="49"/>
      <c r="E1060" s="49"/>
      <c r="F1060" s="52"/>
      <c r="G1060" s="53"/>
      <c r="H1060" s="54"/>
      <c r="I1060" s="55"/>
      <c r="J1060" s="53"/>
      <c r="K1060" s="53"/>
      <c r="L1060" s="53"/>
      <c r="M1060" s="56"/>
      <c r="N1060" s="53"/>
      <c r="O1060" s="57"/>
      <c r="P1060" s="58"/>
      <c r="Q1060" s="53"/>
      <c r="R1060" s="53"/>
      <c r="S1060" s="53"/>
      <c r="T1060" s="59"/>
      <c r="U1060" s="59"/>
      <c r="V1060" s="53"/>
      <c r="W1060" s="53"/>
      <c r="X1060" s="53"/>
      <c r="Z1060" s="60"/>
      <c r="AA1060" s="58"/>
      <c r="AB1060" s="58"/>
      <c r="AC1060" s="61"/>
      <c r="AD1060" s="53"/>
      <c r="AE1060" s="56"/>
      <c r="AF1060" s="56"/>
      <c r="AG1060" s="62"/>
      <c r="AH1060" s="63"/>
      <c r="AI1060" s="61"/>
      <c r="AJ1060" s="58"/>
      <c r="AK1060" s="58"/>
      <c r="AL1060" s="58"/>
      <c r="AM1060" s="58"/>
      <c r="AN1060" s="58"/>
      <c r="AO1060" s="58"/>
    </row>
    <row r="1061" spans="1:41" x14ac:dyDescent="0.2">
      <c r="A1061" s="49"/>
      <c r="B1061" s="50"/>
      <c r="C1061" s="51"/>
      <c r="D1061" s="49"/>
      <c r="E1061" s="49"/>
      <c r="F1061" s="52"/>
      <c r="G1061" s="53"/>
      <c r="H1061" s="54"/>
      <c r="I1061" s="55"/>
      <c r="J1061" s="53"/>
      <c r="K1061" s="53"/>
      <c r="L1061" s="53"/>
      <c r="M1061" s="56"/>
      <c r="N1061" s="53"/>
      <c r="O1061" s="57"/>
      <c r="P1061" s="58"/>
      <c r="Q1061" s="53"/>
      <c r="R1061" s="53"/>
      <c r="S1061" s="53"/>
      <c r="T1061" s="59"/>
      <c r="U1061" s="59"/>
      <c r="V1061" s="53"/>
      <c r="W1061" s="53"/>
      <c r="X1061" s="53"/>
      <c r="Z1061" s="60"/>
      <c r="AA1061" s="58"/>
      <c r="AB1061" s="58"/>
      <c r="AC1061" s="61"/>
      <c r="AD1061" s="53"/>
      <c r="AE1061" s="56"/>
      <c r="AF1061" s="56"/>
      <c r="AG1061" s="62"/>
      <c r="AH1061" s="63"/>
      <c r="AI1061" s="61"/>
      <c r="AJ1061" s="58"/>
      <c r="AK1061" s="58"/>
      <c r="AL1061" s="58"/>
      <c r="AM1061" s="58"/>
      <c r="AN1061" s="58"/>
      <c r="AO1061" s="58"/>
    </row>
    <row r="1062" spans="1:41" x14ac:dyDescent="0.2">
      <c r="A1062" s="49"/>
      <c r="B1062" s="50"/>
      <c r="C1062" s="51"/>
      <c r="D1062" s="49"/>
      <c r="E1062" s="49"/>
      <c r="F1062" s="52"/>
      <c r="G1062" s="53"/>
      <c r="H1062" s="54"/>
      <c r="I1062" s="55"/>
      <c r="J1062" s="53"/>
      <c r="K1062" s="53"/>
      <c r="L1062" s="53"/>
      <c r="M1062" s="56"/>
      <c r="N1062" s="53"/>
      <c r="O1062" s="57"/>
      <c r="P1062" s="58"/>
      <c r="Q1062" s="53"/>
      <c r="R1062" s="53"/>
      <c r="S1062" s="53"/>
      <c r="T1062" s="59"/>
      <c r="U1062" s="59"/>
      <c r="V1062" s="53"/>
      <c r="W1062" s="53"/>
      <c r="X1062" s="53"/>
      <c r="Z1062" s="60"/>
      <c r="AA1062" s="58"/>
      <c r="AB1062" s="58"/>
      <c r="AC1062" s="61"/>
      <c r="AD1062" s="53"/>
      <c r="AE1062" s="56"/>
      <c r="AF1062" s="56"/>
      <c r="AG1062" s="62"/>
      <c r="AH1062" s="63"/>
      <c r="AI1062" s="61"/>
      <c r="AJ1062" s="58"/>
      <c r="AK1062" s="58"/>
      <c r="AL1062" s="58"/>
      <c r="AM1062" s="58"/>
      <c r="AN1062" s="58"/>
      <c r="AO1062" s="58"/>
    </row>
    <row r="1063" spans="1:41" x14ac:dyDescent="0.2">
      <c r="A1063" s="49"/>
      <c r="B1063" s="50"/>
      <c r="C1063" s="51"/>
      <c r="D1063" s="49"/>
      <c r="E1063" s="49"/>
      <c r="F1063" s="52"/>
      <c r="G1063" s="53"/>
      <c r="H1063" s="54"/>
      <c r="I1063" s="55"/>
      <c r="J1063" s="53"/>
      <c r="K1063" s="53"/>
      <c r="L1063" s="53"/>
      <c r="M1063" s="56"/>
      <c r="N1063" s="53"/>
      <c r="O1063" s="57"/>
      <c r="P1063" s="57"/>
      <c r="Q1063" s="53"/>
      <c r="R1063" s="53"/>
      <c r="S1063" s="53"/>
      <c r="T1063" s="59"/>
      <c r="U1063" s="59"/>
      <c r="V1063" s="53"/>
      <c r="W1063" s="53"/>
      <c r="X1063" s="53"/>
      <c r="Z1063" s="60"/>
      <c r="AA1063" s="58"/>
      <c r="AB1063" s="58"/>
      <c r="AC1063" s="61"/>
      <c r="AD1063" s="53"/>
      <c r="AE1063" s="56"/>
      <c r="AF1063" s="56"/>
      <c r="AG1063" s="62"/>
      <c r="AH1063" s="63"/>
      <c r="AI1063" s="61"/>
      <c r="AJ1063" s="58"/>
      <c r="AK1063" s="58"/>
      <c r="AL1063" s="58"/>
      <c r="AM1063" s="58"/>
      <c r="AN1063" s="58"/>
      <c r="AO1063" s="58"/>
    </row>
    <row r="1064" spans="1:41" x14ac:dyDescent="0.2">
      <c r="A1064" s="49"/>
      <c r="B1064" s="50"/>
      <c r="C1064" s="51"/>
      <c r="D1064" s="49"/>
      <c r="E1064" s="49"/>
      <c r="F1064" s="52"/>
      <c r="G1064" s="53"/>
      <c r="H1064" s="54"/>
      <c r="I1064" s="55"/>
      <c r="J1064" s="53"/>
      <c r="K1064" s="53"/>
      <c r="L1064" s="53"/>
      <c r="M1064" s="56"/>
      <c r="N1064" s="53"/>
      <c r="O1064" s="57"/>
      <c r="P1064" s="57"/>
      <c r="Q1064" s="53"/>
      <c r="R1064" s="53"/>
      <c r="S1064" s="53"/>
      <c r="T1064" s="59"/>
      <c r="U1064" s="59"/>
      <c r="V1064" s="53"/>
      <c r="W1064" s="53"/>
      <c r="X1064" s="53"/>
      <c r="Z1064" s="60"/>
      <c r="AA1064" s="58"/>
      <c r="AB1064" s="58"/>
      <c r="AC1064" s="61"/>
      <c r="AD1064" s="53"/>
      <c r="AE1064" s="56"/>
      <c r="AF1064" s="56"/>
      <c r="AG1064" s="62"/>
      <c r="AH1064" s="63"/>
      <c r="AI1064" s="61"/>
      <c r="AJ1064" s="58"/>
      <c r="AK1064" s="58"/>
      <c r="AL1064" s="58"/>
      <c r="AM1064" s="58"/>
      <c r="AN1064" s="58"/>
      <c r="AO1064" s="58"/>
    </row>
    <row r="1065" spans="1:41" x14ac:dyDescent="0.2">
      <c r="A1065" s="49"/>
      <c r="B1065" s="50"/>
      <c r="C1065" s="51"/>
      <c r="D1065" s="49"/>
      <c r="E1065" s="49"/>
      <c r="F1065" s="52"/>
      <c r="G1065" s="53"/>
      <c r="H1065" s="54"/>
      <c r="I1065" s="55"/>
      <c r="J1065" s="53"/>
      <c r="K1065" s="53"/>
      <c r="L1065" s="53"/>
      <c r="M1065" s="56"/>
      <c r="N1065" s="53"/>
      <c r="O1065" s="57"/>
      <c r="P1065" s="58"/>
      <c r="Q1065" s="53"/>
      <c r="R1065" s="53"/>
      <c r="S1065" s="53"/>
      <c r="T1065" s="59"/>
      <c r="U1065" s="59"/>
      <c r="V1065" s="53"/>
      <c r="W1065" s="53"/>
      <c r="X1065" s="53"/>
      <c r="Z1065" s="60"/>
      <c r="AA1065" s="58"/>
      <c r="AB1065" s="58"/>
      <c r="AC1065" s="61"/>
      <c r="AD1065" s="53"/>
      <c r="AE1065" s="56"/>
      <c r="AF1065" s="56"/>
      <c r="AG1065" s="62"/>
      <c r="AH1065" s="63"/>
      <c r="AI1065" s="61"/>
      <c r="AJ1065" s="58"/>
      <c r="AK1065" s="58"/>
      <c r="AL1065" s="58"/>
      <c r="AM1065" s="58"/>
      <c r="AN1065" s="58"/>
      <c r="AO1065" s="58"/>
    </row>
    <row r="1066" spans="1:41" x14ac:dyDescent="0.2">
      <c r="A1066" s="49"/>
      <c r="B1066" s="50"/>
      <c r="C1066" s="51"/>
      <c r="D1066" s="49"/>
      <c r="E1066" s="49"/>
      <c r="F1066" s="52"/>
      <c r="G1066" s="53"/>
      <c r="H1066" s="54"/>
      <c r="I1066" s="55"/>
      <c r="J1066" s="53"/>
      <c r="K1066" s="53"/>
      <c r="L1066" s="53"/>
      <c r="M1066" s="56"/>
      <c r="N1066" s="53"/>
      <c r="O1066" s="57"/>
      <c r="P1066" s="58"/>
      <c r="Q1066" s="53"/>
      <c r="R1066" s="53"/>
      <c r="S1066" s="53"/>
      <c r="T1066" s="59"/>
      <c r="U1066" s="59"/>
      <c r="V1066" s="53"/>
      <c r="W1066" s="53"/>
      <c r="X1066" s="53"/>
      <c r="Z1066" s="60"/>
      <c r="AA1066" s="58"/>
      <c r="AB1066" s="58"/>
      <c r="AC1066" s="61"/>
      <c r="AD1066" s="53"/>
      <c r="AE1066" s="56"/>
      <c r="AF1066" s="56"/>
      <c r="AG1066" s="62"/>
      <c r="AH1066" s="63"/>
      <c r="AI1066" s="61"/>
      <c r="AJ1066" s="58"/>
      <c r="AK1066" s="58"/>
      <c r="AL1066" s="58"/>
      <c r="AM1066" s="58"/>
      <c r="AN1066" s="58"/>
      <c r="AO1066" s="58"/>
    </row>
    <row r="1067" spans="1:41" x14ac:dyDescent="0.2">
      <c r="A1067" s="49"/>
      <c r="B1067" s="50"/>
      <c r="C1067" s="51"/>
      <c r="D1067" s="49"/>
      <c r="E1067" s="49"/>
      <c r="F1067" s="52"/>
      <c r="G1067" s="53"/>
      <c r="H1067" s="54"/>
      <c r="I1067" s="55"/>
      <c r="J1067" s="53"/>
      <c r="K1067" s="53"/>
      <c r="L1067" s="53"/>
      <c r="M1067" s="56"/>
      <c r="N1067" s="53"/>
      <c r="O1067" s="57"/>
      <c r="P1067" s="57"/>
      <c r="Q1067" s="53"/>
      <c r="R1067" s="53"/>
      <c r="S1067" s="53"/>
      <c r="T1067" s="59"/>
      <c r="U1067" s="59"/>
      <c r="V1067" s="53"/>
      <c r="W1067" s="53"/>
      <c r="X1067" s="53"/>
      <c r="Z1067" s="60"/>
      <c r="AA1067" s="58"/>
      <c r="AB1067" s="58"/>
      <c r="AC1067" s="61"/>
      <c r="AD1067" s="53"/>
      <c r="AE1067" s="56"/>
      <c r="AF1067" s="56"/>
      <c r="AG1067" s="62"/>
      <c r="AH1067" s="63"/>
      <c r="AI1067" s="61"/>
      <c r="AJ1067" s="58"/>
      <c r="AK1067" s="58"/>
      <c r="AL1067" s="58"/>
      <c r="AM1067" s="58"/>
      <c r="AN1067" s="58"/>
      <c r="AO1067" s="58"/>
    </row>
    <row r="1068" spans="1:41" x14ac:dyDescent="0.2">
      <c r="A1068" s="49"/>
      <c r="B1068" s="50"/>
      <c r="C1068" s="51"/>
      <c r="D1068" s="49"/>
      <c r="E1068" s="49"/>
      <c r="F1068" s="52"/>
      <c r="G1068" s="53"/>
      <c r="H1068" s="54"/>
      <c r="I1068" s="55"/>
      <c r="J1068" s="53"/>
      <c r="K1068" s="53"/>
      <c r="L1068" s="53"/>
      <c r="M1068" s="56"/>
      <c r="N1068" s="53"/>
      <c r="O1068" s="57"/>
      <c r="P1068" s="58"/>
      <c r="Q1068" s="53"/>
      <c r="R1068" s="53"/>
      <c r="S1068" s="53"/>
      <c r="T1068" s="59"/>
      <c r="U1068" s="59"/>
      <c r="V1068" s="53"/>
      <c r="W1068" s="53"/>
      <c r="X1068" s="53"/>
      <c r="Z1068" s="60"/>
      <c r="AA1068" s="58"/>
      <c r="AB1068" s="58"/>
      <c r="AC1068" s="61"/>
      <c r="AD1068" s="53"/>
      <c r="AE1068" s="56"/>
      <c r="AF1068" s="56"/>
      <c r="AG1068" s="62"/>
      <c r="AH1068" s="63"/>
      <c r="AI1068" s="61"/>
      <c r="AJ1068" s="58"/>
      <c r="AK1068" s="58"/>
      <c r="AL1068" s="58"/>
      <c r="AM1068" s="58"/>
      <c r="AN1068" s="58"/>
      <c r="AO1068" s="58"/>
    </row>
    <row r="1069" spans="1:41" x14ac:dyDescent="0.2">
      <c r="A1069" s="49"/>
      <c r="B1069" s="50"/>
      <c r="C1069" s="51"/>
      <c r="D1069" s="49"/>
      <c r="E1069" s="49"/>
      <c r="F1069" s="52"/>
      <c r="G1069" s="53"/>
      <c r="H1069" s="54"/>
      <c r="I1069" s="55"/>
      <c r="J1069" s="53"/>
      <c r="K1069" s="53"/>
      <c r="L1069" s="53"/>
      <c r="M1069" s="56"/>
      <c r="N1069" s="53"/>
      <c r="O1069" s="57"/>
      <c r="P1069" s="58"/>
      <c r="Q1069" s="53"/>
      <c r="R1069" s="53"/>
      <c r="S1069" s="53"/>
      <c r="T1069" s="59"/>
      <c r="U1069" s="59"/>
      <c r="V1069" s="53"/>
      <c r="W1069" s="53"/>
      <c r="X1069" s="53"/>
      <c r="Z1069" s="60"/>
      <c r="AA1069" s="58"/>
      <c r="AB1069" s="58"/>
      <c r="AC1069" s="61"/>
      <c r="AD1069" s="53"/>
      <c r="AE1069" s="56"/>
      <c r="AF1069" s="56"/>
      <c r="AG1069" s="62"/>
      <c r="AH1069" s="63"/>
      <c r="AI1069" s="61"/>
      <c r="AJ1069" s="58"/>
      <c r="AK1069" s="58"/>
      <c r="AL1069" s="58"/>
      <c r="AM1069" s="58"/>
      <c r="AN1069" s="58"/>
      <c r="AO1069" s="58"/>
    </row>
    <row r="1070" spans="1:41" x14ac:dyDescent="0.2">
      <c r="A1070" s="49"/>
      <c r="B1070" s="50"/>
      <c r="C1070" s="51"/>
      <c r="D1070" s="49"/>
      <c r="E1070" s="49"/>
      <c r="F1070" s="52"/>
      <c r="G1070" s="53"/>
      <c r="H1070" s="54"/>
      <c r="I1070" s="55"/>
      <c r="J1070" s="53"/>
      <c r="K1070" s="53"/>
      <c r="L1070" s="53"/>
      <c r="M1070" s="56"/>
      <c r="N1070" s="53"/>
      <c r="O1070" s="57"/>
      <c r="P1070" s="58"/>
      <c r="Q1070" s="53"/>
      <c r="R1070" s="53"/>
      <c r="S1070" s="53"/>
      <c r="T1070" s="59"/>
      <c r="U1070" s="59"/>
      <c r="V1070" s="53"/>
      <c r="W1070" s="53"/>
      <c r="X1070" s="53"/>
      <c r="Z1070" s="60"/>
      <c r="AA1070" s="58"/>
      <c r="AB1070" s="58"/>
      <c r="AC1070" s="61"/>
      <c r="AD1070" s="53"/>
      <c r="AE1070" s="56"/>
      <c r="AF1070" s="56"/>
      <c r="AG1070" s="62"/>
      <c r="AH1070" s="63"/>
      <c r="AI1070" s="61"/>
      <c r="AJ1070" s="58"/>
      <c r="AK1070" s="58"/>
      <c r="AL1070" s="58"/>
      <c r="AM1070" s="58"/>
      <c r="AN1070" s="58"/>
      <c r="AO1070" s="58"/>
    </row>
    <row r="1071" spans="1:41" x14ac:dyDescent="0.2">
      <c r="A1071" s="49"/>
      <c r="B1071" s="50"/>
      <c r="C1071" s="51"/>
      <c r="D1071" s="49"/>
      <c r="E1071" s="49"/>
      <c r="F1071" s="52"/>
      <c r="G1071" s="53"/>
      <c r="H1071" s="54"/>
      <c r="I1071" s="55"/>
      <c r="J1071" s="53"/>
      <c r="K1071" s="53"/>
      <c r="L1071" s="53"/>
      <c r="M1071" s="56"/>
      <c r="N1071" s="53"/>
      <c r="O1071" s="58"/>
      <c r="P1071" s="57"/>
      <c r="Q1071" s="53"/>
      <c r="R1071" s="53"/>
      <c r="S1071" s="53"/>
      <c r="T1071" s="59"/>
      <c r="U1071" s="59"/>
      <c r="V1071" s="53"/>
      <c r="W1071" s="53"/>
      <c r="X1071" s="53"/>
      <c r="Z1071" s="60"/>
      <c r="AA1071" s="58"/>
      <c r="AB1071" s="58"/>
      <c r="AC1071" s="61"/>
      <c r="AD1071" s="53"/>
      <c r="AE1071" s="56"/>
      <c r="AF1071" s="56"/>
      <c r="AG1071" s="62"/>
      <c r="AH1071" s="63"/>
      <c r="AI1071" s="61"/>
      <c r="AJ1071" s="58"/>
      <c r="AK1071" s="58"/>
      <c r="AL1071" s="58"/>
      <c r="AM1071" s="58"/>
      <c r="AN1071" s="58"/>
      <c r="AO1071" s="58"/>
    </row>
    <row r="1072" spans="1:41" x14ac:dyDescent="0.2">
      <c r="A1072" s="49"/>
      <c r="B1072" s="50"/>
      <c r="C1072" s="51"/>
      <c r="D1072" s="49"/>
      <c r="E1072" s="49"/>
      <c r="F1072" s="52"/>
      <c r="G1072" s="53"/>
      <c r="H1072" s="54"/>
      <c r="I1072" s="55"/>
      <c r="J1072" s="53"/>
      <c r="K1072" s="53"/>
      <c r="L1072" s="53"/>
      <c r="M1072" s="56"/>
      <c r="N1072" s="53"/>
      <c r="O1072" s="57"/>
      <c r="P1072" s="57"/>
      <c r="Q1072" s="53"/>
      <c r="R1072" s="53"/>
      <c r="S1072" s="53"/>
      <c r="T1072" s="59"/>
      <c r="U1072" s="59"/>
      <c r="V1072" s="53"/>
      <c r="W1072" s="53"/>
      <c r="X1072" s="53"/>
      <c r="Z1072" s="60"/>
      <c r="AA1072" s="58"/>
      <c r="AB1072" s="58"/>
      <c r="AC1072" s="61"/>
      <c r="AD1072" s="53"/>
      <c r="AE1072" s="56"/>
      <c r="AF1072" s="56"/>
      <c r="AG1072" s="62"/>
      <c r="AH1072" s="63"/>
      <c r="AI1072" s="61"/>
      <c r="AJ1072" s="58"/>
      <c r="AK1072" s="58"/>
      <c r="AL1072" s="58"/>
      <c r="AM1072" s="58"/>
      <c r="AN1072" s="58"/>
      <c r="AO1072" s="58"/>
    </row>
    <row r="1073" spans="1:41" x14ac:dyDescent="0.2">
      <c r="A1073" s="49"/>
      <c r="B1073" s="50"/>
      <c r="C1073" s="51"/>
      <c r="D1073" s="49"/>
      <c r="E1073" s="49"/>
      <c r="F1073" s="52"/>
      <c r="G1073" s="53"/>
      <c r="H1073" s="54"/>
      <c r="I1073" s="55"/>
      <c r="J1073" s="53"/>
      <c r="K1073" s="53"/>
      <c r="L1073" s="53"/>
      <c r="M1073" s="56"/>
      <c r="N1073" s="53"/>
      <c r="O1073" s="57"/>
      <c r="P1073" s="58"/>
      <c r="Q1073" s="53"/>
      <c r="R1073" s="53"/>
      <c r="S1073" s="53"/>
      <c r="T1073" s="59"/>
      <c r="U1073" s="59"/>
      <c r="V1073" s="53"/>
      <c r="W1073" s="53"/>
      <c r="X1073" s="53"/>
      <c r="Z1073" s="60"/>
      <c r="AA1073" s="58"/>
      <c r="AB1073" s="58"/>
      <c r="AC1073" s="61"/>
      <c r="AD1073" s="53"/>
      <c r="AE1073" s="56"/>
      <c r="AF1073" s="56"/>
      <c r="AG1073" s="62"/>
      <c r="AH1073" s="63"/>
      <c r="AI1073" s="61"/>
      <c r="AJ1073" s="58"/>
      <c r="AK1073" s="58"/>
      <c r="AL1073" s="58"/>
      <c r="AM1073" s="58"/>
      <c r="AN1073" s="58"/>
      <c r="AO1073" s="58"/>
    </row>
    <row r="1074" spans="1:41" x14ac:dyDescent="0.2">
      <c r="A1074" s="49"/>
      <c r="B1074" s="50"/>
      <c r="C1074" s="51"/>
      <c r="D1074" s="49"/>
      <c r="E1074" s="49"/>
      <c r="F1074" s="52"/>
      <c r="G1074" s="53"/>
      <c r="H1074" s="54"/>
      <c r="I1074" s="55"/>
      <c r="J1074" s="53"/>
      <c r="K1074" s="53"/>
      <c r="L1074" s="53"/>
      <c r="M1074" s="56"/>
      <c r="N1074" s="53"/>
      <c r="O1074" s="57"/>
      <c r="P1074" s="58"/>
      <c r="Q1074" s="53"/>
      <c r="R1074" s="53"/>
      <c r="S1074" s="53"/>
      <c r="T1074" s="59"/>
      <c r="U1074" s="59"/>
      <c r="V1074" s="53"/>
      <c r="W1074" s="53"/>
      <c r="X1074" s="53"/>
      <c r="Z1074" s="60"/>
      <c r="AA1074" s="58"/>
      <c r="AB1074" s="58"/>
      <c r="AC1074" s="61"/>
      <c r="AD1074" s="53"/>
      <c r="AE1074" s="56"/>
      <c r="AF1074" s="56"/>
      <c r="AG1074" s="62"/>
      <c r="AH1074" s="63"/>
      <c r="AI1074" s="61"/>
      <c r="AJ1074" s="58"/>
      <c r="AK1074" s="58"/>
      <c r="AL1074" s="58"/>
      <c r="AM1074" s="58"/>
      <c r="AN1074" s="58"/>
      <c r="AO1074" s="58"/>
    </row>
    <row r="1075" spans="1:41" x14ac:dyDescent="0.2">
      <c r="A1075" s="49"/>
      <c r="B1075" s="50"/>
      <c r="C1075" s="51"/>
      <c r="D1075" s="49"/>
      <c r="E1075" s="49"/>
      <c r="F1075" s="52"/>
      <c r="G1075" s="53"/>
      <c r="H1075" s="54"/>
      <c r="I1075" s="55"/>
      <c r="J1075" s="53"/>
      <c r="K1075" s="53"/>
      <c r="L1075" s="53"/>
      <c r="M1075" s="56"/>
      <c r="N1075" s="53"/>
      <c r="O1075" s="57"/>
      <c r="P1075" s="58"/>
      <c r="Q1075" s="53"/>
      <c r="R1075" s="53"/>
      <c r="S1075" s="53"/>
      <c r="T1075" s="59"/>
      <c r="U1075" s="59"/>
      <c r="V1075" s="53"/>
      <c r="W1075" s="53"/>
      <c r="X1075" s="53"/>
      <c r="Z1075" s="60"/>
      <c r="AA1075" s="58"/>
      <c r="AB1075" s="58"/>
      <c r="AC1075" s="61"/>
      <c r="AD1075" s="53"/>
      <c r="AE1075" s="56"/>
      <c r="AF1075" s="56"/>
      <c r="AG1075" s="62"/>
      <c r="AH1075" s="63"/>
      <c r="AI1075" s="61"/>
      <c r="AJ1075" s="58"/>
      <c r="AK1075" s="58"/>
      <c r="AL1075" s="58"/>
      <c r="AM1075" s="58"/>
      <c r="AN1075" s="58"/>
      <c r="AO1075" s="58"/>
    </row>
    <row r="1076" spans="1:41" x14ac:dyDescent="0.2">
      <c r="A1076" s="49"/>
      <c r="B1076" s="50"/>
      <c r="C1076" s="51"/>
      <c r="D1076" s="49"/>
      <c r="E1076" s="49"/>
      <c r="F1076" s="52"/>
      <c r="G1076" s="53"/>
      <c r="H1076" s="54"/>
      <c r="I1076" s="55"/>
      <c r="J1076" s="53"/>
      <c r="K1076" s="53"/>
      <c r="L1076" s="53"/>
      <c r="M1076" s="56"/>
      <c r="N1076" s="53"/>
      <c r="O1076" s="58"/>
      <c r="P1076" s="57"/>
      <c r="Q1076" s="53"/>
      <c r="R1076" s="53"/>
      <c r="S1076" s="53"/>
      <c r="T1076" s="59"/>
      <c r="U1076" s="59"/>
      <c r="V1076" s="53"/>
      <c r="W1076" s="53"/>
      <c r="X1076" s="53"/>
      <c r="Z1076" s="60"/>
      <c r="AA1076" s="58"/>
      <c r="AB1076" s="58"/>
      <c r="AC1076" s="61"/>
      <c r="AD1076" s="53"/>
      <c r="AE1076" s="56"/>
      <c r="AF1076" s="56"/>
      <c r="AG1076" s="62"/>
      <c r="AH1076" s="63"/>
      <c r="AI1076" s="61"/>
      <c r="AJ1076" s="58"/>
      <c r="AK1076" s="58"/>
      <c r="AL1076" s="58"/>
      <c r="AM1076" s="58"/>
      <c r="AN1076" s="58"/>
      <c r="AO1076" s="58"/>
    </row>
    <row r="1077" spans="1:41" x14ac:dyDescent="0.2">
      <c r="A1077" s="49"/>
      <c r="B1077" s="50"/>
      <c r="C1077" s="51"/>
      <c r="D1077" s="49"/>
      <c r="E1077" s="49"/>
      <c r="F1077" s="52"/>
      <c r="G1077" s="53"/>
      <c r="H1077" s="54"/>
      <c r="I1077" s="55"/>
      <c r="J1077" s="53"/>
      <c r="K1077" s="53"/>
      <c r="L1077" s="53"/>
      <c r="M1077" s="56"/>
      <c r="N1077" s="53"/>
      <c r="O1077" s="57"/>
      <c r="P1077" s="57"/>
      <c r="Q1077" s="53"/>
      <c r="R1077" s="53"/>
      <c r="S1077" s="53"/>
      <c r="T1077" s="59"/>
      <c r="U1077" s="59"/>
      <c r="V1077" s="53"/>
      <c r="W1077" s="53"/>
      <c r="X1077" s="53"/>
      <c r="Z1077" s="60"/>
      <c r="AA1077" s="58"/>
      <c r="AB1077" s="58"/>
      <c r="AC1077" s="61"/>
      <c r="AD1077" s="53"/>
      <c r="AE1077" s="56"/>
      <c r="AF1077" s="56"/>
      <c r="AG1077" s="62"/>
      <c r="AH1077" s="63"/>
      <c r="AI1077" s="61"/>
      <c r="AJ1077" s="58"/>
      <c r="AK1077" s="58"/>
      <c r="AL1077" s="58"/>
      <c r="AM1077" s="58"/>
      <c r="AN1077" s="58"/>
      <c r="AO1077" s="58"/>
    </row>
    <row r="1078" spans="1:41" x14ac:dyDescent="0.2">
      <c r="A1078" s="49"/>
      <c r="B1078" s="50"/>
      <c r="C1078" s="51"/>
      <c r="D1078" s="49"/>
      <c r="E1078" s="49"/>
      <c r="F1078" s="52"/>
      <c r="G1078" s="53"/>
      <c r="H1078" s="54"/>
      <c r="I1078" s="55"/>
      <c r="J1078" s="53"/>
      <c r="K1078" s="53"/>
      <c r="L1078" s="53"/>
      <c r="M1078" s="56"/>
      <c r="N1078" s="53"/>
      <c r="O1078" s="57"/>
      <c r="P1078" s="58"/>
      <c r="Q1078" s="53"/>
      <c r="R1078" s="53"/>
      <c r="S1078" s="53"/>
      <c r="T1078" s="59"/>
      <c r="U1078" s="59"/>
      <c r="V1078" s="53"/>
      <c r="W1078" s="53"/>
      <c r="X1078" s="53"/>
      <c r="Z1078" s="60"/>
      <c r="AA1078" s="58"/>
      <c r="AB1078" s="58"/>
      <c r="AC1078" s="61"/>
      <c r="AD1078" s="53"/>
      <c r="AE1078" s="56"/>
      <c r="AF1078" s="56"/>
      <c r="AG1078" s="62"/>
      <c r="AH1078" s="63"/>
      <c r="AI1078" s="61"/>
      <c r="AJ1078" s="58"/>
      <c r="AK1078" s="58"/>
      <c r="AL1078" s="58"/>
      <c r="AM1078" s="58"/>
      <c r="AN1078" s="58"/>
      <c r="AO1078" s="58"/>
    </row>
    <row r="1079" spans="1:41" x14ac:dyDescent="0.2">
      <c r="A1079" s="49"/>
      <c r="B1079" s="50"/>
      <c r="C1079" s="51"/>
      <c r="D1079" s="49"/>
      <c r="E1079" s="49"/>
      <c r="F1079" s="52"/>
      <c r="G1079" s="53"/>
      <c r="H1079" s="54"/>
      <c r="I1079" s="55"/>
      <c r="J1079" s="53"/>
      <c r="K1079" s="53"/>
      <c r="L1079" s="53"/>
      <c r="M1079" s="56"/>
      <c r="N1079" s="53"/>
      <c r="O1079" s="57"/>
      <c r="P1079" s="58"/>
      <c r="Q1079" s="53"/>
      <c r="R1079" s="53"/>
      <c r="S1079" s="53"/>
      <c r="T1079" s="59"/>
      <c r="U1079" s="59"/>
      <c r="V1079" s="53"/>
      <c r="W1079" s="53"/>
      <c r="X1079" s="53"/>
      <c r="Z1079" s="60"/>
      <c r="AA1079" s="58"/>
      <c r="AB1079" s="58"/>
      <c r="AC1079" s="61"/>
      <c r="AD1079" s="53"/>
      <c r="AE1079" s="56"/>
      <c r="AF1079" s="56"/>
      <c r="AG1079" s="62"/>
      <c r="AH1079" s="63"/>
      <c r="AI1079" s="61"/>
      <c r="AJ1079" s="58"/>
      <c r="AK1079" s="58"/>
      <c r="AL1079" s="58"/>
      <c r="AM1079" s="58"/>
      <c r="AN1079" s="58"/>
      <c r="AO1079" s="58"/>
    </row>
    <row r="1080" spans="1:41" x14ac:dyDescent="0.2">
      <c r="A1080" s="49"/>
      <c r="B1080" s="50"/>
      <c r="C1080" s="51"/>
      <c r="D1080" s="49"/>
      <c r="E1080" s="49"/>
      <c r="F1080" s="52"/>
      <c r="G1080" s="53"/>
      <c r="H1080" s="54"/>
      <c r="I1080" s="55"/>
      <c r="J1080" s="53"/>
      <c r="K1080" s="53"/>
      <c r="L1080" s="53"/>
      <c r="M1080" s="56"/>
      <c r="N1080" s="53"/>
      <c r="O1080" s="57"/>
      <c r="P1080" s="57"/>
      <c r="Q1080" s="53"/>
      <c r="R1080" s="53"/>
      <c r="S1080" s="53"/>
      <c r="T1080" s="59"/>
      <c r="U1080" s="59"/>
      <c r="V1080" s="53"/>
      <c r="W1080" s="53"/>
      <c r="X1080" s="53"/>
      <c r="Z1080" s="60"/>
      <c r="AA1080" s="58"/>
      <c r="AB1080" s="58"/>
      <c r="AC1080" s="61"/>
      <c r="AD1080" s="53"/>
      <c r="AE1080" s="56"/>
      <c r="AF1080" s="56"/>
      <c r="AG1080" s="62"/>
      <c r="AH1080" s="63"/>
      <c r="AI1080" s="61"/>
      <c r="AJ1080" s="58"/>
      <c r="AK1080" s="58"/>
      <c r="AL1080" s="58"/>
      <c r="AM1080" s="58"/>
      <c r="AN1080" s="58"/>
      <c r="AO1080" s="58"/>
    </row>
    <row r="1081" spans="1:41" x14ac:dyDescent="0.2">
      <c r="A1081" s="49"/>
      <c r="B1081" s="50"/>
      <c r="C1081" s="51"/>
      <c r="D1081" s="49"/>
      <c r="E1081" s="49"/>
      <c r="F1081" s="52"/>
      <c r="G1081" s="53"/>
      <c r="H1081" s="54"/>
      <c r="I1081" s="55"/>
      <c r="J1081" s="53"/>
      <c r="K1081" s="53"/>
      <c r="L1081" s="53"/>
      <c r="M1081" s="56"/>
      <c r="N1081" s="53"/>
      <c r="O1081" s="57"/>
      <c r="P1081" s="57"/>
      <c r="Q1081" s="53"/>
      <c r="R1081" s="53"/>
      <c r="S1081" s="53"/>
      <c r="T1081" s="59"/>
      <c r="U1081" s="59"/>
      <c r="V1081" s="53"/>
      <c r="W1081" s="53"/>
      <c r="X1081" s="53"/>
      <c r="Z1081" s="60"/>
      <c r="AA1081" s="58"/>
      <c r="AB1081" s="58"/>
      <c r="AC1081" s="61"/>
      <c r="AD1081" s="53"/>
      <c r="AE1081" s="56"/>
      <c r="AF1081" s="56"/>
      <c r="AG1081" s="62"/>
      <c r="AH1081" s="63"/>
      <c r="AI1081" s="61"/>
      <c r="AJ1081" s="58"/>
      <c r="AK1081" s="58"/>
      <c r="AL1081" s="58"/>
      <c r="AM1081" s="58"/>
      <c r="AN1081" s="58"/>
      <c r="AO1081" s="58"/>
    </row>
    <row r="1082" spans="1:41" x14ac:dyDescent="0.2">
      <c r="A1082" s="49"/>
      <c r="B1082" s="50"/>
      <c r="C1082" s="51"/>
      <c r="D1082" s="49"/>
      <c r="E1082" s="49"/>
      <c r="F1082" s="52"/>
      <c r="G1082" s="53"/>
      <c r="H1082" s="54"/>
      <c r="I1082" s="55"/>
      <c r="J1082" s="53"/>
      <c r="K1082" s="53"/>
      <c r="L1082" s="53"/>
      <c r="M1082" s="56"/>
      <c r="N1082" s="53"/>
      <c r="O1082" s="57"/>
      <c r="P1082" s="57"/>
      <c r="Q1082" s="53"/>
      <c r="R1082" s="53"/>
      <c r="S1082" s="53"/>
      <c r="T1082" s="59"/>
      <c r="U1082" s="59"/>
      <c r="V1082" s="53"/>
      <c r="W1082" s="53"/>
      <c r="X1082" s="53"/>
      <c r="Z1082" s="60"/>
      <c r="AA1082" s="58"/>
      <c r="AB1082" s="58"/>
      <c r="AC1082" s="61"/>
      <c r="AD1082" s="53"/>
      <c r="AE1082" s="56"/>
      <c r="AF1082" s="56"/>
      <c r="AG1082" s="62"/>
      <c r="AH1082" s="63"/>
      <c r="AI1082" s="61"/>
      <c r="AJ1082" s="58"/>
      <c r="AK1082" s="58"/>
      <c r="AL1082" s="58"/>
      <c r="AM1082" s="58"/>
      <c r="AN1082" s="58"/>
      <c r="AO1082" s="58"/>
    </row>
    <row r="1083" spans="1:41" x14ac:dyDescent="0.2">
      <c r="A1083" s="49"/>
      <c r="B1083" s="50"/>
      <c r="C1083" s="51"/>
      <c r="D1083" s="49"/>
      <c r="E1083" s="49"/>
      <c r="F1083" s="52"/>
      <c r="G1083" s="53"/>
      <c r="H1083" s="54"/>
      <c r="I1083" s="55"/>
      <c r="J1083" s="53"/>
      <c r="K1083" s="53"/>
      <c r="L1083" s="53"/>
      <c r="M1083" s="56"/>
      <c r="N1083" s="53"/>
      <c r="O1083" s="57"/>
      <c r="P1083" s="58"/>
      <c r="Q1083" s="53"/>
      <c r="R1083" s="53"/>
      <c r="S1083" s="53"/>
      <c r="T1083" s="59"/>
      <c r="U1083" s="59"/>
      <c r="V1083" s="53"/>
      <c r="W1083" s="53"/>
      <c r="X1083" s="53"/>
      <c r="Z1083" s="60"/>
      <c r="AA1083" s="58"/>
      <c r="AB1083" s="58"/>
      <c r="AC1083" s="61"/>
      <c r="AD1083" s="53"/>
      <c r="AE1083" s="56"/>
      <c r="AF1083" s="56"/>
      <c r="AG1083" s="62"/>
      <c r="AH1083" s="63"/>
      <c r="AI1083" s="61"/>
      <c r="AJ1083" s="58"/>
      <c r="AK1083" s="58"/>
      <c r="AL1083" s="58"/>
      <c r="AM1083" s="58"/>
      <c r="AN1083" s="58"/>
      <c r="AO1083" s="58"/>
    </row>
    <row r="1084" spans="1:41" x14ac:dyDescent="0.2">
      <c r="A1084" s="49"/>
      <c r="B1084" s="50"/>
      <c r="C1084" s="51"/>
      <c r="D1084" s="49"/>
      <c r="E1084" s="49"/>
      <c r="F1084" s="52"/>
      <c r="G1084" s="53"/>
      <c r="H1084" s="54"/>
      <c r="I1084" s="55"/>
      <c r="J1084" s="53"/>
      <c r="K1084" s="53"/>
      <c r="L1084" s="53"/>
      <c r="M1084" s="56"/>
      <c r="N1084" s="53"/>
      <c r="O1084" s="57"/>
      <c r="P1084" s="58"/>
      <c r="Q1084" s="53"/>
      <c r="R1084" s="53"/>
      <c r="S1084" s="53"/>
      <c r="T1084" s="59"/>
      <c r="U1084" s="59"/>
      <c r="V1084" s="53"/>
      <c r="W1084" s="53"/>
      <c r="X1084" s="53"/>
      <c r="Z1084" s="60"/>
      <c r="AA1084" s="58"/>
      <c r="AB1084" s="58"/>
      <c r="AC1084" s="61"/>
      <c r="AD1084" s="53"/>
      <c r="AE1084" s="56"/>
      <c r="AF1084" s="56"/>
      <c r="AG1084" s="62"/>
      <c r="AH1084" s="63"/>
      <c r="AI1084" s="61"/>
      <c r="AJ1084" s="58"/>
      <c r="AK1084" s="58"/>
      <c r="AL1084" s="58"/>
      <c r="AM1084" s="58"/>
      <c r="AN1084" s="58"/>
      <c r="AO1084" s="58"/>
    </row>
    <row r="1085" spans="1:41" x14ac:dyDescent="0.2">
      <c r="A1085" s="49"/>
      <c r="B1085" s="50"/>
      <c r="C1085" s="51"/>
      <c r="D1085" s="49"/>
      <c r="E1085" s="49"/>
      <c r="F1085" s="52"/>
      <c r="G1085" s="53"/>
      <c r="H1085" s="54"/>
      <c r="I1085" s="55"/>
      <c r="J1085" s="53"/>
      <c r="K1085" s="53"/>
      <c r="L1085" s="53"/>
      <c r="M1085" s="56"/>
      <c r="N1085" s="53"/>
      <c r="O1085" s="57"/>
      <c r="P1085" s="57"/>
      <c r="Q1085" s="53"/>
      <c r="R1085" s="53"/>
      <c r="S1085" s="53"/>
      <c r="T1085" s="59"/>
      <c r="U1085" s="59"/>
      <c r="V1085" s="53"/>
      <c r="W1085" s="53"/>
      <c r="X1085" s="53"/>
      <c r="Z1085" s="60"/>
      <c r="AA1085" s="58"/>
      <c r="AB1085" s="58"/>
      <c r="AC1085" s="61"/>
      <c r="AD1085" s="53"/>
      <c r="AE1085" s="56"/>
      <c r="AF1085" s="56"/>
      <c r="AG1085" s="62"/>
      <c r="AH1085" s="63"/>
      <c r="AI1085" s="61"/>
      <c r="AJ1085" s="58"/>
      <c r="AK1085" s="58"/>
      <c r="AL1085" s="58"/>
      <c r="AM1085" s="58"/>
      <c r="AN1085" s="58"/>
      <c r="AO1085" s="58"/>
    </row>
    <row r="1086" spans="1:41" x14ac:dyDescent="0.2">
      <c r="A1086" s="49"/>
      <c r="B1086" s="50"/>
      <c r="C1086" s="51"/>
      <c r="D1086" s="49"/>
      <c r="E1086" s="49"/>
      <c r="F1086" s="52"/>
      <c r="G1086" s="53"/>
      <c r="H1086" s="54"/>
      <c r="I1086" s="55"/>
      <c r="J1086" s="53"/>
      <c r="K1086" s="53"/>
      <c r="L1086" s="53"/>
      <c r="M1086" s="56"/>
      <c r="N1086" s="53"/>
      <c r="O1086" s="57"/>
      <c r="P1086" s="57"/>
      <c r="Q1086" s="53"/>
      <c r="R1086" s="53"/>
      <c r="S1086" s="53"/>
      <c r="T1086" s="59"/>
      <c r="U1086" s="59"/>
      <c r="V1086" s="53"/>
      <c r="W1086" s="53"/>
      <c r="X1086" s="53"/>
      <c r="Z1086" s="60"/>
      <c r="AA1086" s="58"/>
      <c r="AB1086" s="58"/>
      <c r="AC1086" s="61"/>
      <c r="AD1086" s="53"/>
      <c r="AE1086" s="56"/>
      <c r="AF1086" s="56"/>
      <c r="AG1086" s="62"/>
      <c r="AH1086" s="63"/>
      <c r="AI1086" s="61"/>
      <c r="AJ1086" s="58"/>
      <c r="AK1086" s="58"/>
      <c r="AL1086" s="58"/>
      <c r="AM1086" s="58"/>
      <c r="AN1086" s="58"/>
      <c r="AO1086" s="58"/>
    </row>
    <row r="1087" spans="1:41" x14ac:dyDescent="0.2">
      <c r="A1087" s="49"/>
      <c r="B1087" s="50"/>
      <c r="C1087" s="51"/>
      <c r="D1087" s="49"/>
      <c r="E1087" s="49"/>
      <c r="F1087" s="52"/>
      <c r="G1087" s="53"/>
      <c r="H1087" s="54"/>
      <c r="I1087" s="55"/>
      <c r="J1087" s="53"/>
      <c r="K1087" s="53"/>
      <c r="L1087" s="53"/>
      <c r="M1087" s="56"/>
      <c r="N1087" s="53"/>
      <c r="O1087" s="58"/>
      <c r="P1087" s="57"/>
      <c r="Q1087" s="53"/>
      <c r="R1087" s="53"/>
      <c r="S1087" s="53"/>
      <c r="T1087" s="59"/>
      <c r="U1087" s="59"/>
      <c r="V1087" s="53"/>
      <c r="W1087" s="53"/>
      <c r="X1087" s="53"/>
      <c r="Z1087" s="60"/>
      <c r="AA1087" s="58"/>
      <c r="AB1087" s="58"/>
      <c r="AC1087" s="61"/>
      <c r="AD1087" s="53"/>
      <c r="AE1087" s="56"/>
      <c r="AF1087" s="56"/>
      <c r="AG1087" s="62"/>
      <c r="AH1087" s="63"/>
      <c r="AI1087" s="61"/>
      <c r="AJ1087" s="58"/>
      <c r="AK1087" s="58"/>
      <c r="AL1087" s="58"/>
      <c r="AM1087" s="58"/>
      <c r="AN1087" s="58"/>
      <c r="AO1087" s="58"/>
    </row>
    <row r="1088" spans="1:41" x14ac:dyDescent="0.2">
      <c r="A1088" s="49"/>
      <c r="B1088" s="50"/>
      <c r="C1088" s="51"/>
      <c r="D1088" s="49"/>
      <c r="E1088" s="49"/>
      <c r="F1088" s="52"/>
      <c r="G1088" s="53"/>
      <c r="H1088" s="54"/>
      <c r="I1088" s="55"/>
      <c r="J1088" s="53"/>
      <c r="K1088" s="53"/>
      <c r="L1088" s="53"/>
      <c r="M1088" s="56"/>
      <c r="N1088" s="53"/>
      <c r="O1088" s="57"/>
      <c r="P1088" s="57"/>
      <c r="Q1088" s="53"/>
      <c r="R1088" s="53"/>
      <c r="S1088" s="53"/>
      <c r="T1088" s="59"/>
      <c r="U1088" s="59"/>
      <c r="V1088" s="53"/>
      <c r="W1088" s="53"/>
      <c r="X1088" s="53"/>
      <c r="Z1088" s="60"/>
      <c r="AA1088" s="58"/>
      <c r="AB1088" s="58"/>
      <c r="AC1088" s="61"/>
      <c r="AD1088" s="53"/>
      <c r="AE1088" s="56"/>
      <c r="AF1088" s="56"/>
      <c r="AG1088" s="62"/>
      <c r="AH1088" s="63"/>
      <c r="AI1088" s="61"/>
      <c r="AJ1088" s="58"/>
      <c r="AK1088" s="58"/>
      <c r="AL1088" s="58"/>
      <c r="AM1088" s="58"/>
      <c r="AN1088" s="58"/>
      <c r="AO1088" s="58"/>
    </row>
    <row r="1089" spans="1:41" x14ac:dyDescent="0.2">
      <c r="A1089" s="49"/>
      <c r="B1089" s="50"/>
      <c r="C1089" s="51"/>
      <c r="D1089" s="49"/>
      <c r="E1089" s="49"/>
      <c r="F1089" s="52"/>
      <c r="G1089" s="53"/>
      <c r="H1089" s="54"/>
      <c r="I1089" s="55"/>
      <c r="J1089" s="53"/>
      <c r="K1089" s="53"/>
      <c r="L1089" s="53"/>
      <c r="M1089" s="56"/>
      <c r="N1089" s="53"/>
      <c r="O1089" s="57"/>
      <c r="P1089" s="58"/>
      <c r="Q1089" s="53"/>
      <c r="R1089" s="53"/>
      <c r="S1089" s="53"/>
      <c r="T1089" s="59"/>
      <c r="U1089" s="59"/>
      <c r="V1089" s="53"/>
      <c r="W1089" s="53"/>
      <c r="X1089" s="53"/>
      <c r="Z1089" s="60"/>
      <c r="AA1089" s="58"/>
      <c r="AB1089" s="58"/>
      <c r="AC1089" s="61"/>
      <c r="AD1089" s="53"/>
      <c r="AE1089" s="56"/>
      <c r="AF1089" s="56"/>
      <c r="AG1089" s="62"/>
      <c r="AH1089" s="63"/>
      <c r="AI1089" s="61"/>
      <c r="AJ1089" s="58"/>
      <c r="AK1089" s="58"/>
      <c r="AL1089" s="58"/>
      <c r="AM1089" s="58"/>
      <c r="AN1089" s="58"/>
      <c r="AO1089" s="58"/>
    </row>
    <row r="1090" spans="1:41" x14ac:dyDescent="0.2">
      <c r="A1090" s="49"/>
      <c r="B1090" s="50"/>
      <c r="C1090" s="51"/>
      <c r="D1090" s="49"/>
      <c r="E1090" s="49"/>
      <c r="F1090" s="52"/>
      <c r="G1090" s="53"/>
      <c r="H1090" s="54"/>
      <c r="I1090" s="55"/>
      <c r="J1090" s="53"/>
      <c r="K1090" s="53"/>
      <c r="L1090" s="53"/>
      <c r="M1090" s="56"/>
      <c r="N1090" s="53"/>
      <c r="O1090" s="57"/>
      <c r="P1090" s="57"/>
      <c r="Q1090" s="53"/>
      <c r="R1090" s="53"/>
      <c r="S1090" s="53"/>
      <c r="T1090" s="59"/>
      <c r="U1090" s="59"/>
      <c r="V1090" s="53"/>
      <c r="W1090" s="53"/>
      <c r="X1090" s="53"/>
      <c r="Z1090" s="60"/>
      <c r="AA1090" s="58"/>
      <c r="AB1090" s="58"/>
      <c r="AC1090" s="61"/>
      <c r="AD1090" s="53"/>
      <c r="AE1090" s="56"/>
      <c r="AF1090" s="56"/>
      <c r="AG1090" s="62"/>
      <c r="AH1090" s="63"/>
      <c r="AI1090" s="61"/>
      <c r="AJ1090" s="58"/>
      <c r="AK1090" s="58"/>
      <c r="AL1090" s="58"/>
      <c r="AM1090" s="58"/>
      <c r="AN1090" s="58"/>
      <c r="AO1090" s="58"/>
    </row>
    <row r="1091" spans="1:41" x14ac:dyDescent="0.2">
      <c r="A1091" s="49"/>
      <c r="B1091" s="50"/>
      <c r="C1091" s="51"/>
      <c r="D1091" s="49"/>
      <c r="E1091" s="49"/>
      <c r="F1091" s="52"/>
      <c r="G1091" s="53"/>
      <c r="H1091" s="54"/>
      <c r="I1091" s="55"/>
      <c r="J1091" s="53"/>
      <c r="K1091" s="53"/>
      <c r="L1091" s="53"/>
      <c r="M1091" s="56"/>
      <c r="N1091" s="53"/>
      <c r="O1091" s="57"/>
      <c r="P1091" s="58"/>
      <c r="Q1091" s="53"/>
      <c r="R1091" s="53"/>
      <c r="S1091" s="53"/>
      <c r="T1091" s="59"/>
      <c r="U1091" s="59"/>
      <c r="V1091" s="53"/>
      <c r="W1091" s="53"/>
      <c r="X1091" s="53"/>
      <c r="Z1091" s="60"/>
      <c r="AA1091" s="58"/>
      <c r="AB1091" s="58"/>
      <c r="AC1091" s="61"/>
      <c r="AD1091" s="53"/>
      <c r="AE1091" s="56"/>
      <c r="AF1091" s="56"/>
      <c r="AG1091" s="62"/>
      <c r="AH1091" s="63"/>
      <c r="AI1091" s="61"/>
      <c r="AJ1091" s="58"/>
      <c r="AK1091" s="58"/>
      <c r="AL1091" s="58"/>
      <c r="AM1091" s="58"/>
      <c r="AN1091" s="58"/>
      <c r="AO1091" s="58"/>
    </row>
    <row r="1092" spans="1:41" x14ac:dyDescent="0.2">
      <c r="A1092" s="49"/>
      <c r="B1092" s="50"/>
      <c r="C1092" s="51"/>
      <c r="D1092" s="49"/>
      <c r="E1092" s="49"/>
      <c r="F1092" s="52"/>
      <c r="G1092" s="53"/>
      <c r="H1092" s="54"/>
      <c r="I1092" s="55"/>
      <c r="J1092" s="53"/>
      <c r="K1092" s="53"/>
      <c r="L1092" s="53"/>
      <c r="M1092" s="56"/>
      <c r="N1092" s="53"/>
      <c r="O1092" s="57"/>
      <c r="P1092" s="58"/>
      <c r="Q1092" s="53"/>
      <c r="R1092" s="53"/>
      <c r="S1092" s="53"/>
      <c r="T1092" s="59"/>
      <c r="U1092" s="59"/>
      <c r="V1092" s="53"/>
      <c r="W1092" s="53"/>
      <c r="X1092" s="53"/>
      <c r="Z1092" s="60"/>
      <c r="AA1092" s="58"/>
      <c r="AB1092" s="58"/>
      <c r="AC1092" s="61"/>
      <c r="AD1092" s="53"/>
      <c r="AE1092" s="56"/>
      <c r="AF1092" s="56"/>
      <c r="AG1092" s="62"/>
      <c r="AH1092" s="63"/>
      <c r="AI1092" s="61"/>
      <c r="AJ1092" s="58"/>
      <c r="AK1092" s="58"/>
      <c r="AL1092" s="58"/>
      <c r="AM1092" s="58"/>
      <c r="AN1092" s="58"/>
      <c r="AO1092" s="58"/>
    </row>
    <row r="1093" spans="1:41" x14ac:dyDescent="0.2">
      <c r="A1093" s="49"/>
      <c r="B1093" s="50"/>
      <c r="C1093" s="51"/>
      <c r="D1093" s="49"/>
      <c r="E1093" s="49"/>
      <c r="F1093" s="52"/>
      <c r="G1093" s="53"/>
      <c r="H1093" s="54"/>
      <c r="I1093" s="55"/>
      <c r="J1093" s="53"/>
      <c r="K1093" s="53"/>
      <c r="L1093" s="53"/>
      <c r="M1093" s="56"/>
      <c r="N1093" s="53"/>
      <c r="O1093" s="57"/>
      <c r="P1093" s="57"/>
      <c r="Q1093" s="53"/>
      <c r="R1093" s="53"/>
      <c r="S1093" s="53"/>
      <c r="T1093" s="59"/>
      <c r="U1093" s="59"/>
      <c r="V1093" s="53"/>
      <c r="W1093" s="53"/>
      <c r="X1093" s="53"/>
      <c r="Z1093" s="60"/>
      <c r="AA1093" s="58"/>
      <c r="AB1093" s="58"/>
      <c r="AC1093" s="61"/>
      <c r="AD1093" s="53"/>
      <c r="AE1093" s="56"/>
      <c r="AF1093" s="56"/>
      <c r="AG1093" s="62"/>
      <c r="AH1093" s="63"/>
      <c r="AI1093" s="61"/>
      <c r="AJ1093" s="58"/>
      <c r="AK1093" s="58"/>
      <c r="AL1093" s="58"/>
      <c r="AM1093" s="58"/>
      <c r="AN1093" s="58"/>
      <c r="AO1093" s="58"/>
    </row>
    <row r="1094" spans="1:41" x14ac:dyDescent="0.2">
      <c r="A1094" s="49"/>
      <c r="B1094" s="50"/>
      <c r="C1094" s="51"/>
      <c r="D1094" s="49"/>
      <c r="E1094" s="49"/>
      <c r="F1094" s="52"/>
      <c r="G1094" s="53"/>
      <c r="H1094" s="54"/>
      <c r="I1094" s="55"/>
      <c r="J1094" s="53"/>
      <c r="K1094" s="53"/>
      <c r="L1094" s="53"/>
      <c r="M1094" s="56"/>
      <c r="N1094" s="53"/>
      <c r="O1094" s="57"/>
      <c r="P1094" s="57"/>
      <c r="Q1094" s="53"/>
      <c r="R1094" s="53"/>
      <c r="S1094" s="53"/>
      <c r="T1094" s="59"/>
      <c r="U1094" s="59"/>
      <c r="V1094" s="53"/>
      <c r="W1094" s="53"/>
      <c r="X1094" s="53"/>
      <c r="Z1094" s="60"/>
      <c r="AA1094" s="58"/>
      <c r="AB1094" s="58"/>
      <c r="AC1094" s="61"/>
      <c r="AD1094" s="53"/>
      <c r="AE1094" s="56"/>
      <c r="AF1094" s="56"/>
      <c r="AG1094" s="62"/>
      <c r="AH1094" s="63"/>
      <c r="AI1094" s="61"/>
      <c r="AJ1094" s="58"/>
      <c r="AK1094" s="58"/>
      <c r="AL1094" s="58"/>
      <c r="AM1094" s="58"/>
      <c r="AN1094" s="58"/>
      <c r="AO1094" s="58"/>
    </row>
    <row r="1095" spans="1:41" x14ac:dyDescent="0.2">
      <c r="A1095" s="49"/>
      <c r="B1095" s="50"/>
      <c r="C1095" s="51"/>
      <c r="D1095" s="49"/>
      <c r="E1095" s="49"/>
      <c r="F1095" s="52"/>
      <c r="G1095" s="53"/>
      <c r="H1095" s="54"/>
      <c r="I1095" s="55"/>
      <c r="J1095" s="53"/>
      <c r="K1095" s="53"/>
      <c r="L1095" s="53"/>
      <c r="M1095" s="56"/>
      <c r="N1095" s="53"/>
      <c r="O1095" s="57"/>
      <c r="P1095" s="57"/>
      <c r="Q1095" s="53"/>
      <c r="R1095" s="53"/>
      <c r="S1095" s="53"/>
      <c r="T1095" s="59"/>
      <c r="U1095" s="59"/>
      <c r="V1095" s="53"/>
      <c r="W1095" s="53"/>
      <c r="X1095" s="53"/>
      <c r="Z1095" s="60"/>
      <c r="AA1095" s="58"/>
      <c r="AB1095" s="58"/>
      <c r="AC1095" s="61"/>
      <c r="AD1095" s="53"/>
      <c r="AE1095" s="56"/>
      <c r="AF1095" s="56"/>
      <c r="AG1095" s="62"/>
      <c r="AH1095" s="63"/>
      <c r="AI1095" s="61"/>
      <c r="AJ1095" s="58"/>
      <c r="AK1095" s="58"/>
      <c r="AL1095" s="58"/>
      <c r="AM1095" s="58"/>
      <c r="AN1095" s="58"/>
      <c r="AO1095" s="58"/>
    </row>
    <row r="1096" spans="1:41" x14ac:dyDescent="0.2">
      <c r="A1096" s="49"/>
      <c r="B1096" s="50"/>
      <c r="C1096" s="51"/>
      <c r="D1096" s="49"/>
      <c r="E1096" s="49"/>
      <c r="F1096" s="52"/>
      <c r="G1096" s="53"/>
      <c r="H1096" s="54"/>
      <c r="I1096" s="55"/>
      <c r="J1096" s="53"/>
      <c r="K1096" s="53"/>
      <c r="L1096" s="53"/>
      <c r="M1096" s="56"/>
      <c r="N1096" s="53"/>
      <c r="O1096" s="58"/>
      <c r="P1096" s="57"/>
      <c r="Q1096" s="53"/>
      <c r="R1096" s="53"/>
      <c r="S1096" s="53"/>
      <c r="T1096" s="59"/>
      <c r="U1096" s="59"/>
      <c r="V1096" s="53"/>
      <c r="W1096" s="53"/>
      <c r="X1096" s="53"/>
      <c r="Z1096" s="60"/>
      <c r="AA1096" s="58"/>
      <c r="AB1096" s="58"/>
      <c r="AC1096" s="61"/>
      <c r="AD1096" s="53"/>
      <c r="AE1096" s="56"/>
      <c r="AF1096" s="56"/>
      <c r="AG1096" s="62"/>
      <c r="AH1096" s="63"/>
      <c r="AI1096" s="61"/>
      <c r="AJ1096" s="58"/>
      <c r="AK1096" s="58"/>
      <c r="AL1096" s="58"/>
      <c r="AM1096" s="58"/>
      <c r="AN1096" s="58"/>
      <c r="AO1096" s="58"/>
    </row>
    <row r="1097" spans="1:41" x14ac:dyDescent="0.2">
      <c r="A1097" s="49"/>
      <c r="B1097" s="50"/>
      <c r="C1097" s="51"/>
      <c r="D1097" s="49"/>
      <c r="E1097" s="49"/>
      <c r="F1097" s="52"/>
      <c r="G1097" s="53"/>
      <c r="H1097" s="54"/>
      <c r="I1097" s="55"/>
      <c r="J1097" s="53"/>
      <c r="K1097" s="53"/>
      <c r="L1097" s="53"/>
      <c r="M1097" s="56"/>
      <c r="N1097" s="53"/>
      <c r="O1097" s="57"/>
      <c r="P1097" s="57"/>
      <c r="Q1097" s="53"/>
      <c r="R1097" s="53"/>
      <c r="S1097" s="53"/>
      <c r="T1097" s="59"/>
      <c r="U1097" s="59"/>
      <c r="V1097" s="53"/>
      <c r="W1097" s="53"/>
      <c r="X1097" s="53"/>
      <c r="Z1097" s="60"/>
      <c r="AA1097" s="58"/>
      <c r="AB1097" s="58"/>
      <c r="AC1097" s="61"/>
      <c r="AD1097" s="53"/>
      <c r="AE1097" s="56"/>
      <c r="AF1097" s="56"/>
      <c r="AG1097" s="62"/>
      <c r="AH1097" s="63"/>
      <c r="AI1097" s="61"/>
      <c r="AJ1097" s="58"/>
      <c r="AK1097" s="58"/>
      <c r="AL1097" s="58"/>
      <c r="AM1097" s="58"/>
      <c r="AN1097" s="58"/>
      <c r="AO1097" s="58"/>
    </row>
    <row r="1098" spans="1:41" x14ac:dyDescent="0.2">
      <c r="A1098" s="49"/>
      <c r="B1098" s="50"/>
      <c r="C1098" s="51"/>
      <c r="D1098" s="49"/>
      <c r="E1098" s="49"/>
      <c r="F1098" s="52"/>
      <c r="G1098" s="53"/>
      <c r="H1098" s="54"/>
      <c r="I1098" s="55"/>
      <c r="J1098" s="53"/>
      <c r="K1098" s="53"/>
      <c r="L1098" s="53"/>
      <c r="M1098" s="56"/>
      <c r="N1098" s="53"/>
      <c r="O1098" s="57"/>
      <c r="P1098" s="57"/>
      <c r="Q1098" s="53"/>
      <c r="R1098" s="53"/>
      <c r="S1098" s="53"/>
      <c r="T1098" s="59"/>
      <c r="U1098" s="59"/>
      <c r="V1098" s="53"/>
      <c r="W1098" s="53"/>
      <c r="X1098" s="53"/>
      <c r="Z1098" s="60"/>
      <c r="AA1098" s="58"/>
      <c r="AB1098" s="58"/>
      <c r="AC1098" s="61"/>
      <c r="AD1098" s="53"/>
      <c r="AE1098" s="56"/>
      <c r="AF1098" s="56"/>
      <c r="AG1098" s="62"/>
      <c r="AH1098" s="63"/>
      <c r="AI1098" s="61"/>
      <c r="AJ1098" s="58"/>
      <c r="AK1098" s="58"/>
      <c r="AL1098" s="58"/>
      <c r="AM1098" s="58"/>
      <c r="AN1098" s="58"/>
      <c r="AO1098" s="58"/>
    </row>
    <row r="1099" spans="1:41" x14ac:dyDescent="0.2">
      <c r="A1099" s="49"/>
      <c r="B1099" s="50"/>
      <c r="C1099" s="51"/>
      <c r="D1099" s="49"/>
      <c r="E1099" s="49"/>
      <c r="F1099" s="52"/>
      <c r="G1099" s="53"/>
      <c r="H1099" s="54"/>
      <c r="I1099" s="55"/>
      <c r="J1099" s="53"/>
      <c r="K1099" s="53"/>
      <c r="L1099" s="53"/>
      <c r="M1099" s="56"/>
      <c r="N1099" s="53"/>
      <c r="O1099" s="57"/>
      <c r="P1099" s="58"/>
      <c r="Q1099" s="53"/>
      <c r="R1099" s="53"/>
      <c r="S1099" s="53"/>
      <c r="T1099" s="59"/>
      <c r="U1099" s="59"/>
      <c r="V1099" s="53"/>
      <c r="W1099" s="53"/>
      <c r="X1099" s="53"/>
      <c r="Z1099" s="60"/>
      <c r="AA1099" s="58"/>
      <c r="AB1099" s="58"/>
      <c r="AC1099" s="61"/>
      <c r="AD1099" s="53"/>
      <c r="AE1099" s="56"/>
      <c r="AF1099" s="56"/>
      <c r="AG1099" s="62"/>
      <c r="AH1099" s="63"/>
      <c r="AI1099" s="61"/>
      <c r="AJ1099" s="58"/>
      <c r="AK1099" s="58"/>
      <c r="AL1099" s="58"/>
      <c r="AM1099" s="58"/>
      <c r="AN1099" s="58"/>
      <c r="AO1099" s="58"/>
    </row>
    <row r="1100" spans="1:41" x14ac:dyDescent="0.2">
      <c r="A1100" s="49"/>
      <c r="B1100" s="50"/>
      <c r="C1100" s="51"/>
      <c r="D1100" s="49"/>
      <c r="E1100" s="49"/>
      <c r="F1100" s="52"/>
      <c r="G1100" s="53"/>
      <c r="H1100" s="54"/>
      <c r="I1100" s="55"/>
      <c r="J1100" s="53"/>
      <c r="K1100" s="53"/>
      <c r="L1100" s="53"/>
      <c r="M1100" s="56"/>
      <c r="N1100" s="53"/>
      <c r="O1100" s="57"/>
      <c r="P1100" s="58"/>
      <c r="Q1100" s="53"/>
      <c r="R1100" s="53"/>
      <c r="S1100" s="53"/>
      <c r="T1100" s="59"/>
      <c r="U1100" s="59"/>
      <c r="V1100" s="53"/>
      <c r="W1100" s="53"/>
      <c r="X1100" s="53"/>
      <c r="Z1100" s="60"/>
      <c r="AA1100" s="58"/>
      <c r="AB1100" s="58"/>
      <c r="AC1100" s="61"/>
      <c r="AD1100" s="53"/>
      <c r="AE1100" s="56"/>
      <c r="AF1100" s="56"/>
      <c r="AG1100" s="62"/>
      <c r="AH1100" s="63"/>
      <c r="AI1100" s="61"/>
      <c r="AJ1100" s="58"/>
      <c r="AK1100" s="58"/>
      <c r="AL1100" s="58"/>
      <c r="AM1100" s="58"/>
      <c r="AN1100" s="58"/>
      <c r="AO1100" s="58"/>
    </row>
    <row r="1101" spans="1:41" x14ac:dyDescent="0.2">
      <c r="A1101" s="49"/>
      <c r="B1101" s="50"/>
      <c r="C1101" s="51"/>
      <c r="D1101" s="49"/>
      <c r="E1101" s="49"/>
      <c r="F1101" s="52"/>
      <c r="G1101" s="53"/>
      <c r="H1101" s="54"/>
      <c r="I1101" s="55"/>
      <c r="J1101" s="53"/>
      <c r="K1101" s="53"/>
      <c r="L1101" s="53"/>
      <c r="M1101" s="56"/>
      <c r="N1101" s="53"/>
      <c r="O1101" s="57"/>
      <c r="P1101" s="58"/>
      <c r="Q1101" s="53"/>
      <c r="R1101" s="53"/>
      <c r="S1101" s="53"/>
      <c r="T1101" s="59"/>
      <c r="U1101" s="59"/>
      <c r="V1101" s="53"/>
      <c r="W1101" s="53"/>
      <c r="X1101" s="53"/>
      <c r="Z1101" s="60"/>
      <c r="AA1101" s="58"/>
      <c r="AB1101" s="58"/>
      <c r="AC1101" s="61"/>
      <c r="AD1101" s="53"/>
      <c r="AE1101" s="56"/>
      <c r="AF1101" s="56"/>
      <c r="AG1101" s="62"/>
      <c r="AH1101" s="63"/>
      <c r="AI1101" s="61"/>
      <c r="AJ1101" s="58"/>
      <c r="AK1101" s="58"/>
      <c r="AL1101" s="58"/>
      <c r="AM1101" s="58"/>
      <c r="AN1101" s="58"/>
      <c r="AO1101" s="58"/>
    </row>
    <row r="1102" spans="1:41" x14ac:dyDescent="0.2">
      <c r="A1102" s="49"/>
      <c r="B1102" s="50"/>
      <c r="C1102" s="51"/>
      <c r="D1102" s="49"/>
      <c r="E1102" s="49"/>
      <c r="F1102" s="52"/>
      <c r="G1102" s="53"/>
      <c r="H1102" s="54"/>
      <c r="I1102" s="55"/>
      <c r="J1102" s="53"/>
      <c r="K1102" s="53"/>
      <c r="L1102" s="53"/>
      <c r="M1102" s="56"/>
      <c r="N1102" s="53"/>
      <c r="O1102" s="57"/>
      <c r="P1102" s="58"/>
      <c r="Q1102" s="53"/>
      <c r="R1102" s="53"/>
      <c r="S1102" s="53"/>
      <c r="T1102" s="59"/>
      <c r="U1102" s="59"/>
      <c r="V1102" s="53"/>
      <c r="W1102" s="53"/>
      <c r="X1102" s="53"/>
      <c r="Z1102" s="60"/>
      <c r="AA1102" s="58"/>
      <c r="AB1102" s="58"/>
      <c r="AC1102" s="61"/>
      <c r="AD1102" s="53"/>
      <c r="AE1102" s="56"/>
      <c r="AF1102" s="56"/>
      <c r="AG1102" s="62"/>
      <c r="AH1102" s="63"/>
      <c r="AI1102" s="61"/>
      <c r="AJ1102" s="58"/>
      <c r="AK1102" s="58"/>
      <c r="AL1102" s="58"/>
      <c r="AM1102" s="58"/>
      <c r="AN1102" s="58"/>
      <c r="AO1102" s="58"/>
    </row>
    <row r="1103" spans="1:41" x14ac:dyDescent="0.2">
      <c r="A1103" s="49"/>
      <c r="B1103" s="50"/>
      <c r="C1103" s="51"/>
      <c r="D1103" s="49"/>
      <c r="E1103" s="49"/>
      <c r="F1103" s="52"/>
      <c r="G1103" s="53"/>
      <c r="H1103" s="54"/>
      <c r="I1103" s="55"/>
      <c r="J1103" s="53"/>
      <c r="K1103" s="53"/>
      <c r="L1103" s="53"/>
      <c r="M1103" s="56"/>
      <c r="N1103" s="53"/>
      <c r="O1103" s="58"/>
      <c r="P1103" s="57"/>
      <c r="Q1103" s="53"/>
      <c r="R1103" s="53"/>
      <c r="S1103" s="53"/>
      <c r="T1103" s="59"/>
      <c r="U1103" s="59"/>
      <c r="V1103" s="53"/>
      <c r="W1103" s="53"/>
      <c r="X1103" s="53"/>
      <c r="Z1103" s="60"/>
      <c r="AA1103" s="58"/>
      <c r="AB1103" s="58"/>
      <c r="AC1103" s="61"/>
      <c r="AD1103" s="53"/>
      <c r="AE1103" s="56"/>
      <c r="AF1103" s="56"/>
      <c r="AG1103" s="62"/>
      <c r="AH1103" s="63"/>
      <c r="AI1103" s="61"/>
      <c r="AJ1103" s="58"/>
      <c r="AK1103" s="58"/>
      <c r="AL1103" s="58"/>
      <c r="AM1103" s="58"/>
      <c r="AN1103" s="58"/>
      <c r="AO1103" s="58"/>
    </row>
    <row r="1104" spans="1:41" x14ac:dyDescent="0.2">
      <c r="A1104" s="49"/>
      <c r="B1104" s="50"/>
      <c r="C1104" s="51"/>
      <c r="D1104" s="49"/>
      <c r="E1104" s="49"/>
      <c r="F1104" s="52"/>
      <c r="G1104" s="53"/>
      <c r="H1104" s="54"/>
      <c r="I1104" s="55"/>
      <c r="J1104" s="53"/>
      <c r="K1104" s="53"/>
      <c r="L1104" s="53"/>
      <c r="M1104" s="56"/>
      <c r="N1104" s="53"/>
      <c r="O1104" s="58"/>
      <c r="P1104" s="57"/>
      <c r="Q1104" s="53"/>
      <c r="R1104" s="53"/>
      <c r="S1104" s="53"/>
      <c r="T1104" s="59"/>
      <c r="U1104" s="59"/>
      <c r="V1104" s="53"/>
      <c r="W1104" s="53"/>
      <c r="X1104" s="53"/>
      <c r="Z1104" s="60"/>
      <c r="AA1104" s="58"/>
      <c r="AB1104" s="58"/>
      <c r="AC1104" s="61"/>
      <c r="AD1104" s="53"/>
      <c r="AE1104" s="56"/>
      <c r="AF1104" s="56"/>
      <c r="AG1104" s="62"/>
      <c r="AH1104" s="63"/>
      <c r="AI1104" s="61"/>
      <c r="AJ1104" s="58"/>
      <c r="AK1104" s="58"/>
      <c r="AL1104" s="58"/>
      <c r="AM1104" s="58"/>
      <c r="AN1104" s="58"/>
      <c r="AO1104" s="58"/>
    </row>
    <row r="1105" spans="1:41" x14ac:dyDescent="0.2">
      <c r="A1105" s="49"/>
      <c r="B1105" s="50"/>
      <c r="C1105" s="51"/>
      <c r="D1105" s="51"/>
      <c r="E1105" s="49"/>
      <c r="F1105" s="52"/>
      <c r="G1105" s="53"/>
      <c r="H1105" s="54"/>
      <c r="I1105" s="55"/>
      <c r="J1105" s="53"/>
      <c r="K1105" s="53"/>
      <c r="L1105" s="53"/>
      <c r="M1105" s="56"/>
      <c r="N1105" s="53"/>
      <c r="O1105" s="57"/>
      <c r="P1105" s="58"/>
      <c r="Q1105" s="53"/>
      <c r="R1105" s="53"/>
      <c r="S1105" s="53"/>
      <c r="T1105" s="59"/>
      <c r="U1105" s="59"/>
      <c r="V1105" s="53"/>
      <c r="W1105" s="53"/>
      <c r="X1105" s="53"/>
      <c r="Z1105" s="60"/>
      <c r="AA1105" s="58"/>
      <c r="AB1105" s="58"/>
      <c r="AC1105" s="61"/>
      <c r="AD1105" s="53"/>
      <c r="AE1105" s="56"/>
      <c r="AF1105" s="56"/>
      <c r="AG1105" s="62"/>
      <c r="AH1105" s="63"/>
      <c r="AI1105" s="61"/>
      <c r="AJ1105" s="58"/>
      <c r="AK1105" s="58"/>
      <c r="AL1105" s="58"/>
      <c r="AM1105" s="58"/>
      <c r="AN1105" s="58"/>
      <c r="AO1105" s="58"/>
    </row>
    <row r="1106" spans="1:41" x14ac:dyDescent="0.2">
      <c r="A1106" s="49"/>
      <c r="B1106" s="50"/>
      <c r="C1106" s="51"/>
      <c r="D1106" s="51"/>
      <c r="E1106" s="49"/>
      <c r="F1106" s="52"/>
      <c r="G1106" s="53"/>
      <c r="H1106" s="54"/>
      <c r="I1106" s="55"/>
      <c r="J1106" s="53"/>
      <c r="K1106" s="53"/>
      <c r="L1106" s="53"/>
      <c r="M1106" s="56"/>
      <c r="N1106" s="53"/>
      <c r="O1106" s="57"/>
      <c r="P1106" s="58"/>
      <c r="Q1106" s="53"/>
      <c r="R1106" s="53"/>
      <c r="S1106" s="53"/>
      <c r="T1106" s="59"/>
      <c r="U1106" s="59"/>
      <c r="V1106" s="53"/>
      <c r="W1106" s="53"/>
      <c r="X1106" s="53"/>
      <c r="Z1106" s="60"/>
      <c r="AA1106" s="58"/>
      <c r="AB1106" s="58"/>
      <c r="AC1106" s="61"/>
      <c r="AD1106" s="53"/>
      <c r="AE1106" s="56"/>
      <c r="AF1106" s="56"/>
      <c r="AG1106" s="62"/>
      <c r="AH1106" s="63"/>
      <c r="AI1106" s="61"/>
      <c r="AJ1106" s="58"/>
      <c r="AK1106" s="58"/>
      <c r="AL1106" s="58"/>
      <c r="AM1106" s="58"/>
      <c r="AN1106" s="58"/>
      <c r="AO1106" s="58"/>
    </row>
    <row r="1107" spans="1:41" x14ac:dyDescent="0.2">
      <c r="A1107" s="49"/>
      <c r="B1107" s="50"/>
      <c r="C1107" s="51"/>
      <c r="D1107" s="51"/>
      <c r="E1107" s="49"/>
      <c r="F1107" s="52"/>
      <c r="G1107" s="53"/>
      <c r="H1107" s="54"/>
      <c r="I1107" s="55"/>
      <c r="J1107" s="53"/>
      <c r="K1107" s="53"/>
      <c r="L1107" s="53"/>
      <c r="M1107" s="56"/>
      <c r="N1107" s="53"/>
      <c r="O1107" s="57"/>
      <c r="P1107" s="58"/>
      <c r="Q1107" s="53"/>
      <c r="R1107" s="53"/>
      <c r="S1107" s="53"/>
      <c r="T1107" s="59"/>
      <c r="U1107" s="59"/>
      <c r="V1107" s="53"/>
      <c r="W1107" s="53"/>
      <c r="X1107" s="53"/>
      <c r="Z1107" s="60"/>
      <c r="AA1107" s="58"/>
      <c r="AB1107" s="58"/>
      <c r="AC1107" s="61"/>
      <c r="AD1107" s="53"/>
      <c r="AE1107" s="56"/>
      <c r="AF1107" s="56"/>
      <c r="AG1107" s="62"/>
      <c r="AH1107" s="63"/>
      <c r="AI1107" s="61"/>
      <c r="AJ1107" s="58"/>
      <c r="AK1107" s="58"/>
      <c r="AL1107" s="58"/>
      <c r="AM1107" s="58"/>
      <c r="AN1107" s="58"/>
      <c r="AO1107" s="58"/>
    </row>
    <row r="1108" spans="1:41" x14ac:dyDescent="0.2">
      <c r="A1108" s="49"/>
      <c r="B1108" s="50"/>
      <c r="C1108" s="51"/>
      <c r="D1108" s="51"/>
      <c r="E1108" s="49"/>
      <c r="F1108" s="52"/>
      <c r="G1108" s="53"/>
      <c r="H1108" s="54"/>
      <c r="I1108" s="55"/>
      <c r="J1108" s="53"/>
      <c r="K1108" s="53"/>
      <c r="L1108" s="53"/>
      <c r="M1108" s="56"/>
      <c r="N1108" s="53"/>
      <c r="O1108" s="57"/>
      <c r="P1108" s="58"/>
      <c r="Q1108" s="53"/>
      <c r="R1108" s="53"/>
      <c r="S1108" s="53"/>
      <c r="T1108" s="59"/>
      <c r="U1108" s="59"/>
      <c r="V1108" s="53"/>
      <c r="W1108" s="53"/>
      <c r="X1108" s="53"/>
      <c r="Z1108" s="60"/>
      <c r="AA1108" s="58"/>
      <c r="AB1108" s="58"/>
      <c r="AC1108" s="61"/>
      <c r="AD1108" s="53"/>
      <c r="AE1108" s="56"/>
      <c r="AF1108" s="56"/>
      <c r="AG1108" s="62"/>
      <c r="AH1108" s="63"/>
      <c r="AI1108" s="61"/>
      <c r="AJ1108" s="58"/>
      <c r="AK1108" s="58"/>
      <c r="AL1108" s="58"/>
      <c r="AM1108" s="58"/>
      <c r="AN1108" s="58"/>
      <c r="AO1108" s="58"/>
    </row>
    <row r="1109" spans="1:41" x14ac:dyDescent="0.2">
      <c r="A1109" s="49"/>
      <c r="B1109" s="50"/>
      <c r="C1109" s="51"/>
      <c r="D1109" s="51"/>
      <c r="E1109" s="49"/>
      <c r="F1109" s="52"/>
      <c r="G1109" s="53"/>
      <c r="H1109" s="54"/>
      <c r="I1109" s="55"/>
      <c r="J1109" s="53"/>
      <c r="K1109" s="53"/>
      <c r="L1109" s="53"/>
      <c r="M1109" s="56"/>
      <c r="N1109" s="53"/>
      <c r="O1109" s="57"/>
      <c r="P1109" s="57"/>
      <c r="Q1109" s="53"/>
      <c r="R1109" s="53"/>
      <c r="S1109" s="53"/>
      <c r="T1109" s="59"/>
      <c r="U1109" s="59"/>
      <c r="V1109" s="53"/>
      <c r="W1109" s="53"/>
      <c r="X1109" s="53"/>
      <c r="Z1109" s="60"/>
      <c r="AA1109" s="58"/>
      <c r="AB1109" s="58"/>
      <c r="AC1109" s="61"/>
      <c r="AD1109" s="53"/>
      <c r="AE1109" s="56"/>
      <c r="AF1109" s="56"/>
      <c r="AG1109" s="62"/>
      <c r="AH1109" s="63"/>
      <c r="AI1109" s="61"/>
      <c r="AJ1109" s="58"/>
      <c r="AK1109" s="58"/>
      <c r="AL1109" s="58"/>
      <c r="AM1109" s="58"/>
      <c r="AN1109" s="58"/>
      <c r="AO1109" s="58"/>
    </row>
    <row r="1110" spans="1:41" x14ac:dyDescent="0.2">
      <c r="A1110" s="49"/>
      <c r="B1110" s="50"/>
      <c r="C1110" s="51"/>
      <c r="D1110" s="51"/>
      <c r="E1110" s="49"/>
      <c r="F1110" s="52"/>
      <c r="G1110" s="53"/>
      <c r="H1110" s="54"/>
      <c r="I1110" s="55"/>
      <c r="J1110" s="53"/>
      <c r="K1110" s="53"/>
      <c r="L1110" s="53"/>
      <c r="M1110" s="56"/>
      <c r="N1110" s="53"/>
      <c r="O1110" s="57"/>
      <c r="P1110" s="57"/>
      <c r="Q1110" s="53"/>
      <c r="R1110" s="53"/>
      <c r="S1110" s="53"/>
      <c r="T1110" s="59"/>
      <c r="U1110" s="59"/>
      <c r="V1110" s="53"/>
      <c r="W1110" s="53"/>
      <c r="X1110" s="53"/>
      <c r="Z1110" s="60"/>
      <c r="AA1110" s="58"/>
      <c r="AB1110" s="58"/>
      <c r="AC1110" s="61"/>
      <c r="AD1110" s="53"/>
      <c r="AE1110" s="56"/>
      <c r="AF1110" s="56"/>
      <c r="AG1110" s="62"/>
      <c r="AH1110" s="63"/>
      <c r="AI1110" s="61"/>
      <c r="AJ1110" s="58"/>
      <c r="AK1110" s="58"/>
      <c r="AL1110" s="58"/>
      <c r="AM1110" s="58"/>
      <c r="AN1110" s="58"/>
      <c r="AO1110" s="58"/>
    </row>
    <row r="1111" spans="1:41" x14ac:dyDescent="0.2">
      <c r="A1111" s="49"/>
      <c r="B1111" s="50"/>
      <c r="C1111" s="51"/>
      <c r="D1111" s="49"/>
      <c r="E1111" s="49"/>
      <c r="F1111" s="52"/>
      <c r="G1111" s="53"/>
      <c r="H1111" s="54"/>
      <c r="I1111" s="55"/>
      <c r="J1111" s="53"/>
      <c r="K1111" s="53"/>
      <c r="L1111" s="53"/>
      <c r="M1111" s="56"/>
      <c r="N1111" s="53"/>
      <c r="O1111" s="57"/>
      <c r="P1111" s="57"/>
      <c r="Q1111" s="53"/>
      <c r="R1111" s="53"/>
      <c r="S1111" s="53"/>
      <c r="T1111" s="59"/>
      <c r="U1111" s="59"/>
      <c r="V1111" s="53"/>
      <c r="W1111" s="53"/>
      <c r="X1111" s="53"/>
      <c r="Z1111" s="60"/>
      <c r="AA1111" s="58"/>
      <c r="AB1111" s="58"/>
      <c r="AC1111" s="61"/>
      <c r="AD1111" s="53"/>
      <c r="AE1111" s="56"/>
      <c r="AF1111" s="56"/>
      <c r="AG1111" s="62"/>
      <c r="AH1111" s="63"/>
      <c r="AI1111" s="61"/>
      <c r="AJ1111" s="58"/>
      <c r="AK1111" s="58"/>
      <c r="AL1111" s="58"/>
      <c r="AM1111" s="58"/>
      <c r="AN1111" s="58"/>
      <c r="AO1111" s="58"/>
    </row>
    <row r="1112" spans="1:41" x14ac:dyDescent="0.2">
      <c r="A1112" s="49"/>
      <c r="B1112" s="50"/>
      <c r="C1112" s="51"/>
      <c r="D1112" s="49"/>
      <c r="E1112" s="49"/>
      <c r="F1112" s="52"/>
      <c r="G1112" s="53"/>
      <c r="H1112" s="54"/>
      <c r="I1112" s="55"/>
      <c r="J1112" s="53"/>
      <c r="K1112" s="53"/>
      <c r="L1112" s="53"/>
      <c r="M1112" s="56"/>
      <c r="N1112" s="53"/>
      <c r="O1112" s="57"/>
      <c r="P1112" s="57"/>
      <c r="Q1112" s="53"/>
      <c r="R1112" s="53"/>
      <c r="S1112" s="53"/>
      <c r="T1112" s="59"/>
      <c r="U1112" s="59"/>
      <c r="V1112" s="53"/>
      <c r="W1112" s="53"/>
      <c r="X1112" s="53"/>
      <c r="Z1112" s="60"/>
      <c r="AA1112" s="58"/>
      <c r="AB1112" s="58"/>
      <c r="AC1112" s="61"/>
      <c r="AD1112" s="53"/>
      <c r="AE1112" s="56"/>
      <c r="AF1112" s="56"/>
      <c r="AG1112" s="62"/>
      <c r="AH1112" s="63"/>
      <c r="AI1112" s="61"/>
      <c r="AJ1112" s="58"/>
      <c r="AK1112" s="58"/>
      <c r="AL1112" s="58"/>
      <c r="AM1112" s="58"/>
      <c r="AN1112" s="58"/>
      <c r="AO1112" s="58"/>
    </row>
    <row r="1113" spans="1:41" x14ac:dyDescent="0.2">
      <c r="A1113" s="49"/>
      <c r="B1113" s="50"/>
      <c r="C1113" s="51"/>
      <c r="D1113" s="49"/>
      <c r="E1113" s="49"/>
      <c r="F1113" s="52"/>
      <c r="G1113" s="53"/>
      <c r="H1113" s="54"/>
      <c r="I1113" s="55"/>
      <c r="J1113" s="53"/>
      <c r="K1113" s="53"/>
      <c r="L1113" s="53"/>
      <c r="M1113" s="56"/>
      <c r="N1113" s="53"/>
      <c r="O1113" s="57"/>
      <c r="P1113" s="58"/>
      <c r="Q1113" s="53"/>
      <c r="R1113" s="53"/>
      <c r="S1113" s="53"/>
      <c r="T1113" s="59"/>
      <c r="U1113" s="59"/>
      <c r="V1113" s="53"/>
      <c r="W1113" s="53"/>
      <c r="X1113" s="53"/>
      <c r="Z1113" s="60"/>
      <c r="AA1113" s="58"/>
      <c r="AB1113" s="58"/>
      <c r="AC1113" s="61"/>
      <c r="AD1113" s="53"/>
      <c r="AE1113" s="56"/>
      <c r="AF1113" s="56"/>
      <c r="AG1113" s="62"/>
      <c r="AH1113" s="63"/>
      <c r="AI1113" s="61"/>
      <c r="AJ1113" s="58"/>
      <c r="AK1113" s="58"/>
      <c r="AL1113" s="58"/>
      <c r="AM1113" s="58"/>
      <c r="AN1113" s="58"/>
      <c r="AO1113" s="58"/>
    </row>
    <row r="1114" spans="1:41" x14ac:dyDescent="0.2">
      <c r="A1114" s="49"/>
      <c r="B1114" s="50"/>
      <c r="C1114" s="51"/>
      <c r="D1114" s="49"/>
      <c r="E1114" s="49"/>
      <c r="F1114" s="52"/>
      <c r="G1114" s="53"/>
      <c r="H1114" s="54"/>
      <c r="I1114" s="55"/>
      <c r="J1114" s="53"/>
      <c r="K1114" s="53"/>
      <c r="L1114" s="53"/>
      <c r="M1114" s="56"/>
      <c r="N1114" s="53"/>
      <c r="O1114" s="57"/>
      <c r="P1114" s="58"/>
      <c r="Q1114" s="53"/>
      <c r="R1114" s="53"/>
      <c r="S1114" s="53"/>
      <c r="T1114" s="59"/>
      <c r="U1114" s="59"/>
      <c r="V1114" s="53"/>
      <c r="W1114" s="53"/>
      <c r="X1114" s="53"/>
      <c r="Z1114" s="60"/>
      <c r="AA1114" s="58"/>
      <c r="AB1114" s="58"/>
      <c r="AC1114" s="61"/>
      <c r="AD1114" s="53"/>
      <c r="AE1114" s="56"/>
      <c r="AF1114" s="56"/>
      <c r="AG1114" s="62"/>
      <c r="AH1114" s="63"/>
      <c r="AI1114" s="61"/>
      <c r="AJ1114" s="58"/>
      <c r="AK1114" s="58"/>
      <c r="AL1114" s="58"/>
      <c r="AM1114" s="58"/>
      <c r="AN1114" s="58"/>
      <c r="AO1114" s="58"/>
    </row>
    <row r="1115" spans="1:41" x14ac:dyDescent="0.2">
      <c r="A1115" s="49"/>
      <c r="B1115" s="50"/>
      <c r="C1115" s="51"/>
      <c r="D1115" s="49"/>
      <c r="E1115" s="49"/>
      <c r="F1115" s="52"/>
      <c r="G1115" s="53"/>
      <c r="H1115" s="54"/>
      <c r="I1115" s="55"/>
      <c r="J1115" s="53"/>
      <c r="K1115" s="53"/>
      <c r="L1115" s="53"/>
      <c r="M1115" s="56"/>
      <c r="N1115" s="53"/>
      <c r="O1115" s="57"/>
      <c r="P1115" s="58"/>
      <c r="Q1115" s="53"/>
      <c r="R1115" s="53"/>
      <c r="S1115" s="53"/>
      <c r="T1115" s="59"/>
      <c r="U1115" s="59"/>
      <c r="V1115" s="53"/>
      <c r="W1115" s="53"/>
      <c r="X1115" s="53"/>
      <c r="Z1115" s="60"/>
      <c r="AA1115" s="58"/>
      <c r="AB1115" s="58"/>
      <c r="AC1115" s="61"/>
      <c r="AD1115" s="53"/>
      <c r="AE1115" s="56"/>
      <c r="AF1115" s="56"/>
      <c r="AG1115" s="62"/>
      <c r="AH1115" s="63"/>
      <c r="AI1115" s="61"/>
      <c r="AJ1115" s="58"/>
      <c r="AK1115" s="58"/>
      <c r="AL1115" s="58"/>
      <c r="AM1115" s="58"/>
      <c r="AN1115" s="58"/>
      <c r="AO1115" s="58"/>
    </row>
    <row r="1116" spans="1:41" x14ac:dyDescent="0.2">
      <c r="A1116" s="49"/>
      <c r="B1116" s="50"/>
      <c r="C1116" s="51"/>
      <c r="D1116" s="49"/>
      <c r="E1116" s="49"/>
      <c r="F1116" s="52"/>
      <c r="G1116" s="53"/>
      <c r="H1116" s="54"/>
      <c r="I1116" s="55"/>
      <c r="J1116" s="53"/>
      <c r="K1116" s="53"/>
      <c r="L1116" s="53"/>
      <c r="M1116" s="56"/>
      <c r="N1116" s="53"/>
      <c r="O1116" s="57"/>
      <c r="P1116" s="57"/>
      <c r="Q1116" s="53"/>
      <c r="R1116" s="53"/>
      <c r="S1116" s="53"/>
      <c r="T1116" s="59"/>
      <c r="U1116" s="59"/>
      <c r="V1116" s="53"/>
      <c r="W1116" s="53"/>
      <c r="X1116" s="53"/>
      <c r="Z1116" s="60"/>
      <c r="AA1116" s="58"/>
      <c r="AB1116" s="58"/>
      <c r="AC1116" s="61"/>
      <c r="AD1116" s="53"/>
      <c r="AE1116" s="56"/>
      <c r="AF1116" s="56"/>
      <c r="AG1116" s="62"/>
      <c r="AH1116" s="63"/>
      <c r="AI1116" s="61"/>
      <c r="AJ1116" s="58"/>
      <c r="AK1116" s="58"/>
      <c r="AL1116" s="58"/>
      <c r="AM1116" s="58"/>
      <c r="AN1116" s="58"/>
      <c r="AO1116" s="58"/>
    </row>
    <row r="1117" spans="1:41" x14ac:dyDescent="0.2">
      <c r="A1117" s="49"/>
      <c r="B1117" s="50"/>
      <c r="C1117" s="51"/>
      <c r="D1117" s="49"/>
      <c r="E1117" s="49"/>
      <c r="F1117" s="52"/>
      <c r="G1117" s="53"/>
      <c r="H1117" s="54"/>
      <c r="I1117" s="55"/>
      <c r="J1117" s="53"/>
      <c r="K1117" s="53"/>
      <c r="L1117" s="53"/>
      <c r="M1117" s="56"/>
      <c r="N1117" s="53"/>
      <c r="O1117" s="57"/>
      <c r="P1117" s="58"/>
      <c r="Q1117" s="53"/>
      <c r="R1117" s="53"/>
      <c r="S1117" s="53"/>
      <c r="T1117" s="59"/>
      <c r="U1117" s="59"/>
      <c r="V1117" s="53"/>
      <c r="W1117" s="53"/>
      <c r="X1117" s="53"/>
      <c r="Z1117" s="60"/>
      <c r="AA1117" s="58"/>
      <c r="AB1117" s="58"/>
      <c r="AC1117" s="61"/>
      <c r="AD1117" s="53"/>
      <c r="AE1117" s="56"/>
      <c r="AF1117" s="56"/>
      <c r="AG1117" s="62"/>
      <c r="AH1117" s="63"/>
      <c r="AI1117" s="61"/>
      <c r="AJ1117" s="58"/>
      <c r="AK1117" s="58"/>
      <c r="AL1117" s="58"/>
      <c r="AM1117" s="58"/>
      <c r="AN1117" s="58"/>
      <c r="AO1117" s="58"/>
    </row>
    <row r="1118" spans="1:41" x14ac:dyDescent="0.2">
      <c r="A1118" s="49"/>
      <c r="B1118" s="50"/>
      <c r="C1118" s="51"/>
      <c r="D1118" s="49"/>
      <c r="E1118" s="49"/>
      <c r="F1118" s="52"/>
      <c r="G1118" s="53"/>
      <c r="H1118" s="54"/>
      <c r="I1118" s="55"/>
      <c r="J1118" s="53"/>
      <c r="K1118" s="53"/>
      <c r="L1118" s="53"/>
      <c r="M1118" s="56"/>
      <c r="N1118" s="53"/>
      <c r="O1118" s="57"/>
      <c r="P1118" s="58"/>
      <c r="Q1118" s="53"/>
      <c r="R1118" s="53"/>
      <c r="S1118" s="53"/>
      <c r="T1118" s="59"/>
      <c r="U1118" s="59"/>
      <c r="V1118" s="53"/>
      <c r="W1118" s="53"/>
      <c r="X1118" s="53"/>
      <c r="Z1118" s="60"/>
      <c r="AA1118" s="58"/>
      <c r="AB1118" s="58"/>
      <c r="AC1118" s="61"/>
      <c r="AD1118" s="53"/>
      <c r="AE1118" s="56"/>
      <c r="AF1118" s="56"/>
      <c r="AG1118" s="62"/>
      <c r="AH1118" s="63"/>
      <c r="AI1118" s="61"/>
      <c r="AJ1118" s="58"/>
      <c r="AK1118" s="58"/>
      <c r="AL1118" s="58"/>
      <c r="AM1118" s="58"/>
      <c r="AN1118" s="58"/>
      <c r="AO1118" s="58"/>
    </row>
    <row r="1119" spans="1:41" x14ac:dyDescent="0.2">
      <c r="A1119" s="49"/>
      <c r="B1119" s="50"/>
      <c r="C1119" s="51"/>
      <c r="D1119" s="49"/>
      <c r="E1119" s="49"/>
      <c r="F1119" s="52"/>
      <c r="G1119" s="53"/>
      <c r="H1119" s="54"/>
      <c r="I1119" s="55"/>
      <c r="J1119" s="53"/>
      <c r="K1119" s="53"/>
      <c r="L1119" s="53"/>
      <c r="M1119" s="56"/>
      <c r="N1119" s="53"/>
      <c r="O1119" s="57"/>
      <c r="P1119" s="58"/>
      <c r="Q1119" s="53"/>
      <c r="R1119" s="53"/>
      <c r="S1119" s="53"/>
      <c r="T1119" s="59"/>
      <c r="U1119" s="59"/>
      <c r="V1119" s="53"/>
      <c r="W1119" s="53"/>
      <c r="X1119" s="53"/>
      <c r="Z1119" s="60"/>
      <c r="AA1119" s="58"/>
      <c r="AB1119" s="58"/>
      <c r="AC1119" s="61"/>
      <c r="AD1119" s="53"/>
      <c r="AE1119" s="56"/>
      <c r="AF1119" s="56"/>
      <c r="AG1119" s="62"/>
      <c r="AH1119" s="63"/>
      <c r="AI1119" s="61"/>
      <c r="AJ1119" s="58"/>
      <c r="AK1119" s="58"/>
      <c r="AL1119" s="58"/>
      <c r="AM1119" s="58"/>
      <c r="AN1119" s="58"/>
      <c r="AO1119" s="58"/>
    </row>
    <row r="1120" spans="1:41" x14ac:dyDescent="0.2">
      <c r="A1120" s="49"/>
      <c r="B1120" s="50"/>
      <c r="C1120" s="51"/>
      <c r="D1120" s="49"/>
      <c r="E1120" s="49"/>
      <c r="F1120" s="52"/>
      <c r="G1120" s="53"/>
      <c r="H1120" s="54"/>
      <c r="I1120" s="55"/>
      <c r="J1120" s="53"/>
      <c r="K1120" s="53"/>
      <c r="L1120" s="53"/>
      <c r="M1120" s="56"/>
      <c r="N1120" s="53"/>
      <c r="O1120" s="57"/>
      <c r="P1120" s="58"/>
      <c r="Q1120" s="53"/>
      <c r="R1120" s="53"/>
      <c r="S1120" s="53"/>
      <c r="T1120" s="59"/>
      <c r="U1120" s="59"/>
      <c r="V1120" s="53"/>
      <c r="W1120" s="53"/>
      <c r="X1120" s="53"/>
      <c r="Z1120" s="60"/>
      <c r="AA1120" s="58"/>
      <c r="AB1120" s="58"/>
      <c r="AC1120" s="61"/>
      <c r="AD1120" s="53"/>
      <c r="AE1120" s="56"/>
      <c r="AF1120" s="56"/>
      <c r="AG1120" s="62"/>
      <c r="AH1120" s="63"/>
      <c r="AI1120" s="61"/>
      <c r="AJ1120" s="58"/>
      <c r="AK1120" s="58"/>
      <c r="AL1120" s="58"/>
      <c r="AM1120" s="58"/>
      <c r="AN1120" s="58"/>
      <c r="AO1120" s="58"/>
    </row>
    <row r="1121" spans="1:41" x14ac:dyDescent="0.2">
      <c r="A1121" s="49"/>
      <c r="B1121" s="50"/>
      <c r="C1121" s="51"/>
      <c r="D1121" s="49"/>
      <c r="E1121" s="49"/>
      <c r="F1121" s="52"/>
      <c r="G1121" s="53"/>
      <c r="H1121" s="54"/>
      <c r="I1121" s="55"/>
      <c r="J1121" s="53"/>
      <c r="K1121" s="53"/>
      <c r="L1121" s="53"/>
      <c r="M1121" s="56"/>
      <c r="N1121" s="53"/>
      <c r="O1121" s="57"/>
      <c r="P1121" s="58"/>
      <c r="Q1121" s="53"/>
      <c r="R1121" s="53"/>
      <c r="S1121" s="53"/>
      <c r="T1121" s="59"/>
      <c r="U1121" s="59"/>
      <c r="V1121" s="53"/>
      <c r="W1121" s="53"/>
      <c r="X1121" s="53"/>
      <c r="Z1121" s="60"/>
      <c r="AA1121" s="58"/>
      <c r="AB1121" s="58"/>
      <c r="AC1121" s="61"/>
      <c r="AD1121" s="53"/>
      <c r="AE1121" s="56"/>
      <c r="AF1121" s="56"/>
      <c r="AG1121" s="62"/>
      <c r="AH1121" s="63"/>
      <c r="AI1121" s="61"/>
      <c r="AJ1121" s="58"/>
      <c r="AK1121" s="58"/>
      <c r="AL1121" s="58"/>
      <c r="AM1121" s="58"/>
      <c r="AN1121" s="58"/>
      <c r="AO1121" s="58"/>
    </row>
    <row r="1122" spans="1:41" x14ac:dyDescent="0.2">
      <c r="A1122" s="49"/>
      <c r="B1122" s="50"/>
      <c r="C1122" s="51"/>
      <c r="D1122" s="49"/>
      <c r="E1122" s="49"/>
      <c r="F1122" s="52"/>
      <c r="G1122" s="53"/>
      <c r="H1122" s="54"/>
      <c r="I1122" s="55"/>
      <c r="J1122" s="53"/>
      <c r="K1122" s="53"/>
      <c r="L1122" s="53"/>
      <c r="M1122" s="56"/>
      <c r="N1122" s="53"/>
      <c r="O1122" s="57"/>
      <c r="P1122" s="58"/>
      <c r="Q1122" s="53"/>
      <c r="R1122" s="53"/>
      <c r="S1122" s="53"/>
      <c r="T1122" s="59"/>
      <c r="U1122" s="59"/>
      <c r="V1122" s="53"/>
      <c r="W1122" s="53"/>
      <c r="X1122" s="53"/>
      <c r="Z1122" s="60"/>
      <c r="AA1122" s="58"/>
      <c r="AB1122" s="58"/>
      <c r="AC1122" s="61"/>
      <c r="AD1122" s="53"/>
      <c r="AE1122" s="56"/>
      <c r="AF1122" s="56"/>
      <c r="AG1122" s="62"/>
      <c r="AH1122" s="63"/>
      <c r="AI1122" s="61"/>
      <c r="AJ1122" s="58"/>
      <c r="AK1122" s="58"/>
      <c r="AL1122" s="58"/>
      <c r="AM1122" s="58"/>
      <c r="AN1122" s="58"/>
      <c r="AO1122" s="58"/>
    </row>
    <row r="1123" spans="1:41" x14ac:dyDescent="0.2">
      <c r="A1123" s="49"/>
      <c r="B1123" s="50"/>
      <c r="C1123" s="51"/>
      <c r="D1123" s="49"/>
      <c r="E1123" s="49"/>
      <c r="F1123" s="52"/>
      <c r="G1123" s="53"/>
      <c r="H1123" s="54"/>
      <c r="I1123" s="55"/>
      <c r="J1123" s="53"/>
      <c r="K1123" s="53"/>
      <c r="L1123" s="53"/>
      <c r="M1123" s="56"/>
      <c r="N1123" s="53"/>
      <c r="O1123" s="57"/>
      <c r="P1123" s="57"/>
      <c r="Q1123" s="53"/>
      <c r="R1123" s="53"/>
      <c r="S1123" s="53"/>
      <c r="T1123" s="59"/>
      <c r="U1123" s="59"/>
      <c r="V1123" s="53"/>
      <c r="W1123" s="53"/>
      <c r="X1123" s="53"/>
      <c r="Z1123" s="60"/>
      <c r="AA1123" s="58"/>
      <c r="AB1123" s="58"/>
      <c r="AC1123" s="61"/>
      <c r="AD1123" s="53"/>
      <c r="AE1123" s="56"/>
      <c r="AF1123" s="56"/>
      <c r="AG1123" s="62"/>
      <c r="AH1123" s="63"/>
      <c r="AI1123" s="61"/>
      <c r="AJ1123" s="58"/>
      <c r="AK1123" s="58"/>
      <c r="AL1123" s="58"/>
      <c r="AM1123" s="58"/>
      <c r="AN1123" s="58"/>
      <c r="AO1123" s="58"/>
    </row>
    <row r="1124" spans="1:41" x14ac:dyDescent="0.2">
      <c r="A1124" s="49"/>
      <c r="B1124" s="50"/>
      <c r="C1124" s="51"/>
      <c r="D1124" s="49"/>
      <c r="E1124" s="49"/>
      <c r="F1124" s="52"/>
      <c r="G1124" s="53"/>
      <c r="H1124" s="54"/>
      <c r="I1124" s="55"/>
      <c r="J1124" s="53"/>
      <c r="K1124" s="53"/>
      <c r="L1124" s="53"/>
      <c r="M1124" s="56"/>
      <c r="N1124" s="53"/>
      <c r="O1124" s="57"/>
      <c r="P1124" s="57"/>
      <c r="Q1124" s="53"/>
      <c r="R1124" s="53"/>
      <c r="S1124" s="53"/>
      <c r="T1124" s="59"/>
      <c r="U1124" s="59"/>
      <c r="V1124" s="53"/>
      <c r="W1124" s="53"/>
      <c r="X1124" s="53"/>
      <c r="Z1124" s="60"/>
      <c r="AA1124" s="58"/>
      <c r="AB1124" s="58"/>
      <c r="AC1124" s="61"/>
      <c r="AD1124" s="53"/>
      <c r="AE1124" s="56"/>
      <c r="AF1124" s="56"/>
      <c r="AG1124" s="62"/>
      <c r="AH1124" s="63"/>
      <c r="AI1124" s="61"/>
      <c r="AJ1124" s="58"/>
      <c r="AK1124" s="58"/>
      <c r="AL1124" s="58"/>
      <c r="AM1124" s="58"/>
      <c r="AN1124" s="58"/>
      <c r="AO1124" s="58"/>
    </row>
    <row r="1125" spans="1:41" x14ac:dyDescent="0.2">
      <c r="A1125" s="49"/>
      <c r="B1125" s="50"/>
      <c r="C1125" s="51"/>
      <c r="D1125" s="49"/>
      <c r="E1125" s="49"/>
      <c r="F1125" s="52"/>
      <c r="G1125" s="53"/>
      <c r="H1125" s="54"/>
      <c r="I1125" s="55"/>
      <c r="J1125" s="53"/>
      <c r="K1125" s="53"/>
      <c r="L1125" s="53"/>
      <c r="M1125" s="56"/>
      <c r="N1125" s="53"/>
      <c r="O1125" s="57"/>
      <c r="P1125" s="57"/>
      <c r="Q1125" s="53"/>
      <c r="R1125" s="53"/>
      <c r="S1125" s="53"/>
      <c r="T1125" s="59"/>
      <c r="U1125" s="59"/>
      <c r="V1125" s="53"/>
      <c r="W1125" s="53"/>
      <c r="X1125" s="53"/>
      <c r="Z1125" s="60"/>
      <c r="AA1125" s="58"/>
      <c r="AB1125" s="58"/>
      <c r="AC1125" s="61"/>
      <c r="AD1125" s="53"/>
      <c r="AE1125" s="56"/>
      <c r="AF1125" s="56"/>
      <c r="AG1125" s="62"/>
      <c r="AH1125" s="63"/>
      <c r="AI1125" s="61"/>
      <c r="AJ1125" s="58"/>
      <c r="AK1125" s="58"/>
      <c r="AL1125" s="58"/>
      <c r="AM1125" s="58"/>
      <c r="AN1125" s="58"/>
      <c r="AO1125" s="58"/>
    </row>
    <row r="1126" spans="1:41" x14ac:dyDescent="0.2">
      <c r="A1126" s="49"/>
      <c r="B1126" s="50"/>
      <c r="C1126" s="51"/>
      <c r="D1126" s="49"/>
      <c r="E1126" s="49"/>
      <c r="F1126" s="52"/>
      <c r="G1126" s="53"/>
      <c r="H1126" s="54"/>
      <c r="I1126" s="55"/>
      <c r="J1126" s="53"/>
      <c r="K1126" s="53"/>
      <c r="L1126" s="53"/>
      <c r="M1126" s="56"/>
      <c r="N1126" s="53"/>
      <c r="O1126" s="57"/>
      <c r="P1126" s="57"/>
      <c r="Q1126" s="53"/>
      <c r="R1126" s="53"/>
      <c r="S1126" s="53"/>
      <c r="T1126" s="59"/>
      <c r="U1126" s="59"/>
      <c r="V1126" s="53"/>
      <c r="W1126" s="53"/>
      <c r="X1126" s="53"/>
      <c r="Z1126" s="60"/>
      <c r="AA1126" s="58"/>
      <c r="AB1126" s="58"/>
      <c r="AC1126" s="61"/>
      <c r="AD1126" s="53"/>
      <c r="AE1126" s="56"/>
      <c r="AF1126" s="56"/>
      <c r="AG1126" s="62"/>
      <c r="AH1126" s="63"/>
      <c r="AI1126" s="61"/>
      <c r="AJ1126" s="58"/>
      <c r="AK1126" s="58"/>
      <c r="AL1126" s="58"/>
      <c r="AM1126" s="58"/>
      <c r="AN1126" s="58"/>
      <c r="AO1126" s="58"/>
    </row>
    <row r="1127" spans="1:41" x14ac:dyDescent="0.2">
      <c r="A1127" s="49"/>
      <c r="B1127" s="50"/>
      <c r="C1127" s="51"/>
      <c r="D1127" s="49"/>
      <c r="E1127" s="49"/>
      <c r="F1127" s="52"/>
      <c r="G1127" s="53"/>
      <c r="H1127" s="54"/>
      <c r="I1127" s="55"/>
      <c r="J1127" s="53"/>
      <c r="K1127" s="53"/>
      <c r="L1127" s="53"/>
      <c r="M1127" s="56"/>
      <c r="N1127" s="53"/>
      <c r="O1127" s="57"/>
      <c r="P1127" s="58"/>
      <c r="Q1127" s="53"/>
      <c r="R1127" s="53"/>
      <c r="S1127" s="53"/>
      <c r="T1127" s="59"/>
      <c r="U1127" s="59"/>
      <c r="V1127" s="53"/>
      <c r="W1127" s="53"/>
      <c r="X1127" s="53"/>
      <c r="Z1127" s="60"/>
      <c r="AA1127" s="58"/>
      <c r="AB1127" s="58"/>
      <c r="AC1127" s="61"/>
      <c r="AD1127" s="53"/>
      <c r="AE1127" s="56"/>
      <c r="AF1127" s="56"/>
      <c r="AG1127" s="62"/>
      <c r="AH1127" s="63"/>
      <c r="AI1127" s="61"/>
      <c r="AJ1127" s="58"/>
      <c r="AK1127" s="58"/>
      <c r="AL1127" s="58"/>
      <c r="AM1127" s="58"/>
      <c r="AN1127" s="58"/>
      <c r="AO1127" s="58"/>
    </row>
    <row r="1128" spans="1:41" x14ac:dyDescent="0.2">
      <c r="A1128" s="49"/>
      <c r="B1128" s="50"/>
      <c r="C1128" s="51"/>
      <c r="D1128" s="49"/>
      <c r="E1128" s="49"/>
      <c r="F1128" s="52"/>
      <c r="G1128" s="53"/>
      <c r="H1128" s="54"/>
      <c r="I1128" s="55"/>
      <c r="J1128" s="53"/>
      <c r="K1128" s="53"/>
      <c r="L1128" s="53"/>
      <c r="M1128" s="56"/>
      <c r="N1128" s="53"/>
      <c r="O1128" s="57"/>
      <c r="P1128" s="58"/>
      <c r="Q1128" s="53"/>
      <c r="R1128" s="53"/>
      <c r="S1128" s="53"/>
      <c r="T1128" s="59"/>
      <c r="U1128" s="59"/>
      <c r="V1128" s="53"/>
      <c r="W1128" s="53"/>
      <c r="X1128" s="53"/>
      <c r="Z1128" s="60"/>
      <c r="AA1128" s="58"/>
      <c r="AB1128" s="58"/>
      <c r="AC1128" s="61"/>
      <c r="AD1128" s="53"/>
      <c r="AE1128" s="56"/>
      <c r="AF1128" s="56"/>
      <c r="AG1128" s="62"/>
      <c r="AH1128" s="63"/>
      <c r="AI1128" s="61"/>
      <c r="AJ1128" s="58"/>
      <c r="AK1128" s="58"/>
      <c r="AL1128" s="58"/>
      <c r="AM1128" s="58"/>
      <c r="AN1128" s="58"/>
      <c r="AO1128" s="58"/>
    </row>
    <row r="1129" spans="1:41" x14ac:dyDescent="0.2">
      <c r="A1129" s="49"/>
      <c r="B1129" s="50"/>
      <c r="C1129" s="51"/>
      <c r="D1129" s="49"/>
      <c r="E1129" s="49"/>
      <c r="F1129" s="52"/>
      <c r="G1129" s="53"/>
      <c r="H1129" s="54"/>
      <c r="I1129" s="55"/>
      <c r="J1129" s="53"/>
      <c r="K1129" s="53"/>
      <c r="L1129" s="53"/>
      <c r="M1129" s="56"/>
      <c r="N1129" s="53"/>
      <c r="O1129" s="57"/>
      <c r="P1129" s="58"/>
      <c r="Q1129" s="53"/>
      <c r="R1129" s="53"/>
      <c r="S1129" s="53"/>
      <c r="T1129" s="59"/>
      <c r="U1129" s="59"/>
      <c r="V1129" s="53"/>
      <c r="W1129" s="53"/>
      <c r="X1129" s="53"/>
      <c r="Z1129" s="60"/>
      <c r="AA1129" s="58"/>
      <c r="AB1129" s="58"/>
      <c r="AC1129" s="61"/>
      <c r="AD1129" s="53"/>
      <c r="AE1129" s="56"/>
      <c r="AF1129" s="56"/>
      <c r="AG1129" s="62"/>
      <c r="AH1129" s="63"/>
      <c r="AI1129" s="61"/>
      <c r="AJ1129" s="58"/>
      <c r="AK1129" s="58"/>
      <c r="AL1129" s="58"/>
      <c r="AM1129" s="58"/>
      <c r="AN1129" s="58"/>
      <c r="AO1129" s="58"/>
    </row>
    <row r="1130" spans="1:41" x14ac:dyDescent="0.2">
      <c r="A1130" s="49"/>
      <c r="B1130" s="50"/>
      <c r="C1130" s="51"/>
      <c r="D1130" s="49"/>
      <c r="E1130" s="49"/>
      <c r="F1130" s="52"/>
      <c r="G1130" s="53"/>
      <c r="H1130" s="54"/>
      <c r="I1130" s="55"/>
      <c r="J1130" s="53"/>
      <c r="K1130" s="53"/>
      <c r="L1130" s="53"/>
      <c r="M1130" s="56"/>
      <c r="N1130" s="53"/>
      <c r="O1130" s="57"/>
      <c r="P1130" s="58"/>
      <c r="Q1130" s="53"/>
      <c r="R1130" s="53"/>
      <c r="S1130" s="53"/>
      <c r="T1130" s="59"/>
      <c r="U1130" s="59"/>
      <c r="V1130" s="53"/>
      <c r="W1130" s="53"/>
      <c r="X1130" s="53"/>
      <c r="Z1130" s="60"/>
      <c r="AA1130" s="58"/>
      <c r="AB1130" s="58"/>
      <c r="AC1130" s="61"/>
      <c r="AD1130" s="53"/>
      <c r="AE1130" s="56"/>
      <c r="AF1130" s="56"/>
      <c r="AG1130" s="62"/>
      <c r="AH1130" s="63"/>
      <c r="AI1130" s="61"/>
      <c r="AJ1130" s="58"/>
      <c r="AK1130" s="58"/>
      <c r="AL1130" s="58"/>
      <c r="AM1130" s="58"/>
      <c r="AN1130" s="58"/>
      <c r="AO1130" s="58"/>
    </row>
    <row r="1131" spans="1:41" x14ac:dyDescent="0.2">
      <c r="A1131" s="49"/>
      <c r="B1131" s="50"/>
      <c r="C1131" s="51"/>
      <c r="D1131" s="49"/>
      <c r="E1131" s="49"/>
      <c r="F1131" s="52"/>
      <c r="G1131" s="53"/>
      <c r="H1131" s="54"/>
      <c r="I1131" s="55"/>
      <c r="J1131" s="53"/>
      <c r="K1131" s="53"/>
      <c r="L1131" s="53"/>
      <c r="M1131" s="56"/>
      <c r="N1131" s="53"/>
      <c r="O1131" s="57"/>
      <c r="P1131" s="58"/>
      <c r="Q1131" s="53"/>
      <c r="R1131" s="53"/>
      <c r="S1131" s="53"/>
      <c r="T1131" s="59"/>
      <c r="U1131" s="59"/>
      <c r="V1131" s="53"/>
      <c r="W1131" s="53"/>
      <c r="X1131" s="53"/>
      <c r="Z1131" s="60"/>
      <c r="AA1131" s="58"/>
      <c r="AB1131" s="58"/>
      <c r="AC1131" s="61"/>
      <c r="AD1131" s="53"/>
      <c r="AE1131" s="56"/>
      <c r="AF1131" s="56"/>
      <c r="AG1131" s="62"/>
      <c r="AH1131" s="63"/>
      <c r="AI1131" s="61"/>
      <c r="AJ1131" s="58"/>
      <c r="AK1131" s="58"/>
      <c r="AL1131" s="58"/>
      <c r="AM1131" s="58"/>
      <c r="AN1131" s="58"/>
      <c r="AO1131" s="58"/>
    </row>
    <row r="1132" spans="1:41" x14ac:dyDescent="0.2">
      <c r="A1132" s="49"/>
      <c r="B1132" s="50"/>
      <c r="C1132" s="51"/>
      <c r="D1132" s="49"/>
      <c r="E1132" s="49"/>
      <c r="F1132" s="52"/>
      <c r="G1132" s="53"/>
      <c r="H1132" s="54"/>
      <c r="I1132" s="55"/>
      <c r="J1132" s="53"/>
      <c r="K1132" s="53"/>
      <c r="L1132" s="53"/>
      <c r="M1132" s="56"/>
      <c r="N1132" s="53"/>
      <c r="O1132" s="57"/>
      <c r="P1132" s="57"/>
      <c r="Q1132" s="53"/>
      <c r="R1132" s="53"/>
      <c r="S1132" s="53"/>
      <c r="T1132" s="59"/>
      <c r="U1132" s="59"/>
      <c r="V1132" s="53"/>
      <c r="W1132" s="53"/>
      <c r="X1132" s="53"/>
      <c r="Z1132" s="60"/>
      <c r="AA1132" s="58"/>
      <c r="AB1132" s="58"/>
      <c r="AC1132" s="61"/>
      <c r="AD1132" s="53"/>
      <c r="AE1132" s="56"/>
      <c r="AF1132" s="56"/>
      <c r="AG1132" s="62"/>
      <c r="AH1132" s="63"/>
      <c r="AI1132" s="61"/>
      <c r="AJ1132" s="58"/>
      <c r="AK1132" s="58"/>
      <c r="AL1132" s="58"/>
      <c r="AM1132" s="58"/>
      <c r="AN1132" s="58"/>
      <c r="AO1132" s="58"/>
    </row>
    <row r="1133" spans="1:41" x14ac:dyDescent="0.2">
      <c r="A1133" s="49"/>
      <c r="B1133" s="50"/>
      <c r="C1133" s="51"/>
      <c r="D1133" s="49"/>
      <c r="E1133" s="49"/>
      <c r="F1133" s="52"/>
      <c r="G1133" s="53"/>
      <c r="H1133" s="54"/>
      <c r="I1133" s="55"/>
      <c r="J1133" s="53"/>
      <c r="K1133" s="53"/>
      <c r="L1133" s="53"/>
      <c r="M1133" s="56"/>
      <c r="N1133" s="53"/>
      <c r="O1133" s="57"/>
      <c r="P1133" s="57"/>
      <c r="Q1133" s="53"/>
      <c r="R1133" s="53"/>
      <c r="S1133" s="53"/>
      <c r="T1133" s="59"/>
      <c r="U1133" s="59"/>
      <c r="V1133" s="53"/>
      <c r="W1133" s="53"/>
      <c r="X1133" s="53"/>
      <c r="Z1133" s="60"/>
      <c r="AA1133" s="58"/>
      <c r="AB1133" s="58"/>
      <c r="AC1133" s="61"/>
      <c r="AD1133" s="53"/>
      <c r="AE1133" s="56"/>
      <c r="AF1133" s="56"/>
      <c r="AG1133" s="62"/>
      <c r="AH1133" s="63"/>
      <c r="AI1133" s="61"/>
      <c r="AJ1133" s="58"/>
      <c r="AK1133" s="58"/>
      <c r="AL1133" s="58"/>
      <c r="AM1133" s="58"/>
      <c r="AN1133" s="58"/>
      <c r="AO1133" s="58"/>
    </row>
    <row r="1134" spans="1:41" x14ac:dyDescent="0.2">
      <c r="A1134" s="49"/>
      <c r="B1134" s="50"/>
      <c r="C1134" s="51"/>
      <c r="D1134" s="49"/>
      <c r="E1134" s="49"/>
      <c r="F1134" s="52"/>
      <c r="G1134" s="53"/>
      <c r="H1134" s="54"/>
      <c r="I1134" s="55"/>
      <c r="J1134" s="53"/>
      <c r="K1134" s="53"/>
      <c r="L1134" s="53"/>
      <c r="M1134" s="56"/>
      <c r="N1134" s="53"/>
      <c r="O1134" s="57"/>
      <c r="P1134" s="58"/>
      <c r="Q1134" s="53"/>
      <c r="R1134" s="53"/>
      <c r="S1134" s="53"/>
      <c r="T1134" s="59"/>
      <c r="U1134" s="59"/>
      <c r="V1134" s="53"/>
      <c r="W1134" s="53"/>
      <c r="X1134" s="53"/>
      <c r="Z1134" s="60"/>
      <c r="AA1134" s="58"/>
      <c r="AB1134" s="58"/>
      <c r="AC1134" s="61"/>
      <c r="AD1134" s="53"/>
      <c r="AE1134" s="56"/>
      <c r="AF1134" s="56"/>
      <c r="AG1134" s="62"/>
      <c r="AH1134" s="63"/>
      <c r="AI1134" s="61"/>
      <c r="AJ1134" s="58"/>
      <c r="AK1134" s="58"/>
      <c r="AL1134" s="58"/>
      <c r="AM1134" s="58"/>
      <c r="AN1134" s="58"/>
      <c r="AO1134" s="58"/>
    </row>
    <row r="1135" spans="1:41" x14ac:dyDescent="0.2">
      <c r="A1135" s="49"/>
      <c r="B1135" s="50"/>
      <c r="C1135" s="51"/>
      <c r="D1135" s="49"/>
      <c r="E1135" s="49"/>
      <c r="F1135" s="52"/>
      <c r="G1135" s="53"/>
      <c r="H1135" s="54"/>
      <c r="I1135" s="55"/>
      <c r="J1135" s="53"/>
      <c r="K1135" s="53"/>
      <c r="L1135" s="53"/>
      <c r="M1135" s="56"/>
      <c r="N1135" s="53"/>
      <c r="O1135" s="57"/>
      <c r="P1135" s="58"/>
      <c r="Q1135" s="53"/>
      <c r="R1135" s="53"/>
      <c r="S1135" s="53"/>
      <c r="T1135" s="59"/>
      <c r="U1135" s="59"/>
      <c r="V1135" s="53"/>
      <c r="W1135" s="53"/>
      <c r="X1135" s="53"/>
      <c r="Z1135" s="60"/>
      <c r="AA1135" s="58"/>
      <c r="AB1135" s="58"/>
      <c r="AC1135" s="61"/>
      <c r="AD1135" s="53"/>
      <c r="AE1135" s="56"/>
      <c r="AF1135" s="56"/>
      <c r="AG1135" s="62"/>
      <c r="AH1135" s="63"/>
      <c r="AI1135" s="61"/>
      <c r="AJ1135" s="58"/>
      <c r="AK1135" s="58"/>
      <c r="AL1135" s="58"/>
      <c r="AM1135" s="58"/>
      <c r="AN1135" s="58"/>
      <c r="AO1135" s="58"/>
    </row>
    <row r="1136" spans="1:41" x14ac:dyDescent="0.2">
      <c r="A1136" s="49"/>
      <c r="B1136" s="50"/>
      <c r="C1136" s="51"/>
      <c r="D1136" s="49"/>
      <c r="E1136" s="49"/>
      <c r="F1136" s="52"/>
      <c r="G1136" s="53"/>
      <c r="H1136" s="54"/>
      <c r="I1136" s="55"/>
      <c r="J1136" s="53"/>
      <c r="K1136" s="53"/>
      <c r="L1136" s="53"/>
      <c r="M1136" s="56"/>
      <c r="N1136" s="53"/>
      <c r="O1136" s="57"/>
      <c r="P1136" s="58"/>
      <c r="Q1136" s="53"/>
      <c r="R1136" s="53"/>
      <c r="S1136" s="53"/>
      <c r="T1136" s="59"/>
      <c r="U1136" s="59"/>
      <c r="V1136" s="53"/>
      <c r="W1136" s="53"/>
      <c r="X1136" s="53"/>
      <c r="Z1136" s="60"/>
      <c r="AA1136" s="58"/>
      <c r="AB1136" s="58"/>
      <c r="AC1136" s="61"/>
      <c r="AD1136" s="53"/>
      <c r="AE1136" s="56"/>
      <c r="AF1136" s="56"/>
      <c r="AG1136" s="62"/>
      <c r="AH1136" s="63"/>
      <c r="AI1136" s="61"/>
      <c r="AJ1136" s="58"/>
      <c r="AK1136" s="58"/>
      <c r="AL1136" s="58"/>
      <c r="AM1136" s="58"/>
      <c r="AN1136" s="58"/>
      <c r="AO1136" s="58"/>
    </row>
    <row r="1137" spans="1:41" x14ac:dyDescent="0.2">
      <c r="A1137" s="49"/>
      <c r="B1137" s="50"/>
      <c r="C1137" s="51"/>
      <c r="D1137" s="49"/>
      <c r="E1137" s="49"/>
      <c r="F1137" s="52"/>
      <c r="G1137" s="53"/>
      <c r="H1137" s="54"/>
      <c r="I1137" s="55"/>
      <c r="J1137" s="53"/>
      <c r="K1137" s="53"/>
      <c r="L1137" s="53"/>
      <c r="M1137" s="56"/>
      <c r="N1137" s="53"/>
      <c r="O1137" s="57"/>
      <c r="P1137" s="58"/>
      <c r="Q1137" s="53"/>
      <c r="R1137" s="53"/>
      <c r="S1137" s="53"/>
      <c r="T1137" s="59"/>
      <c r="U1137" s="59"/>
      <c r="V1137" s="53"/>
      <c r="W1137" s="53"/>
      <c r="X1137" s="53"/>
      <c r="Z1137" s="60"/>
      <c r="AA1137" s="58"/>
      <c r="AB1137" s="58"/>
      <c r="AC1137" s="61"/>
      <c r="AD1137" s="53"/>
      <c r="AE1137" s="56"/>
      <c r="AF1137" s="56"/>
      <c r="AG1137" s="62"/>
      <c r="AH1137" s="63"/>
      <c r="AI1137" s="61"/>
      <c r="AJ1137" s="58"/>
      <c r="AK1137" s="58"/>
      <c r="AL1137" s="58"/>
      <c r="AM1137" s="58"/>
      <c r="AN1137" s="58"/>
      <c r="AO1137" s="58"/>
    </row>
    <row r="1138" spans="1:41" x14ac:dyDescent="0.2">
      <c r="A1138" s="49"/>
      <c r="B1138" s="50"/>
      <c r="C1138" s="51"/>
      <c r="D1138" s="49"/>
      <c r="E1138" s="49"/>
      <c r="F1138" s="52"/>
      <c r="G1138" s="53"/>
      <c r="H1138" s="54"/>
      <c r="I1138" s="55"/>
      <c r="J1138" s="53"/>
      <c r="K1138" s="53"/>
      <c r="L1138" s="53"/>
      <c r="M1138" s="56"/>
      <c r="N1138" s="53"/>
      <c r="O1138" s="57"/>
      <c r="P1138" s="57"/>
      <c r="Q1138" s="53"/>
      <c r="R1138" s="53"/>
      <c r="S1138" s="53"/>
      <c r="T1138" s="59"/>
      <c r="U1138" s="59"/>
      <c r="V1138" s="53"/>
      <c r="W1138" s="53"/>
      <c r="X1138" s="53"/>
      <c r="Z1138" s="60"/>
      <c r="AA1138" s="58"/>
      <c r="AB1138" s="58"/>
      <c r="AC1138" s="61"/>
      <c r="AD1138" s="53"/>
      <c r="AE1138" s="56"/>
      <c r="AF1138" s="56"/>
      <c r="AG1138" s="62"/>
      <c r="AH1138" s="63"/>
      <c r="AI1138" s="61"/>
      <c r="AJ1138" s="58"/>
      <c r="AK1138" s="58"/>
      <c r="AL1138" s="58"/>
      <c r="AM1138" s="58"/>
      <c r="AN1138" s="58"/>
      <c r="AO1138" s="58"/>
    </row>
    <row r="1139" spans="1:41" x14ac:dyDescent="0.2">
      <c r="A1139" s="49"/>
      <c r="B1139" s="50"/>
      <c r="C1139" s="51"/>
      <c r="D1139" s="49"/>
      <c r="E1139" s="49"/>
      <c r="F1139" s="52"/>
      <c r="G1139" s="53"/>
      <c r="H1139" s="54"/>
      <c r="I1139" s="55"/>
      <c r="J1139" s="53"/>
      <c r="K1139" s="53"/>
      <c r="L1139" s="53"/>
      <c r="M1139" s="56"/>
      <c r="N1139" s="53"/>
      <c r="O1139" s="57"/>
      <c r="P1139" s="58"/>
      <c r="Q1139" s="53"/>
      <c r="R1139" s="53"/>
      <c r="S1139" s="53"/>
      <c r="T1139" s="59"/>
      <c r="U1139" s="59"/>
      <c r="V1139" s="53"/>
      <c r="W1139" s="53"/>
      <c r="X1139" s="53"/>
      <c r="Z1139" s="60"/>
      <c r="AA1139" s="58"/>
      <c r="AB1139" s="58"/>
      <c r="AC1139" s="61"/>
      <c r="AD1139" s="53"/>
      <c r="AE1139" s="56"/>
      <c r="AF1139" s="56"/>
      <c r="AG1139" s="62"/>
      <c r="AH1139" s="63"/>
      <c r="AI1139" s="61"/>
      <c r="AJ1139" s="58"/>
      <c r="AK1139" s="58"/>
      <c r="AL1139" s="58"/>
      <c r="AM1139" s="58"/>
      <c r="AN1139" s="58"/>
      <c r="AO1139" s="58"/>
    </row>
    <row r="1140" spans="1:41" x14ac:dyDescent="0.2">
      <c r="A1140" s="49"/>
      <c r="B1140" s="50"/>
      <c r="C1140" s="51"/>
      <c r="D1140" s="49"/>
      <c r="E1140" s="49"/>
      <c r="F1140" s="52"/>
      <c r="G1140" s="53"/>
      <c r="H1140" s="54"/>
      <c r="I1140" s="55"/>
      <c r="J1140" s="53"/>
      <c r="K1140" s="53"/>
      <c r="L1140" s="53"/>
      <c r="M1140" s="56"/>
      <c r="N1140" s="53"/>
      <c r="O1140" s="57"/>
      <c r="P1140" s="58"/>
      <c r="Q1140" s="53"/>
      <c r="R1140" s="53"/>
      <c r="S1140" s="53"/>
      <c r="T1140" s="59"/>
      <c r="U1140" s="59"/>
      <c r="V1140" s="53"/>
      <c r="W1140" s="53"/>
      <c r="X1140" s="53"/>
      <c r="Z1140" s="60"/>
      <c r="AA1140" s="58"/>
      <c r="AB1140" s="58"/>
      <c r="AC1140" s="61"/>
      <c r="AD1140" s="53"/>
      <c r="AE1140" s="56"/>
      <c r="AF1140" s="56"/>
      <c r="AG1140" s="62"/>
      <c r="AH1140" s="63"/>
      <c r="AI1140" s="61"/>
      <c r="AJ1140" s="58"/>
      <c r="AK1140" s="58"/>
      <c r="AL1140" s="58"/>
      <c r="AM1140" s="58"/>
      <c r="AN1140" s="58"/>
      <c r="AO1140" s="58"/>
    </row>
    <row r="1141" spans="1:41" x14ac:dyDescent="0.2">
      <c r="A1141" s="49"/>
      <c r="B1141" s="50"/>
      <c r="C1141" s="51"/>
      <c r="D1141" s="49"/>
      <c r="E1141" s="49"/>
      <c r="F1141" s="52"/>
      <c r="G1141" s="53"/>
      <c r="H1141" s="54"/>
      <c r="I1141" s="55"/>
      <c r="J1141" s="53"/>
      <c r="K1141" s="53"/>
      <c r="L1141" s="53"/>
      <c r="M1141" s="56"/>
      <c r="N1141" s="53"/>
      <c r="O1141" s="57"/>
      <c r="P1141" s="58"/>
      <c r="Q1141" s="53"/>
      <c r="R1141" s="53"/>
      <c r="S1141" s="53"/>
      <c r="T1141" s="59"/>
      <c r="U1141" s="59"/>
      <c r="V1141" s="53"/>
      <c r="W1141" s="53"/>
      <c r="X1141" s="53"/>
      <c r="Z1141" s="60"/>
      <c r="AA1141" s="58"/>
      <c r="AB1141" s="58"/>
      <c r="AC1141" s="61"/>
      <c r="AD1141" s="53"/>
      <c r="AE1141" s="56"/>
      <c r="AF1141" s="56"/>
      <c r="AG1141" s="62"/>
      <c r="AH1141" s="63"/>
      <c r="AI1141" s="61"/>
      <c r="AJ1141" s="58"/>
      <c r="AK1141" s="58"/>
      <c r="AL1141" s="58"/>
      <c r="AM1141" s="58"/>
      <c r="AN1141" s="58"/>
      <c r="AO1141" s="58"/>
    </row>
    <row r="1142" spans="1:41" x14ac:dyDescent="0.2">
      <c r="A1142" s="49"/>
      <c r="B1142" s="50"/>
      <c r="C1142" s="51"/>
      <c r="D1142" s="49"/>
      <c r="E1142" s="49"/>
      <c r="F1142" s="52"/>
      <c r="G1142" s="53"/>
      <c r="H1142" s="54"/>
      <c r="I1142" s="55"/>
      <c r="J1142" s="53"/>
      <c r="K1142" s="53"/>
      <c r="L1142" s="53"/>
      <c r="M1142" s="56"/>
      <c r="N1142" s="53"/>
      <c r="O1142" s="57"/>
      <c r="P1142" s="57"/>
      <c r="Q1142" s="53"/>
      <c r="R1142" s="53"/>
      <c r="S1142" s="53"/>
      <c r="T1142" s="59"/>
      <c r="U1142" s="59"/>
      <c r="V1142" s="53"/>
      <c r="W1142" s="53"/>
      <c r="X1142" s="53"/>
      <c r="Z1142" s="60"/>
      <c r="AA1142" s="58"/>
      <c r="AB1142" s="58"/>
      <c r="AC1142" s="61"/>
      <c r="AD1142" s="53"/>
      <c r="AE1142" s="56"/>
      <c r="AF1142" s="56"/>
      <c r="AG1142" s="62"/>
      <c r="AH1142" s="63"/>
      <c r="AI1142" s="61"/>
      <c r="AJ1142" s="58"/>
      <c r="AK1142" s="58"/>
      <c r="AL1142" s="58"/>
      <c r="AM1142" s="58"/>
      <c r="AN1142" s="58"/>
      <c r="AO1142" s="58"/>
    </row>
    <row r="1143" spans="1:41" x14ac:dyDescent="0.2">
      <c r="A1143" s="49"/>
      <c r="B1143" s="50"/>
      <c r="C1143" s="51"/>
      <c r="D1143" s="49"/>
      <c r="E1143" s="49"/>
      <c r="F1143" s="52"/>
      <c r="G1143" s="53"/>
      <c r="H1143" s="54"/>
      <c r="I1143" s="55"/>
      <c r="J1143" s="53"/>
      <c r="K1143" s="53"/>
      <c r="L1143" s="53"/>
      <c r="M1143" s="56"/>
      <c r="N1143" s="53"/>
      <c r="O1143" s="57"/>
      <c r="P1143" s="57"/>
      <c r="Q1143" s="53"/>
      <c r="R1143" s="53"/>
      <c r="S1143" s="53"/>
      <c r="T1143" s="59"/>
      <c r="U1143" s="59"/>
      <c r="V1143" s="53"/>
      <c r="W1143" s="53"/>
      <c r="X1143" s="53"/>
      <c r="Z1143" s="60"/>
      <c r="AA1143" s="58"/>
      <c r="AB1143" s="58"/>
      <c r="AC1143" s="61"/>
      <c r="AD1143" s="53"/>
      <c r="AE1143" s="56"/>
      <c r="AF1143" s="56"/>
      <c r="AG1143" s="62"/>
      <c r="AH1143" s="63"/>
      <c r="AI1143" s="61"/>
      <c r="AJ1143" s="58"/>
      <c r="AK1143" s="58"/>
      <c r="AL1143" s="58"/>
      <c r="AM1143" s="58"/>
      <c r="AN1143" s="58"/>
      <c r="AO1143" s="58"/>
    </row>
    <row r="1144" spans="1:41" x14ac:dyDescent="0.2">
      <c r="A1144" s="49"/>
      <c r="B1144" s="50"/>
      <c r="C1144" s="51"/>
      <c r="D1144" s="49"/>
      <c r="E1144" s="49"/>
      <c r="F1144" s="52"/>
      <c r="G1144" s="53"/>
      <c r="H1144" s="54"/>
      <c r="I1144" s="55"/>
      <c r="J1144" s="53"/>
      <c r="K1144" s="53"/>
      <c r="L1144" s="53"/>
      <c r="M1144" s="56"/>
      <c r="N1144" s="53"/>
      <c r="O1144" s="57"/>
      <c r="P1144" s="57"/>
      <c r="Q1144" s="53"/>
      <c r="R1144" s="53"/>
      <c r="S1144" s="53"/>
      <c r="T1144" s="59"/>
      <c r="U1144" s="59"/>
      <c r="V1144" s="53"/>
      <c r="W1144" s="53"/>
      <c r="X1144" s="53"/>
      <c r="Z1144" s="60"/>
      <c r="AA1144" s="58"/>
      <c r="AB1144" s="58"/>
      <c r="AC1144" s="61"/>
      <c r="AD1144" s="53"/>
      <c r="AE1144" s="56"/>
      <c r="AF1144" s="56"/>
      <c r="AG1144" s="62"/>
      <c r="AH1144" s="63"/>
      <c r="AI1144" s="61"/>
      <c r="AJ1144" s="58"/>
      <c r="AK1144" s="58"/>
      <c r="AL1144" s="58"/>
      <c r="AM1144" s="58"/>
      <c r="AN1144" s="58"/>
      <c r="AO1144" s="58"/>
    </row>
    <row r="1145" spans="1:41" x14ac:dyDescent="0.2">
      <c r="A1145" s="49"/>
      <c r="B1145" s="50"/>
      <c r="C1145" s="51"/>
      <c r="D1145" s="49"/>
      <c r="E1145" s="49"/>
      <c r="F1145" s="52"/>
      <c r="G1145" s="53"/>
      <c r="H1145" s="54"/>
      <c r="I1145" s="55"/>
      <c r="J1145" s="53"/>
      <c r="K1145" s="53"/>
      <c r="L1145" s="53"/>
      <c r="M1145" s="56"/>
      <c r="N1145" s="53"/>
      <c r="O1145" s="57"/>
      <c r="P1145" s="57"/>
      <c r="Q1145" s="53"/>
      <c r="R1145" s="53"/>
      <c r="S1145" s="53"/>
      <c r="T1145" s="59"/>
      <c r="U1145" s="59"/>
      <c r="V1145" s="53"/>
      <c r="W1145" s="53"/>
      <c r="X1145" s="53"/>
      <c r="Z1145" s="60"/>
      <c r="AA1145" s="58"/>
      <c r="AB1145" s="58"/>
      <c r="AC1145" s="61"/>
      <c r="AD1145" s="53"/>
      <c r="AE1145" s="56"/>
      <c r="AF1145" s="56"/>
      <c r="AG1145" s="62"/>
      <c r="AH1145" s="63"/>
      <c r="AI1145" s="61"/>
      <c r="AJ1145" s="58"/>
      <c r="AK1145" s="58"/>
      <c r="AL1145" s="58"/>
      <c r="AM1145" s="58"/>
      <c r="AN1145" s="58"/>
      <c r="AO1145" s="58"/>
    </row>
    <row r="1146" spans="1:41" x14ac:dyDescent="0.2">
      <c r="A1146" s="49"/>
      <c r="B1146" s="50"/>
      <c r="C1146" s="51"/>
      <c r="D1146" s="49"/>
      <c r="E1146" s="49"/>
      <c r="F1146" s="52"/>
      <c r="G1146" s="53"/>
      <c r="H1146" s="54"/>
      <c r="I1146" s="55"/>
      <c r="J1146" s="53"/>
      <c r="K1146" s="53"/>
      <c r="L1146" s="53"/>
      <c r="M1146" s="56"/>
      <c r="N1146" s="53"/>
      <c r="O1146" s="57"/>
      <c r="P1146" s="58"/>
      <c r="Q1146" s="53"/>
      <c r="R1146" s="53"/>
      <c r="S1146" s="53"/>
      <c r="T1146" s="59"/>
      <c r="U1146" s="59"/>
      <c r="V1146" s="53"/>
      <c r="W1146" s="53"/>
      <c r="X1146" s="53"/>
      <c r="Z1146" s="60"/>
      <c r="AA1146" s="58"/>
      <c r="AB1146" s="58"/>
      <c r="AC1146" s="61"/>
      <c r="AD1146" s="53"/>
      <c r="AE1146" s="56"/>
      <c r="AF1146" s="56"/>
      <c r="AG1146" s="62"/>
      <c r="AH1146" s="63"/>
      <c r="AI1146" s="61"/>
      <c r="AJ1146" s="58"/>
      <c r="AK1146" s="58"/>
      <c r="AL1146" s="58"/>
      <c r="AM1146" s="58"/>
      <c r="AN1146" s="58"/>
      <c r="AO1146" s="58"/>
    </row>
    <row r="1147" spans="1:41" x14ac:dyDescent="0.2">
      <c r="A1147" s="49"/>
      <c r="B1147" s="50"/>
      <c r="C1147" s="51"/>
      <c r="D1147" s="49"/>
      <c r="E1147" s="49"/>
      <c r="F1147" s="52"/>
      <c r="G1147" s="53"/>
      <c r="H1147" s="54"/>
      <c r="I1147" s="55"/>
      <c r="J1147" s="53"/>
      <c r="K1147" s="53"/>
      <c r="L1147" s="53"/>
      <c r="M1147" s="56"/>
      <c r="N1147" s="53"/>
      <c r="O1147" s="57"/>
      <c r="P1147" s="58"/>
      <c r="Q1147" s="53"/>
      <c r="R1147" s="53"/>
      <c r="S1147" s="53"/>
      <c r="T1147" s="59"/>
      <c r="U1147" s="59"/>
      <c r="V1147" s="53"/>
      <c r="W1147" s="53"/>
      <c r="X1147" s="53"/>
      <c r="Z1147" s="60"/>
      <c r="AA1147" s="58"/>
      <c r="AB1147" s="58"/>
      <c r="AC1147" s="61"/>
      <c r="AD1147" s="53"/>
      <c r="AE1147" s="56"/>
      <c r="AF1147" s="56"/>
      <c r="AG1147" s="62"/>
      <c r="AH1147" s="63"/>
      <c r="AI1147" s="61"/>
      <c r="AJ1147" s="58"/>
      <c r="AK1147" s="58"/>
      <c r="AL1147" s="58"/>
      <c r="AM1147" s="58"/>
      <c r="AN1147" s="58"/>
      <c r="AO1147" s="58"/>
    </row>
    <row r="1148" spans="1:41" x14ac:dyDescent="0.2">
      <c r="A1148" s="49"/>
      <c r="B1148" s="50"/>
      <c r="C1148" s="51"/>
      <c r="D1148" s="49"/>
      <c r="E1148" s="49"/>
      <c r="F1148" s="52"/>
      <c r="G1148" s="53"/>
      <c r="H1148" s="54"/>
      <c r="I1148" s="55"/>
      <c r="J1148" s="53"/>
      <c r="K1148" s="53"/>
      <c r="L1148" s="53"/>
      <c r="M1148" s="56"/>
      <c r="N1148" s="53"/>
      <c r="O1148" s="57"/>
      <c r="P1148" s="57"/>
      <c r="Q1148" s="53"/>
      <c r="R1148" s="53"/>
      <c r="S1148" s="53"/>
      <c r="T1148" s="59"/>
      <c r="U1148" s="59"/>
      <c r="V1148" s="53"/>
      <c r="W1148" s="53"/>
      <c r="X1148" s="53"/>
      <c r="Z1148" s="60"/>
      <c r="AA1148" s="58"/>
      <c r="AB1148" s="58"/>
      <c r="AC1148" s="61"/>
      <c r="AD1148" s="53"/>
      <c r="AE1148" s="56"/>
      <c r="AF1148" s="56"/>
      <c r="AG1148" s="62"/>
      <c r="AH1148" s="63"/>
      <c r="AI1148" s="61"/>
      <c r="AJ1148" s="58"/>
      <c r="AK1148" s="58"/>
      <c r="AL1148" s="58"/>
      <c r="AM1148" s="58"/>
      <c r="AN1148" s="58"/>
      <c r="AO1148" s="58"/>
    </row>
    <row r="1149" spans="1:41" x14ac:dyDescent="0.2">
      <c r="A1149" s="49"/>
      <c r="B1149" s="50"/>
      <c r="C1149" s="51"/>
      <c r="D1149" s="49"/>
      <c r="E1149" s="49"/>
      <c r="F1149" s="52"/>
      <c r="G1149" s="53"/>
      <c r="H1149" s="54"/>
      <c r="I1149" s="55"/>
      <c r="J1149" s="53"/>
      <c r="K1149" s="53"/>
      <c r="L1149" s="53"/>
      <c r="M1149" s="56"/>
      <c r="N1149" s="53"/>
      <c r="O1149" s="57"/>
      <c r="P1149" s="57"/>
      <c r="Q1149" s="53"/>
      <c r="R1149" s="53"/>
      <c r="S1149" s="53"/>
      <c r="T1149" s="59"/>
      <c r="U1149" s="59"/>
      <c r="V1149" s="53"/>
      <c r="W1149" s="53"/>
      <c r="X1149" s="53"/>
      <c r="Z1149" s="60"/>
      <c r="AA1149" s="58"/>
      <c r="AB1149" s="58"/>
      <c r="AC1149" s="61"/>
      <c r="AD1149" s="53"/>
      <c r="AE1149" s="56"/>
      <c r="AF1149" s="56"/>
      <c r="AG1149" s="62"/>
      <c r="AH1149" s="63"/>
      <c r="AI1149" s="61"/>
      <c r="AJ1149" s="58"/>
      <c r="AK1149" s="58"/>
      <c r="AL1149" s="58"/>
      <c r="AM1149" s="58"/>
      <c r="AN1149" s="58"/>
      <c r="AO1149" s="58"/>
    </row>
    <row r="1150" spans="1:41" x14ac:dyDescent="0.2">
      <c r="A1150" s="49"/>
      <c r="B1150" s="50"/>
      <c r="C1150" s="51"/>
      <c r="D1150" s="50"/>
      <c r="E1150" s="49"/>
      <c r="F1150" s="52"/>
      <c r="G1150" s="53"/>
      <c r="H1150" s="54"/>
      <c r="I1150" s="55"/>
      <c r="J1150" s="53"/>
      <c r="K1150" s="53"/>
      <c r="L1150" s="53"/>
      <c r="M1150" s="56"/>
      <c r="N1150" s="53"/>
      <c r="O1150" s="57"/>
      <c r="P1150" s="58"/>
      <c r="Q1150" s="53"/>
      <c r="R1150" s="53"/>
      <c r="S1150" s="53"/>
      <c r="T1150" s="59"/>
      <c r="U1150" s="59"/>
      <c r="V1150" s="53"/>
      <c r="W1150" s="53"/>
      <c r="X1150" s="53"/>
      <c r="Z1150" s="60"/>
      <c r="AA1150" s="58"/>
      <c r="AB1150" s="58"/>
      <c r="AC1150" s="61"/>
      <c r="AD1150" s="53"/>
      <c r="AE1150" s="56"/>
      <c r="AF1150" s="56"/>
      <c r="AG1150" s="62"/>
      <c r="AH1150" s="63"/>
      <c r="AI1150" s="61"/>
      <c r="AJ1150" s="58"/>
      <c r="AK1150" s="58"/>
      <c r="AL1150" s="58"/>
      <c r="AM1150" s="58"/>
      <c r="AN1150" s="58"/>
      <c r="AO1150" s="58"/>
    </row>
    <row r="1151" spans="1:41" x14ac:dyDescent="0.2">
      <c r="A1151" s="49"/>
      <c r="B1151" s="50"/>
      <c r="C1151" s="51"/>
      <c r="D1151" s="50"/>
      <c r="E1151" s="49"/>
      <c r="F1151" s="52"/>
      <c r="G1151" s="53"/>
      <c r="H1151" s="54"/>
      <c r="I1151" s="55"/>
      <c r="J1151" s="53"/>
      <c r="K1151" s="53"/>
      <c r="L1151" s="53"/>
      <c r="M1151" s="56"/>
      <c r="N1151" s="53"/>
      <c r="O1151" s="57"/>
      <c r="P1151" s="58"/>
      <c r="Q1151" s="53"/>
      <c r="R1151" s="53"/>
      <c r="S1151" s="53"/>
      <c r="T1151" s="59"/>
      <c r="U1151" s="59"/>
      <c r="V1151" s="53"/>
      <c r="W1151" s="53"/>
      <c r="X1151" s="53"/>
      <c r="Z1151" s="60"/>
      <c r="AA1151" s="58"/>
      <c r="AB1151" s="58"/>
      <c r="AC1151" s="61"/>
      <c r="AD1151" s="53"/>
      <c r="AE1151" s="56"/>
      <c r="AF1151" s="56"/>
      <c r="AG1151" s="62"/>
      <c r="AH1151" s="63"/>
      <c r="AI1151" s="61"/>
      <c r="AJ1151" s="58"/>
      <c r="AK1151" s="58"/>
      <c r="AL1151" s="58"/>
      <c r="AM1151" s="58"/>
      <c r="AN1151" s="58"/>
      <c r="AO1151" s="58"/>
    </row>
    <row r="1152" spans="1:41" x14ac:dyDescent="0.2">
      <c r="A1152" s="49"/>
      <c r="B1152" s="50"/>
      <c r="C1152" s="51"/>
      <c r="D1152" s="50"/>
      <c r="E1152" s="49"/>
      <c r="F1152" s="52"/>
      <c r="G1152" s="53"/>
      <c r="H1152" s="54"/>
      <c r="I1152" s="55"/>
      <c r="J1152" s="53"/>
      <c r="K1152" s="53"/>
      <c r="L1152" s="53"/>
      <c r="M1152" s="56"/>
      <c r="N1152" s="53"/>
      <c r="O1152" s="57"/>
      <c r="P1152" s="57"/>
      <c r="Q1152" s="53"/>
      <c r="R1152" s="53"/>
      <c r="S1152" s="53"/>
      <c r="T1152" s="59"/>
      <c r="U1152" s="59"/>
      <c r="V1152" s="53"/>
      <c r="W1152" s="53"/>
      <c r="X1152" s="53"/>
      <c r="Z1152" s="60"/>
      <c r="AA1152" s="58"/>
      <c r="AB1152" s="58"/>
      <c r="AC1152" s="61"/>
      <c r="AD1152" s="53"/>
      <c r="AE1152" s="56"/>
      <c r="AF1152" s="56"/>
      <c r="AG1152" s="62"/>
      <c r="AH1152" s="63"/>
      <c r="AI1152" s="61"/>
      <c r="AJ1152" s="58"/>
      <c r="AK1152" s="58"/>
      <c r="AL1152" s="58"/>
      <c r="AM1152" s="58"/>
      <c r="AN1152" s="58"/>
      <c r="AO1152" s="58"/>
    </row>
    <row r="1153" spans="1:41" x14ac:dyDescent="0.2">
      <c r="A1153" s="49"/>
      <c r="B1153" s="50"/>
      <c r="C1153" s="51"/>
      <c r="D1153" s="50"/>
      <c r="E1153" s="49"/>
      <c r="F1153" s="52"/>
      <c r="G1153" s="53"/>
      <c r="H1153" s="54"/>
      <c r="I1153" s="55"/>
      <c r="J1153" s="53"/>
      <c r="K1153" s="53"/>
      <c r="L1153" s="53"/>
      <c r="M1153" s="56"/>
      <c r="N1153" s="53"/>
      <c r="O1153" s="57"/>
      <c r="P1153" s="57"/>
      <c r="Q1153" s="53"/>
      <c r="R1153" s="53"/>
      <c r="S1153" s="53"/>
      <c r="T1153" s="59"/>
      <c r="U1153" s="59"/>
      <c r="V1153" s="53"/>
      <c r="W1153" s="53"/>
      <c r="X1153" s="53"/>
      <c r="Z1153" s="60"/>
      <c r="AA1153" s="58"/>
      <c r="AB1153" s="58"/>
      <c r="AC1153" s="61"/>
      <c r="AD1153" s="53"/>
      <c r="AE1153" s="56"/>
      <c r="AF1153" s="56"/>
      <c r="AG1153" s="62"/>
      <c r="AH1153" s="63"/>
      <c r="AI1153" s="61"/>
      <c r="AJ1153" s="58"/>
      <c r="AK1153" s="58"/>
      <c r="AL1153" s="58"/>
      <c r="AM1153" s="58"/>
      <c r="AN1153" s="58"/>
      <c r="AO1153" s="58"/>
    </row>
    <row r="1154" spans="1:41" x14ac:dyDescent="0.2">
      <c r="A1154" s="49"/>
      <c r="B1154" s="50"/>
      <c r="C1154" s="51"/>
      <c r="D1154" s="50"/>
      <c r="E1154" s="49"/>
      <c r="F1154" s="52"/>
      <c r="G1154" s="53"/>
      <c r="H1154" s="54"/>
      <c r="I1154" s="55"/>
      <c r="J1154" s="53"/>
      <c r="K1154" s="53"/>
      <c r="L1154" s="53"/>
      <c r="M1154" s="56"/>
      <c r="N1154" s="53"/>
      <c r="O1154" s="57"/>
      <c r="P1154" s="57"/>
      <c r="Q1154" s="53"/>
      <c r="R1154" s="53"/>
      <c r="S1154" s="53"/>
      <c r="T1154" s="59"/>
      <c r="U1154" s="59"/>
      <c r="V1154" s="53"/>
      <c r="W1154" s="53"/>
      <c r="X1154" s="53"/>
      <c r="Z1154" s="60"/>
      <c r="AA1154" s="58"/>
      <c r="AB1154" s="58"/>
      <c r="AC1154" s="61"/>
      <c r="AD1154" s="53"/>
      <c r="AE1154" s="56"/>
      <c r="AF1154" s="56"/>
      <c r="AG1154" s="62"/>
      <c r="AH1154" s="63"/>
      <c r="AI1154" s="61"/>
      <c r="AJ1154" s="58"/>
      <c r="AK1154" s="58"/>
      <c r="AL1154" s="58"/>
      <c r="AM1154" s="58"/>
      <c r="AN1154" s="58"/>
      <c r="AO1154" s="58"/>
    </row>
    <row r="1155" spans="1:41" x14ac:dyDescent="0.2">
      <c r="A1155" s="49"/>
      <c r="B1155" s="50"/>
      <c r="C1155" s="51"/>
      <c r="D1155" s="50"/>
      <c r="E1155" s="49"/>
      <c r="F1155" s="52"/>
      <c r="G1155" s="53"/>
      <c r="H1155" s="54"/>
      <c r="I1155" s="55"/>
      <c r="J1155" s="53"/>
      <c r="K1155" s="53"/>
      <c r="L1155" s="53"/>
      <c r="M1155" s="56"/>
      <c r="N1155" s="53"/>
      <c r="O1155" s="57"/>
      <c r="P1155" s="57"/>
      <c r="Q1155" s="53"/>
      <c r="R1155" s="53"/>
      <c r="S1155" s="53"/>
      <c r="T1155" s="59"/>
      <c r="U1155" s="59"/>
      <c r="V1155" s="53"/>
      <c r="W1155" s="53"/>
      <c r="X1155" s="53"/>
      <c r="Z1155" s="60"/>
      <c r="AA1155" s="58"/>
      <c r="AB1155" s="58"/>
      <c r="AC1155" s="61"/>
      <c r="AD1155" s="53"/>
      <c r="AE1155" s="56"/>
      <c r="AF1155" s="56"/>
      <c r="AG1155" s="62"/>
      <c r="AH1155" s="63"/>
      <c r="AI1155" s="61"/>
      <c r="AJ1155" s="58"/>
      <c r="AK1155" s="58"/>
      <c r="AL1155" s="58"/>
      <c r="AM1155" s="58"/>
      <c r="AN1155" s="58"/>
      <c r="AO1155" s="58"/>
    </row>
    <row r="1156" spans="1:41" x14ac:dyDescent="0.2">
      <c r="A1156" s="49"/>
      <c r="B1156" s="50"/>
      <c r="C1156" s="51"/>
      <c r="D1156" s="50"/>
      <c r="E1156" s="49"/>
      <c r="F1156" s="52"/>
      <c r="G1156" s="53"/>
      <c r="H1156" s="54"/>
      <c r="I1156" s="55"/>
      <c r="J1156" s="53"/>
      <c r="K1156" s="53"/>
      <c r="L1156" s="53"/>
      <c r="M1156" s="56"/>
      <c r="N1156" s="53"/>
      <c r="O1156" s="57"/>
      <c r="P1156" s="57"/>
      <c r="Q1156" s="53"/>
      <c r="R1156" s="53"/>
      <c r="S1156" s="53"/>
      <c r="T1156" s="59"/>
      <c r="U1156" s="59"/>
      <c r="V1156" s="53"/>
      <c r="W1156" s="53"/>
      <c r="X1156" s="53"/>
      <c r="Z1156" s="60"/>
      <c r="AA1156" s="58"/>
      <c r="AB1156" s="58"/>
      <c r="AC1156" s="61"/>
      <c r="AD1156" s="53"/>
      <c r="AE1156" s="56"/>
      <c r="AF1156" s="56"/>
      <c r="AG1156" s="62"/>
      <c r="AH1156" s="63"/>
      <c r="AI1156" s="61"/>
      <c r="AJ1156" s="58"/>
      <c r="AK1156" s="58"/>
      <c r="AL1156" s="58"/>
      <c r="AM1156" s="58"/>
      <c r="AN1156" s="58"/>
      <c r="AO1156" s="58"/>
    </row>
    <row r="1157" spans="1:41" x14ac:dyDescent="0.2">
      <c r="A1157" s="49"/>
      <c r="B1157" s="50"/>
      <c r="C1157" s="51"/>
      <c r="D1157" s="49"/>
      <c r="E1157" s="49"/>
      <c r="F1157" s="52"/>
      <c r="G1157" s="53"/>
      <c r="H1157" s="54"/>
      <c r="I1157" s="55"/>
      <c r="J1157" s="53"/>
      <c r="K1157" s="53"/>
      <c r="L1157" s="53"/>
      <c r="M1157" s="56"/>
      <c r="N1157" s="53"/>
      <c r="O1157" s="57"/>
      <c r="P1157" s="58"/>
      <c r="Q1157" s="53"/>
      <c r="R1157" s="53"/>
      <c r="S1157" s="53"/>
      <c r="T1157" s="59"/>
      <c r="U1157" s="59"/>
      <c r="V1157" s="53"/>
      <c r="W1157" s="53"/>
      <c r="X1157" s="53"/>
      <c r="Z1157" s="60"/>
      <c r="AA1157" s="58"/>
      <c r="AB1157" s="58"/>
      <c r="AC1157" s="61"/>
      <c r="AD1157" s="53"/>
      <c r="AE1157" s="56"/>
      <c r="AF1157" s="56"/>
      <c r="AG1157" s="62"/>
      <c r="AH1157" s="63"/>
      <c r="AI1157" s="61"/>
      <c r="AJ1157" s="58"/>
      <c r="AK1157" s="58"/>
      <c r="AL1157" s="58"/>
      <c r="AM1157" s="58"/>
      <c r="AN1157" s="58"/>
      <c r="AO1157" s="58"/>
    </row>
    <row r="1158" spans="1:41" x14ac:dyDescent="0.2">
      <c r="A1158" s="49"/>
      <c r="B1158" s="50"/>
      <c r="C1158" s="51"/>
      <c r="D1158" s="49"/>
      <c r="E1158" s="49"/>
      <c r="F1158" s="52"/>
      <c r="G1158" s="53"/>
      <c r="H1158" s="54"/>
      <c r="I1158" s="55"/>
      <c r="J1158" s="53"/>
      <c r="K1158" s="53"/>
      <c r="L1158" s="53"/>
      <c r="M1158" s="56"/>
      <c r="N1158" s="53"/>
      <c r="O1158" s="57"/>
      <c r="P1158" s="58"/>
      <c r="Q1158" s="53"/>
      <c r="R1158" s="53"/>
      <c r="S1158" s="53"/>
      <c r="T1158" s="59"/>
      <c r="U1158" s="59"/>
      <c r="V1158" s="53"/>
      <c r="W1158" s="53"/>
      <c r="X1158" s="53"/>
      <c r="Z1158" s="60"/>
      <c r="AA1158" s="58"/>
      <c r="AB1158" s="58"/>
      <c r="AC1158" s="61"/>
      <c r="AD1158" s="53"/>
      <c r="AE1158" s="56"/>
      <c r="AF1158" s="56"/>
      <c r="AG1158" s="62"/>
      <c r="AH1158" s="63"/>
      <c r="AI1158" s="61"/>
      <c r="AJ1158" s="58"/>
      <c r="AK1158" s="58"/>
      <c r="AL1158" s="58"/>
      <c r="AM1158" s="58"/>
      <c r="AN1158" s="58"/>
      <c r="AO1158" s="58"/>
    </row>
    <row r="1159" spans="1:41" x14ac:dyDescent="0.2">
      <c r="A1159" s="49"/>
      <c r="B1159" s="50"/>
      <c r="C1159" s="51"/>
      <c r="D1159" s="49"/>
      <c r="E1159" s="49"/>
      <c r="F1159" s="52"/>
      <c r="G1159" s="53"/>
      <c r="H1159" s="54"/>
      <c r="I1159" s="55"/>
      <c r="J1159" s="53"/>
      <c r="K1159" s="53"/>
      <c r="L1159" s="53"/>
      <c r="M1159" s="56"/>
      <c r="N1159" s="53"/>
      <c r="O1159" s="57"/>
      <c r="P1159" s="58"/>
      <c r="Q1159" s="53"/>
      <c r="R1159" s="53"/>
      <c r="S1159" s="53"/>
      <c r="T1159" s="59"/>
      <c r="U1159" s="59"/>
      <c r="V1159" s="53"/>
      <c r="W1159" s="53"/>
      <c r="X1159" s="53"/>
      <c r="Z1159" s="60"/>
      <c r="AA1159" s="58"/>
      <c r="AB1159" s="58"/>
      <c r="AC1159" s="61"/>
      <c r="AD1159" s="53"/>
      <c r="AE1159" s="56"/>
      <c r="AF1159" s="56"/>
      <c r="AG1159" s="62"/>
      <c r="AH1159" s="63"/>
      <c r="AI1159" s="61"/>
      <c r="AJ1159" s="58"/>
      <c r="AK1159" s="58"/>
      <c r="AL1159" s="58"/>
      <c r="AM1159" s="58"/>
      <c r="AN1159" s="58"/>
      <c r="AO1159" s="58"/>
    </row>
    <row r="1160" spans="1:41" x14ac:dyDescent="0.2">
      <c r="A1160" s="49"/>
      <c r="B1160" s="50"/>
      <c r="C1160" s="51"/>
      <c r="D1160" s="49"/>
      <c r="E1160" s="49"/>
      <c r="F1160" s="52"/>
      <c r="G1160" s="53"/>
      <c r="H1160" s="54"/>
      <c r="I1160" s="55"/>
      <c r="J1160" s="53"/>
      <c r="K1160" s="53"/>
      <c r="L1160" s="53"/>
      <c r="M1160" s="56"/>
      <c r="N1160" s="53"/>
      <c r="O1160" s="57"/>
      <c r="P1160" s="58"/>
      <c r="Q1160" s="53"/>
      <c r="R1160" s="53"/>
      <c r="S1160" s="53"/>
      <c r="T1160" s="59"/>
      <c r="U1160" s="59"/>
      <c r="V1160" s="53"/>
      <c r="W1160" s="53"/>
      <c r="X1160" s="53"/>
      <c r="Z1160" s="60"/>
      <c r="AA1160" s="58"/>
      <c r="AB1160" s="58"/>
      <c r="AC1160" s="61"/>
      <c r="AD1160" s="53"/>
      <c r="AE1160" s="56"/>
      <c r="AF1160" s="56"/>
      <c r="AG1160" s="62"/>
      <c r="AH1160" s="63"/>
      <c r="AI1160" s="61"/>
      <c r="AJ1160" s="58"/>
      <c r="AK1160" s="58"/>
      <c r="AL1160" s="58"/>
      <c r="AM1160" s="58"/>
      <c r="AN1160" s="58"/>
      <c r="AO1160" s="58"/>
    </row>
    <row r="1161" spans="1:41" x14ac:dyDescent="0.2">
      <c r="A1161" s="49"/>
      <c r="B1161" s="50"/>
      <c r="C1161" s="51"/>
      <c r="D1161" s="49"/>
      <c r="E1161" s="49"/>
      <c r="F1161" s="52"/>
      <c r="G1161" s="53"/>
      <c r="H1161" s="54"/>
      <c r="I1161" s="55"/>
      <c r="J1161" s="53"/>
      <c r="K1161" s="53"/>
      <c r="L1161" s="53"/>
      <c r="M1161" s="56"/>
      <c r="N1161" s="53"/>
      <c r="O1161" s="57"/>
      <c r="P1161" s="58"/>
      <c r="Q1161" s="53"/>
      <c r="R1161" s="53"/>
      <c r="S1161" s="53"/>
      <c r="T1161" s="59"/>
      <c r="U1161" s="59"/>
      <c r="V1161" s="53"/>
      <c r="W1161" s="53"/>
      <c r="X1161" s="53"/>
      <c r="Z1161" s="60"/>
      <c r="AA1161" s="58"/>
      <c r="AB1161" s="58"/>
      <c r="AC1161" s="61"/>
      <c r="AD1161" s="53"/>
      <c r="AE1161" s="56"/>
      <c r="AF1161" s="56"/>
      <c r="AG1161" s="62"/>
      <c r="AH1161" s="63"/>
      <c r="AI1161" s="61"/>
      <c r="AJ1161" s="58"/>
      <c r="AK1161" s="58"/>
      <c r="AL1161" s="58"/>
      <c r="AM1161" s="58"/>
      <c r="AN1161" s="58"/>
      <c r="AO1161" s="58"/>
    </row>
    <row r="1162" spans="1:41" x14ac:dyDescent="0.2">
      <c r="A1162" s="49"/>
      <c r="B1162" s="50"/>
      <c r="C1162" s="51"/>
      <c r="D1162" s="49"/>
      <c r="E1162" s="49"/>
      <c r="F1162" s="52"/>
      <c r="G1162" s="53"/>
      <c r="H1162" s="54"/>
      <c r="I1162" s="55"/>
      <c r="J1162" s="53"/>
      <c r="K1162" s="53"/>
      <c r="L1162" s="53"/>
      <c r="M1162" s="56"/>
      <c r="N1162" s="53"/>
      <c r="O1162" s="57"/>
      <c r="P1162" s="57"/>
      <c r="Q1162" s="53"/>
      <c r="R1162" s="53"/>
      <c r="S1162" s="53"/>
      <c r="T1162" s="59"/>
      <c r="U1162" s="59"/>
      <c r="V1162" s="53"/>
      <c r="W1162" s="53"/>
      <c r="X1162" s="53"/>
      <c r="Z1162" s="60"/>
      <c r="AA1162" s="58"/>
      <c r="AB1162" s="58"/>
      <c r="AC1162" s="61"/>
      <c r="AD1162" s="53"/>
      <c r="AE1162" s="56"/>
      <c r="AF1162" s="56"/>
      <c r="AG1162" s="62"/>
      <c r="AH1162" s="63"/>
      <c r="AI1162" s="61"/>
      <c r="AJ1162" s="58"/>
      <c r="AK1162" s="58"/>
      <c r="AL1162" s="58"/>
      <c r="AM1162" s="58"/>
      <c r="AN1162" s="58"/>
      <c r="AO1162" s="58"/>
    </row>
    <row r="1163" spans="1:41" x14ac:dyDescent="0.2">
      <c r="A1163" s="49"/>
      <c r="B1163" s="50"/>
      <c r="C1163" s="51"/>
      <c r="D1163" s="49"/>
      <c r="E1163" s="49"/>
      <c r="F1163" s="52"/>
      <c r="G1163" s="53"/>
      <c r="H1163" s="54"/>
      <c r="I1163" s="55"/>
      <c r="J1163" s="53"/>
      <c r="K1163" s="53"/>
      <c r="L1163" s="53"/>
      <c r="M1163" s="56"/>
      <c r="N1163" s="53"/>
      <c r="O1163" s="58"/>
      <c r="P1163" s="57"/>
      <c r="Q1163" s="53"/>
      <c r="R1163" s="53"/>
      <c r="S1163" s="53"/>
      <c r="T1163" s="59"/>
      <c r="U1163" s="59"/>
      <c r="V1163" s="53"/>
      <c r="W1163" s="53"/>
      <c r="X1163" s="53"/>
      <c r="Z1163" s="60"/>
      <c r="AA1163" s="58"/>
      <c r="AB1163" s="58"/>
      <c r="AC1163" s="61"/>
      <c r="AD1163" s="53"/>
      <c r="AE1163" s="56"/>
      <c r="AF1163" s="56"/>
      <c r="AG1163" s="62"/>
      <c r="AH1163" s="63"/>
      <c r="AI1163" s="61"/>
      <c r="AJ1163" s="58"/>
      <c r="AK1163" s="58"/>
      <c r="AL1163" s="58"/>
      <c r="AM1163" s="58"/>
      <c r="AN1163" s="58"/>
      <c r="AO1163" s="58"/>
    </row>
    <row r="1164" spans="1:41" x14ac:dyDescent="0.2">
      <c r="A1164" s="49"/>
      <c r="B1164" s="50"/>
      <c r="C1164" s="51"/>
      <c r="D1164" s="49"/>
      <c r="E1164" s="49"/>
      <c r="F1164" s="52"/>
      <c r="G1164" s="53"/>
      <c r="H1164" s="54"/>
      <c r="I1164" s="55"/>
      <c r="J1164" s="53"/>
      <c r="K1164" s="53"/>
      <c r="L1164" s="53"/>
      <c r="M1164" s="56"/>
      <c r="N1164" s="53"/>
      <c r="O1164" s="57"/>
      <c r="P1164" s="57"/>
      <c r="Q1164" s="53"/>
      <c r="R1164" s="53"/>
      <c r="S1164" s="53"/>
      <c r="T1164" s="59"/>
      <c r="U1164" s="59"/>
      <c r="V1164" s="53"/>
      <c r="W1164" s="53"/>
      <c r="X1164" s="53"/>
      <c r="Z1164" s="60"/>
      <c r="AA1164" s="58"/>
      <c r="AB1164" s="58"/>
      <c r="AC1164" s="61"/>
      <c r="AD1164" s="53"/>
      <c r="AE1164" s="56"/>
      <c r="AF1164" s="56"/>
      <c r="AG1164" s="62"/>
      <c r="AH1164" s="63"/>
      <c r="AI1164" s="61"/>
      <c r="AJ1164" s="58"/>
      <c r="AK1164" s="58"/>
      <c r="AL1164" s="58"/>
      <c r="AM1164" s="58"/>
      <c r="AN1164" s="58"/>
      <c r="AO1164" s="58"/>
    </row>
    <row r="1165" spans="1:41" x14ac:dyDescent="0.2">
      <c r="A1165" s="49"/>
      <c r="B1165" s="50"/>
      <c r="C1165" s="51"/>
      <c r="D1165" s="49"/>
      <c r="E1165" s="49"/>
      <c r="F1165" s="52"/>
      <c r="G1165" s="53"/>
      <c r="H1165" s="54"/>
      <c r="I1165" s="55"/>
      <c r="J1165" s="53"/>
      <c r="K1165" s="53"/>
      <c r="L1165" s="53"/>
      <c r="M1165" s="56"/>
      <c r="N1165" s="53"/>
      <c r="O1165" s="57"/>
      <c r="P1165" s="58"/>
      <c r="Q1165" s="53"/>
      <c r="R1165" s="53"/>
      <c r="S1165" s="53"/>
      <c r="T1165" s="59"/>
      <c r="U1165" s="59"/>
      <c r="V1165" s="53"/>
      <c r="W1165" s="53"/>
      <c r="X1165" s="53"/>
      <c r="Z1165" s="60"/>
      <c r="AA1165" s="58"/>
      <c r="AB1165" s="58"/>
      <c r="AC1165" s="61"/>
      <c r="AD1165" s="53"/>
      <c r="AE1165" s="56"/>
      <c r="AF1165" s="56"/>
      <c r="AG1165" s="62"/>
      <c r="AH1165" s="63"/>
      <c r="AI1165" s="61"/>
      <c r="AJ1165" s="58"/>
      <c r="AK1165" s="58"/>
      <c r="AL1165" s="58"/>
      <c r="AM1165" s="58"/>
      <c r="AN1165" s="58"/>
      <c r="AO1165" s="58"/>
    </row>
    <row r="1166" spans="1:41" x14ac:dyDescent="0.2">
      <c r="A1166" s="49"/>
      <c r="B1166" s="50"/>
      <c r="C1166" s="51"/>
      <c r="D1166" s="49"/>
      <c r="E1166" s="49"/>
      <c r="F1166" s="52"/>
      <c r="G1166" s="53"/>
      <c r="H1166" s="54"/>
      <c r="I1166" s="55"/>
      <c r="J1166" s="53"/>
      <c r="K1166" s="53"/>
      <c r="L1166" s="53"/>
      <c r="M1166" s="56"/>
      <c r="N1166" s="53"/>
      <c r="O1166" s="57"/>
      <c r="P1166" s="58"/>
      <c r="Q1166" s="53"/>
      <c r="R1166" s="53"/>
      <c r="S1166" s="53"/>
      <c r="T1166" s="59"/>
      <c r="U1166" s="59"/>
      <c r="V1166" s="53"/>
      <c r="W1166" s="53"/>
      <c r="X1166" s="53"/>
      <c r="Z1166" s="60"/>
      <c r="AA1166" s="58"/>
      <c r="AB1166" s="58"/>
      <c r="AC1166" s="61"/>
      <c r="AD1166" s="53"/>
      <c r="AE1166" s="56"/>
      <c r="AF1166" s="56"/>
      <c r="AG1166" s="62"/>
      <c r="AH1166" s="63"/>
      <c r="AI1166" s="61"/>
      <c r="AJ1166" s="58"/>
      <c r="AK1166" s="58"/>
      <c r="AL1166" s="58"/>
      <c r="AM1166" s="58"/>
      <c r="AN1166" s="58"/>
      <c r="AO1166" s="58"/>
    </row>
    <row r="1167" spans="1:41" x14ac:dyDescent="0.2">
      <c r="A1167" s="49"/>
      <c r="B1167" s="50"/>
      <c r="C1167" s="51"/>
      <c r="D1167" s="49"/>
      <c r="E1167" s="49"/>
      <c r="F1167" s="52"/>
      <c r="G1167" s="53"/>
      <c r="H1167" s="54"/>
      <c r="I1167" s="55"/>
      <c r="J1167" s="53"/>
      <c r="K1167" s="53"/>
      <c r="L1167" s="53"/>
      <c r="M1167" s="56"/>
      <c r="N1167" s="53"/>
      <c r="O1167" s="57"/>
      <c r="P1167" s="58"/>
      <c r="Q1167" s="53"/>
      <c r="R1167" s="53"/>
      <c r="S1167" s="53"/>
      <c r="T1167" s="59"/>
      <c r="U1167" s="59"/>
      <c r="V1167" s="53"/>
      <c r="W1167" s="53"/>
      <c r="X1167" s="53"/>
      <c r="Z1167" s="60"/>
      <c r="AA1167" s="58"/>
      <c r="AB1167" s="58"/>
      <c r="AC1167" s="61"/>
      <c r="AD1167" s="53"/>
      <c r="AE1167" s="56"/>
      <c r="AF1167" s="56"/>
      <c r="AG1167" s="62"/>
      <c r="AH1167" s="63"/>
      <c r="AI1167" s="61"/>
      <c r="AJ1167" s="58"/>
      <c r="AK1167" s="58"/>
      <c r="AL1167" s="58"/>
      <c r="AM1167" s="58"/>
      <c r="AN1167" s="58"/>
      <c r="AO1167" s="58"/>
    </row>
    <row r="1168" spans="1:41" x14ac:dyDescent="0.2">
      <c r="A1168" s="49"/>
      <c r="B1168" s="50"/>
      <c r="C1168" s="51"/>
      <c r="D1168" s="49"/>
      <c r="E1168" s="49"/>
      <c r="F1168" s="52"/>
      <c r="G1168" s="53"/>
      <c r="H1168" s="54"/>
      <c r="I1168" s="55"/>
      <c r="J1168" s="53"/>
      <c r="K1168" s="53"/>
      <c r="L1168" s="53"/>
      <c r="M1168" s="56"/>
      <c r="N1168" s="53"/>
      <c r="O1168" s="57"/>
      <c r="P1168" s="57"/>
      <c r="Q1168" s="53"/>
      <c r="R1168" s="53"/>
      <c r="S1168" s="53"/>
      <c r="T1168" s="59"/>
      <c r="U1168" s="59"/>
      <c r="V1168" s="53"/>
      <c r="W1168" s="53"/>
      <c r="X1168" s="53"/>
      <c r="Z1168" s="60"/>
      <c r="AA1168" s="58"/>
      <c r="AB1168" s="58"/>
      <c r="AC1168" s="61"/>
      <c r="AD1168" s="53"/>
      <c r="AE1168" s="56"/>
      <c r="AF1168" s="56"/>
      <c r="AG1168" s="62"/>
      <c r="AH1168" s="63"/>
      <c r="AI1168" s="61"/>
      <c r="AJ1168" s="58"/>
      <c r="AK1168" s="58"/>
      <c r="AL1168" s="58"/>
      <c r="AM1168" s="58"/>
      <c r="AN1168" s="58"/>
      <c r="AO1168" s="58"/>
    </row>
    <row r="1169" spans="1:41" x14ac:dyDescent="0.2">
      <c r="A1169" s="49"/>
      <c r="B1169" s="50"/>
      <c r="C1169" s="51"/>
      <c r="D1169" s="49"/>
      <c r="E1169" s="49"/>
      <c r="F1169" s="52"/>
      <c r="G1169" s="53"/>
      <c r="H1169" s="54"/>
      <c r="I1169" s="55"/>
      <c r="J1169" s="53"/>
      <c r="K1169" s="53"/>
      <c r="L1169" s="53"/>
      <c r="M1169" s="56"/>
      <c r="N1169" s="53"/>
      <c r="O1169" s="57"/>
      <c r="P1169" s="58"/>
      <c r="Q1169" s="53"/>
      <c r="R1169" s="53"/>
      <c r="S1169" s="53"/>
      <c r="T1169" s="59"/>
      <c r="U1169" s="59"/>
      <c r="V1169" s="53"/>
      <c r="W1169" s="53"/>
      <c r="X1169" s="53"/>
      <c r="Z1169" s="60"/>
      <c r="AA1169" s="58"/>
      <c r="AB1169" s="58"/>
      <c r="AC1169" s="61"/>
      <c r="AD1169" s="53"/>
      <c r="AE1169" s="56"/>
      <c r="AF1169" s="56"/>
      <c r="AG1169" s="62"/>
      <c r="AH1169" s="63"/>
      <c r="AI1169" s="61"/>
      <c r="AJ1169" s="58"/>
      <c r="AK1169" s="58"/>
      <c r="AL1169" s="58"/>
      <c r="AM1169" s="58"/>
      <c r="AN1169" s="58"/>
      <c r="AO1169" s="58"/>
    </row>
    <row r="1170" spans="1:41" x14ac:dyDescent="0.2">
      <c r="A1170" s="49"/>
      <c r="B1170" s="50"/>
      <c r="C1170" s="51"/>
      <c r="D1170" s="49"/>
      <c r="E1170" s="49"/>
      <c r="F1170" s="52"/>
      <c r="G1170" s="53"/>
      <c r="H1170" s="54"/>
      <c r="I1170" s="55"/>
      <c r="J1170" s="53"/>
      <c r="K1170" s="53"/>
      <c r="L1170" s="53"/>
      <c r="M1170" s="56"/>
      <c r="N1170" s="53"/>
      <c r="O1170" s="57"/>
      <c r="P1170" s="57"/>
      <c r="Q1170" s="53"/>
      <c r="R1170" s="53"/>
      <c r="S1170" s="53"/>
      <c r="T1170" s="59"/>
      <c r="U1170" s="59"/>
      <c r="V1170" s="53"/>
      <c r="W1170" s="53"/>
      <c r="X1170" s="53"/>
      <c r="Z1170" s="60"/>
      <c r="AA1170" s="58"/>
      <c r="AB1170" s="58"/>
      <c r="AC1170" s="61"/>
      <c r="AD1170" s="53"/>
      <c r="AE1170" s="56"/>
      <c r="AF1170" s="56"/>
      <c r="AG1170" s="62"/>
      <c r="AH1170" s="63"/>
      <c r="AI1170" s="61"/>
      <c r="AJ1170" s="58"/>
      <c r="AK1170" s="58"/>
      <c r="AL1170" s="58"/>
      <c r="AM1170" s="58"/>
      <c r="AN1170" s="58"/>
      <c r="AO1170" s="58"/>
    </row>
    <row r="1171" spans="1:41" x14ac:dyDescent="0.2">
      <c r="A1171" s="49"/>
      <c r="B1171" s="50"/>
      <c r="C1171" s="51"/>
      <c r="D1171" s="49"/>
      <c r="E1171" s="49"/>
      <c r="F1171" s="52"/>
      <c r="G1171" s="53"/>
      <c r="H1171" s="54"/>
      <c r="I1171" s="55"/>
      <c r="J1171" s="53"/>
      <c r="K1171" s="53"/>
      <c r="L1171" s="53"/>
      <c r="M1171" s="56"/>
      <c r="N1171" s="53"/>
      <c r="O1171" s="58"/>
      <c r="P1171" s="57"/>
      <c r="Q1171" s="53"/>
      <c r="R1171" s="53"/>
      <c r="S1171" s="53"/>
      <c r="T1171" s="59"/>
      <c r="U1171" s="59"/>
      <c r="V1171" s="53"/>
      <c r="W1171" s="53"/>
      <c r="X1171" s="53"/>
      <c r="Z1171" s="60"/>
      <c r="AA1171" s="58"/>
      <c r="AB1171" s="58"/>
      <c r="AC1171" s="61"/>
      <c r="AD1171" s="53"/>
      <c r="AE1171" s="56"/>
      <c r="AF1171" s="56"/>
      <c r="AG1171" s="62"/>
      <c r="AH1171" s="63"/>
      <c r="AI1171" s="61"/>
      <c r="AJ1171" s="58"/>
      <c r="AK1171" s="58"/>
      <c r="AL1171" s="58"/>
      <c r="AM1171" s="58"/>
      <c r="AN1171" s="58"/>
      <c r="AO1171" s="58"/>
    </row>
    <row r="1172" spans="1:41" x14ac:dyDescent="0.2">
      <c r="A1172" s="49"/>
      <c r="B1172" s="50"/>
      <c r="C1172" s="51"/>
      <c r="D1172" s="49"/>
      <c r="E1172" s="49"/>
      <c r="F1172" s="52"/>
      <c r="G1172" s="53"/>
      <c r="H1172" s="54"/>
      <c r="I1172" s="55"/>
      <c r="J1172" s="53"/>
      <c r="K1172" s="53"/>
      <c r="L1172" s="53"/>
      <c r="M1172" s="56"/>
      <c r="N1172" s="53"/>
      <c r="O1172" s="57"/>
      <c r="P1172" s="58"/>
      <c r="Q1172" s="53"/>
      <c r="R1172" s="53"/>
      <c r="S1172" s="53"/>
      <c r="T1172" s="59"/>
      <c r="U1172" s="59"/>
      <c r="V1172" s="53"/>
      <c r="W1172" s="53"/>
      <c r="X1172" s="53"/>
      <c r="Z1172" s="60"/>
      <c r="AA1172" s="58"/>
      <c r="AB1172" s="58"/>
      <c r="AC1172" s="61"/>
      <c r="AD1172" s="53"/>
      <c r="AE1172" s="56"/>
      <c r="AF1172" s="56"/>
      <c r="AG1172" s="62"/>
      <c r="AH1172" s="63"/>
      <c r="AI1172" s="61"/>
      <c r="AJ1172" s="58"/>
      <c r="AK1172" s="58"/>
      <c r="AL1172" s="58"/>
      <c r="AM1172" s="58"/>
      <c r="AN1172" s="58"/>
      <c r="AO1172" s="58"/>
    </row>
    <row r="1173" spans="1:41" x14ac:dyDescent="0.2">
      <c r="A1173" s="49"/>
      <c r="B1173" s="50"/>
      <c r="C1173" s="51"/>
      <c r="D1173" s="49"/>
      <c r="E1173" s="49"/>
      <c r="F1173" s="52"/>
      <c r="G1173" s="53"/>
      <c r="H1173" s="54"/>
      <c r="I1173" s="55"/>
      <c r="J1173" s="53"/>
      <c r="K1173" s="53"/>
      <c r="L1173" s="53"/>
      <c r="M1173" s="56"/>
      <c r="N1173" s="53"/>
      <c r="O1173" s="57"/>
      <c r="P1173" s="58"/>
      <c r="Q1173" s="53"/>
      <c r="R1173" s="53"/>
      <c r="S1173" s="53"/>
      <c r="T1173" s="59"/>
      <c r="U1173" s="59"/>
      <c r="V1173" s="53"/>
      <c r="W1173" s="53"/>
      <c r="X1173" s="53"/>
      <c r="Z1173" s="60"/>
      <c r="AA1173" s="58"/>
      <c r="AB1173" s="58"/>
      <c r="AC1173" s="61"/>
      <c r="AD1173" s="53"/>
      <c r="AE1173" s="56"/>
      <c r="AF1173" s="56"/>
      <c r="AG1173" s="62"/>
      <c r="AH1173" s="63"/>
      <c r="AI1173" s="61"/>
      <c r="AJ1173" s="58"/>
      <c r="AK1173" s="58"/>
      <c r="AL1173" s="58"/>
      <c r="AM1173" s="58"/>
      <c r="AN1173" s="58"/>
      <c r="AO1173" s="58"/>
    </row>
    <row r="1174" spans="1:41" x14ac:dyDescent="0.2">
      <c r="A1174" s="49"/>
      <c r="B1174" s="50"/>
      <c r="C1174" s="51"/>
      <c r="D1174" s="49"/>
      <c r="E1174" s="49"/>
      <c r="F1174" s="52"/>
      <c r="G1174" s="53"/>
      <c r="H1174" s="54"/>
      <c r="I1174" s="55"/>
      <c r="J1174" s="53"/>
      <c r="K1174" s="53"/>
      <c r="L1174" s="53"/>
      <c r="M1174" s="56"/>
      <c r="N1174" s="53"/>
      <c r="O1174" s="57"/>
      <c r="P1174" s="57"/>
      <c r="Q1174" s="53"/>
      <c r="R1174" s="53"/>
      <c r="S1174" s="53"/>
      <c r="T1174" s="59"/>
      <c r="U1174" s="59"/>
      <c r="V1174" s="53"/>
      <c r="W1174" s="53"/>
      <c r="X1174" s="53"/>
      <c r="Z1174" s="60"/>
      <c r="AA1174" s="58"/>
      <c r="AB1174" s="58"/>
      <c r="AC1174" s="61"/>
      <c r="AD1174" s="53"/>
      <c r="AE1174" s="56"/>
      <c r="AF1174" s="56"/>
      <c r="AG1174" s="62"/>
      <c r="AH1174" s="63"/>
      <c r="AI1174" s="61"/>
      <c r="AJ1174" s="58"/>
      <c r="AK1174" s="58"/>
      <c r="AL1174" s="58"/>
      <c r="AM1174" s="58"/>
      <c r="AN1174" s="58"/>
      <c r="AO1174" s="58"/>
    </row>
    <row r="1175" spans="1:41" x14ac:dyDescent="0.2">
      <c r="A1175" s="49"/>
      <c r="B1175" s="50"/>
      <c r="C1175" s="51"/>
      <c r="D1175" s="49"/>
      <c r="E1175" s="49"/>
      <c r="F1175" s="52"/>
      <c r="G1175" s="53"/>
      <c r="H1175" s="54"/>
      <c r="I1175" s="55"/>
      <c r="J1175" s="53"/>
      <c r="K1175" s="53"/>
      <c r="L1175" s="53"/>
      <c r="M1175" s="56"/>
      <c r="N1175" s="53"/>
      <c r="O1175" s="58"/>
      <c r="P1175" s="58"/>
      <c r="Q1175" s="53"/>
      <c r="R1175" s="53"/>
      <c r="S1175" s="53"/>
      <c r="T1175" s="59"/>
      <c r="U1175" s="59"/>
      <c r="V1175" s="53"/>
      <c r="W1175" s="53"/>
      <c r="X1175" s="53"/>
      <c r="Z1175" s="60"/>
      <c r="AA1175" s="58"/>
      <c r="AB1175" s="58"/>
      <c r="AC1175" s="61"/>
      <c r="AD1175" s="53"/>
      <c r="AE1175" s="56"/>
      <c r="AF1175" s="56"/>
      <c r="AG1175" s="62"/>
      <c r="AH1175" s="63"/>
      <c r="AI1175" s="61"/>
      <c r="AJ1175" s="58"/>
      <c r="AK1175" s="58"/>
      <c r="AL1175" s="58"/>
      <c r="AM1175" s="58"/>
      <c r="AN1175" s="58"/>
      <c r="AO1175" s="58"/>
    </row>
    <row r="1176" spans="1:41" x14ac:dyDescent="0.2">
      <c r="A1176" s="49"/>
      <c r="B1176" s="50"/>
      <c r="C1176" s="51"/>
      <c r="D1176" s="49"/>
      <c r="E1176" s="49"/>
      <c r="F1176" s="52"/>
      <c r="G1176" s="53"/>
      <c r="H1176" s="54"/>
      <c r="I1176" s="55"/>
      <c r="J1176" s="53"/>
      <c r="K1176" s="53"/>
      <c r="L1176" s="53"/>
      <c r="M1176" s="56"/>
      <c r="N1176" s="53"/>
      <c r="O1176" s="58"/>
      <c r="P1176" s="58"/>
      <c r="Q1176" s="53"/>
      <c r="R1176" s="53"/>
      <c r="S1176" s="53"/>
      <c r="T1176" s="59"/>
      <c r="U1176" s="59"/>
      <c r="V1176" s="53"/>
      <c r="W1176" s="53"/>
      <c r="X1176" s="53"/>
      <c r="Z1176" s="60"/>
      <c r="AA1176" s="58"/>
      <c r="AB1176" s="58"/>
      <c r="AC1176" s="61"/>
      <c r="AD1176" s="53"/>
      <c r="AE1176" s="56"/>
      <c r="AF1176" s="56"/>
      <c r="AG1176" s="62"/>
      <c r="AH1176" s="63"/>
      <c r="AI1176" s="61"/>
      <c r="AJ1176" s="58"/>
      <c r="AK1176" s="58"/>
      <c r="AL1176" s="58"/>
      <c r="AM1176" s="58"/>
      <c r="AN1176" s="58"/>
      <c r="AO1176" s="58"/>
    </row>
    <row r="1177" spans="1:41" x14ac:dyDescent="0.2">
      <c r="A1177" s="49"/>
      <c r="B1177" s="50"/>
      <c r="C1177" s="51"/>
      <c r="D1177" s="49"/>
      <c r="E1177" s="49"/>
      <c r="F1177" s="52"/>
      <c r="G1177" s="53"/>
      <c r="H1177" s="54"/>
      <c r="I1177" s="55"/>
      <c r="J1177" s="53"/>
      <c r="K1177" s="53"/>
      <c r="L1177" s="53"/>
      <c r="M1177" s="56"/>
      <c r="N1177" s="53"/>
      <c r="O1177" s="57"/>
      <c r="P1177" s="58"/>
      <c r="Q1177" s="53"/>
      <c r="R1177" s="53"/>
      <c r="S1177" s="53"/>
      <c r="T1177" s="59"/>
      <c r="U1177" s="59"/>
      <c r="V1177" s="53"/>
      <c r="W1177" s="53"/>
      <c r="X1177" s="53"/>
      <c r="Z1177" s="60"/>
      <c r="AA1177" s="58"/>
      <c r="AB1177" s="58"/>
      <c r="AC1177" s="61"/>
      <c r="AD1177" s="53"/>
      <c r="AE1177" s="56"/>
      <c r="AF1177" s="56"/>
      <c r="AG1177" s="62"/>
      <c r="AH1177" s="63"/>
      <c r="AI1177" s="61"/>
      <c r="AJ1177" s="58"/>
      <c r="AK1177" s="58"/>
      <c r="AL1177" s="58"/>
      <c r="AM1177" s="58"/>
      <c r="AN1177" s="58"/>
      <c r="AO1177" s="58"/>
    </row>
    <row r="1178" spans="1:41" x14ac:dyDescent="0.2">
      <c r="A1178" s="49"/>
      <c r="B1178" s="50"/>
      <c r="C1178" s="51"/>
      <c r="D1178" s="49"/>
      <c r="E1178" s="49"/>
      <c r="F1178" s="52"/>
      <c r="G1178" s="53"/>
      <c r="H1178" s="54"/>
      <c r="I1178" s="55"/>
      <c r="J1178" s="53"/>
      <c r="K1178" s="53"/>
      <c r="L1178" s="53"/>
      <c r="M1178" s="56"/>
      <c r="N1178" s="53"/>
      <c r="O1178" s="57"/>
      <c r="P1178" s="58"/>
      <c r="Q1178" s="53"/>
      <c r="R1178" s="53"/>
      <c r="S1178" s="53"/>
      <c r="T1178" s="59"/>
      <c r="U1178" s="59"/>
      <c r="V1178" s="53"/>
      <c r="W1178" s="53"/>
      <c r="X1178" s="53"/>
      <c r="Z1178" s="60"/>
      <c r="AA1178" s="58"/>
      <c r="AB1178" s="58"/>
      <c r="AC1178" s="61"/>
      <c r="AD1178" s="53"/>
      <c r="AE1178" s="56"/>
      <c r="AF1178" s="56"/>
      <c r="AG1178" s="62"/>
      <c r="AH1178" s="63"/>
      <c r="AI1178" s="61"/>
      <c r="AJ1178" s="58"/>
      <c r="AK1178" s="58"/>
      <c r="AL1178" s="58"/>
      <c r="AM1178" s="58"/>
      <c r="AN1178" s="58"/>
      <c r="AO1178" s="58"/>
    </row>
    <row r="1179" spans="1:41" x14ac:dyDescent="0.2">
      <c r="A1179" s="49"/>
      <c r="B1179" s="50"/>
      <c r="C1179" s="51"/>
      <c r="D1179" s="49"/>
      <c r="E1179" s="49"/>
      <c r="F1179" s="52"/>
      <c r="G1179" s="53"/>
      <c r="H1179" s="54"/>
      <c r="I1179" s="55"/>
      <c r="J1179" s="53"/>
      <c r="K1179" s="53"/>
      <c r="L1179" s="53"/>
      <c r="M1179" s="56"/>
      <c r="N1179" s="53"/>
      <c r="O1179" s="57"/>
      <c r="P1179" s="58"/>
      <c r="Q1179" s="53"/>
      <c r="R1179" s="53"/>
      <c r="S1179" s="53"/>
      <c r="T1179" s="59"/>
      <c r="U1179" s="59"/>
      <c r="V1179" s="53"/>
      <c r="W1179" s="53"/>
      <c r="X1179" s="53"/>
      <c r="Z1179" s="60"/>
      <c r="AA1179" s="58"/>
      <c r="AB1179" s="58"/>
      <c r="AC1179" s="61"/>
      <c r="AD1179" s="53"/>
      <c r="AE1179" s="56"/>
      <c r="AF1179" s="56"/>
      <c r="AG1179" s="62"/>
      <c r="AH1179" s="63"/>
      <c r="AI1179" s="61"/>
      <c r="AJ1179" s="58"/>
      <c r="AK1179" s="58"/>
      <c r="AL1179" s="58"/>
      <c r="AM1179" s="58"/>
      <c r="AN1179" s="58"/>
      <c r="AO1179" s="58"/>
    </row>
    <row r="1180" spans="1:41" x14ac:dyDescent="0.2">
      <c r="A1180" s="49"/>
      <c r="B1180" s="50"/>
      <c r="C1180" s="51"/>
      <c r="D1180" s="49"/>
      <c r="E1180" s="49"/>
      <c r="F1180" s="52"/>
      <c r="G1180" s="53"/>
      <c r="H1180" s="54"/>
      <c r="I1180" s="55"/>
      <c r="J1180" s="53"/>
      <c r="K1180" s="53"/>
      <c r="L1180" s="53"/>
      <c r="M1180" s="56"/>
      <c r="N1180" s="53"/>
      <c r="O1180" s="57"/>
      <c r="P1180" s="58"/>
      <c r="Q1180" s="53"/>
      <c r="R1180" s="53"/>
      <c r="S1180" s="53"/>
      <c r="T1180" s="59"/>
      <c r="U1180" s="59"/>
      <c r="V1180" s="53"/>
      <c r="W1180" s="53"/>
      <c r="X1180" s="53"/>
      <c r="Z1180" s="60"/>
      <c r="AA1180" s="58"/>
      <c r="AB1180" s="58"/>
      <c r="AC1180" s="61"/>
      <c r="AD1180" s="53"/>
      <c r="AE1180" s="56"/>
      <c r="AF1180" s="56"/>
      <c r="AG1180" s="62"/>
      <c r="AH1180" s="63"/>
      <c r="AI1180" s="61"/>
      <c r="AJ1180" s="58"/>
      <c r="AK1180" s="58"/>
      <c r="AL1180" s="58"/>
      <c r="AM1180" s="58"/>
      <c r="AN1180" s="58"/>
      <c r="AO1180" s="58"/>
    </row>
    <row r="1181" spans="1:41" x14ac:dyDescent="0.2">
      <c r="A1181" s="49"/>
      <c r="B1181" s="50"/>
      <c r="C1181" s="51"/>
      <c r="D1181" s="49"/>
      <c r="E1181" s="49"/>
      <c r="F1181" s="52"/>
      <c r="G1181" s="53"/>
      <c r="H1181" s="54"/>
      <c r="I1181" s="55"/>
      <c r="J1181" s="53"/>
      <c r="K1181" s="53"/>
      <c r="L1181" s="53"/>
      <c r="M1181" s="56"/>
      <c r="N1181" s="53"/>
      <c r="O1181" s="57"/>
      <c r="P1181" s="58"/>
      <c r="Q1181" s="53"/>
      <c r="R1181" s="53"/>
      <c r="S1181" s="53"/>
      <c r="T1181" s="59"/>
      <c r="U1181" s="59"/>
      <c r="V1181" s="53"/>
      <c r="W1181" s="53"/>
      <c r="X1181" s="53"/>
      <c r="Z1181" s="60"/>
      <c r="AA1181" s="58"/>
      <c r="AB1181" s="58"/>
      <c r="AC1181" s="61"/>
      <c r="AD1181" s="53"/>
      <c r="AE1181" s="56"/>
      <c r="AF1181" s="56"/>
      <c r="AG1181" s="62"/>
      <c r="AH1181" s="63"/>
      <c r="AI1181" s="61"/>
      <c r="AJ1181" s="58"/>
      <c r="AK1181" s="58"/>
      <c r="AL1181" s="58"/>
      <c r="AM1181" s="58"/>
      <c r="AN1181" s="58"/>
      <c r="AO1181" s="58"/>
    </row>
    <row r="1182" spans="1:41" x14ac:dyDescent="0.2">
      <c r="A1182" s="49"/>
      <c r="B1182" s="50"/>
      <c r="C1182" s="51"/>
      <c r="D1182" s="49"/>
      <c r="E1182" s="49"/>
      <c r="F1182" s="52"/>
      <c r="G1182" s="53"/>
      <c r="H1182" s="54"/>
      <c r="I1182" s="55"/>
      <c r="J1182" s="53"/>
      <c r="K1182" s="53"/>
      <c r="L1182" s="53"/>
      <c r="M1182" s="56"/>
      <c r="N1182" s="53"/>
      <c r="O1182" s="57"/>
      <c r="P1182" s="58"/>
      <c r="Q1182" s="53"/>
      <c r="R1182" s="53"/>
      <c r="S1182" s="53"/>
      <c r="T1182" s="59"/>
      <c r="U1182" s="59"/>
      <c r="V1182" s="53"/>
      <c r="W1182" s="53"/>
      <c r="X1182" s="53"/>
      <c r="Z1182" s="60"/>
      <c r="AA1182" s="58"/>
      <c r="AB1182" s="58"/>
      <c r="AC1182" s="61"/>
      <c r="AD1182" s="53"/>
      <c r="AE1182" s="56"/>
      <c r="AF1182" s="56"/>
      <c r="AG1182" s="62"/>
      <c r="AH1182" s="63"/>
      <c r="AI1182" s="61"/>
      <c r="AJ1182" s="58"/>
      <c r="AK1182" s="58"/>
      <c r="AL1182" s="58"/>
      <c r="AM1182" s="58"/>
      <c r="AN1182" s="58"/>
      <c r="AO1182" s="58"/>
    </row>
    <row r="1183" spans="1:41" x14ac:dyDescent="0.2">
      <c r="A1183" s="49"/>
      <c r="B1183" s="50"/>
      <c r="C1183" s="51"/>
      <c r="D1183" s="49"/>
      <c r="E1183" s="49"/>
      <c r="F1183" s="52"/>
      <c r="G1183" s="53"/>
      <c r="H1183" s="54"/>
      <c r="I1183" s="55"/>
      <c r="J1183" s="53"/>
      <c r="K1183" s="53"/>
      <c r="L1183" s="53"/>
      <c r="M1183" s="56"/>
      <c r="N1183" s="53"/>
      <c r="O1183" s="57"/>
      <c r="P1183" s="58"/>
      <c r="Q1183" s="53"/>
      <c r="R1183" s="53"/>
      <c r="S1183" s="53"/>
      <c r="T1183" s="59"/>
      <c r="U1183" s="59"/>
      <c r="V1183" s="53"/>
      <c r="W1183" s="53"/>
      <c r="X1183" s="53"/>
      <c r="Z1183" s="60"/>
      <c r="AA1183" s="58"/>
      <c r="AB1183" s="58"/>
      <c r="AC1183" s="61"/>
      <c r="AD1183" s="53"/>
      <c r="AE1183" s="56"/>
      <c r="AF1183" s="56"/>
      <c r="AG1183" s="62"/>
      <c r="AH1183" s="63"/>
      <c r="AI1183" s="61"/>
      <c r="AJ1183" s="58"/>
      <c r="AK1183" s="58"/>
      <c r="AL1183" s="58"/>
      <c r="AM1183" s="58"/>
      <c r="AN1183" s="58"/>
      <c r="AO1183" s="58"/>
    </row>
    <row r="1184" spans="1:41" x14ac:dyDescent="0.2">
      <c r="A1184" s="49"/>
      <c r="B1184" s="50"/>
      <c r="C1184" s="51"/>
      <c r="D1184" s="49"/>
      <c r="E1184" s="49"/>
      <c r="F1184" s="52"/>
      <c r="G1184" s="53"/>
      <c r="H1184" s="54"/>
      <c r="I1184" s="55"/>
      <c r="J1184" s="53"/>
      <c r="K1184" s="53"/>
      <c r="L1184" s="53"/>
      <c r="M1184" s="56"/>
      <c r="N1184" s="53"/>
      <c r="O1184" s="57"/>
      <c r="P1184" s="58"/>
      <c r="Q1184" s="53"/>
      <c r="R1184" s="53"/>
      <c r="S1184" s="53"/>
      <c r="T1184" s="59"/>
      <c r="U1184" s="59"/>
      <c r="V1184" s="53"/>
      <c r="W1184" s="53"/>
      <c r="X1184" s="53"/>
      <c r="Z1184" s="60"/>
      <c r="AA1184" s="58"/>
      <c r="AB1184" s="58"/>
      <c r="AC1184" s="61"/>
      <c r="AD1184" s="53"/>
      <c r="AE1184" s="56"/>
      <c r="AF1184" s="56"/>
      <c r="AG1184" s="62"/>
      <c r="AH1184" s="63"/>
      <c r="AI1184" s="61"/>
      <c r="AJ1184" s="58"/>
      <c r="AK1184" s="58"/>
      <c r="AL1184" s="58"/>
      <c r="AM1184" s="58"/>
      <c r="AN1184" s="58"/>
      <c r="AO1184" s="58"/>
    </row>
    <row r="1185" spans="1:41" x14ac:dyDescent="0.2">
      <c r="A1185" s="49"/>
      <c r="B1185" s="50"/>
      <c r="C1185" s="51"/>
      <c r="D1185" s="49"/>
      <c r="E1185" s="49"/>
      <c r="F1185" s="52"/>
      <c r="G1185" s="53"/>
      <c r="H1185" s="54"/>
      <c r="I1185" s="55"/>
      <c r="J1185" s="53"/>
      <c r="K1185" s="53"/>
      <c r="L1185" s="53"/>
      <c r="M1185" s="56"/>
      <c r="N1185" s="53"/>
      <c r="O1185" s="57"/>
      <c r="P1185" s="58"/>
      <c r="Q1185" s="53"/>
      <c r="R1185" s="53"/>
      <c r="S1185" s="53"/>
      <c r="T1185" s="59"/>
      <c r="U1185" s="59"/>
      <c r="V1185" s="53"/>
      <c r="W1185" s="53"/>
      <c r="X1185" s="53"/>
      <c r="Z1185" s="60"/>
      <c r="AA1185" s="58"/>
      <c r="AB1185" s="58"/>
      <c r="AC1185" s="61"/>
      <c r="AD1185" s="53"/>
      <c r="AE1185" s="56"/>
      <c r="AF1185" s="56"/>
      <c r="AG1185" s="62"/>
      <c r="AH1185" s="63"/>
      <c r="AI1185" s="61"/>
      <c r="AJ1185" s="58"/>
      <c r="AK1185" s="58"/>
      <c r="AL1185" s="58"/>
      <c r="AM1185" s="58"/>
      <c r="AN1185" s="58"/>
      <c r="AO1185" s="58"/>
    </row>
    <row r="1186" spans="1:41" x14ac:dyDescent="0.2">
      <c r="A1186" s="49"/>
      <c r="B1186" s="50"/>
      <c r="C1186" s="51"/>
      <c r="D1186" s="49"/>
      <c r="E1186" s="49"/>
      <c r="F1186" s="52"/>
      <c r="G1186" s="53"/>
      <c r="H1186" s="54"/>
      <c r="I1186" s="55"/>
      <c r="J1186" s="53"/>
      <c r="K1186" s="53"/>
      <c r="L1186" s="53"/>
      <c r="M1186" s="56"/>
      <c r="N1186" s="53"/>
      <c r="O1186" s="57"/>
      <c r="P1186" s="58"/>
      <c r="Q1186" s="53"/>
      <c r="R1186" s="53"/>
      <c r="S1186" s="53"/>
      <c r="T1186" s="59"/>
      <c r="U1186" s="59"/>
      <c r="V1186" s="53"/>
      <c r="W1186" s="53"/>
      <c r="X1186" s="53"/>
      <c r="Z1186" s="60"/>
      <c r="AA1186" s="58"/>
      <c r="AB1186" s="58"/>
      <c r="AC1186" s="61"/>
      <c r="AD1186" s="53"/>
      <c r="AE1186" s="56"/>
      <c r="AF1186" s="56"/>
      <c r="AG1186" s="62"/>
      <c r="AH1186" s="63"/>
      <c r="AI1186" s="61"/>
      <c r="AJ1186" s="58"/>
      <c r="AK1186" s="58"/>
      <c r="AL1186" s="58"/>
      <c r="AM1186" s="58"/>
      <c r="AN1186" s="58"/>
      <c r="AO1186" s="58"/>
    </row>
    <row r="1187" spans="1:41" x14ac:dyDescent="0.2">
      <c r="A1187" s="49"/>
      <c r="B1187" s="50"/>
      <c r="C1187" s="51"/>
      <c r="D1187" s="49"/>
      <c r="E1187" s="49"/>
      <c r="F1187" s="52"/>
      <c r="G1187" s="53"/>
      <c r="H1187" s="54"/>
      <c r="I1187" s="55"/>
      <c r="J1187" s="53"/>
      <c r="K1187" s="53"/>
      <c r="L1187" s="53"/>
      <c r="M1187" s="56"/>
      <c r="N1187" s="53"/>
      <c r="O1187" s="57"/>
      <c r="P1187" s="58"/>
      <c r="Q1187" s="53"/>
      <c r="R1187" s="53"/>
      <c r="S1187" s="53"/>
      <c r="T1187" s="59"/>
      <c r="U1187" s="59"/>
      <c r="V1187" s="53"/>
      <c r="W1187" s="53"/>
      <c r="X1187" s="53"/>
      <c r="Z1187" s="60"/>
      <c r="AA1187" s="58"/>
      <c r="AB1187" s="58"/>
      <c r="AC1187" s="61"/>
      <c r="AD1187" s="53"/>
      <c r="AE1187" s="56"/>
      <c r="AF1187" s="56"/>
      <c r="AG1187" s="62"/>
      <c r="AH1187" s="63"/>
      <c r="AI1187" s="61"/>
      <c r="AJ1187" s="58"/>
      <c r="AK1187" s="58"/>
      <c r="AL1187" s="58"/>
      <c r="AM1187" s="58"/>
      <c r="AN1187" s="58"/>
      <c r="AO1187" s="58"/>
    </row>
    <row r="1188" spans="1:41" x14ac:dyDescent="0.2">
      <c r="A1188" s="49"/>
      <c r="B1188" s="50"/>
      <c r="C1188" s="51"/>
      <c r="D1188" s="49"/>
      <c r="E1188" s="49"/>
      <c r="F1188" s="52"/>
      <c r="G1188" s="53"/>
      <c r="H1188" s="54"/>
      <c r="I1188" s="55"/>
      <c r="J1188" s="53"/>
      <c r="K1188" s="53"/>
      <c r="L1188" s="53"/>
      <c r="M1188" s="56"/>
      <c r="N1188" s="53"/>
      <c r="O1188" s="57"/>
      <c r="P1188" s="58"/>
      <c r="Q1188" s="53"/>
      <c r="R1188" s="53"/>
      <c r="S1188" s="53"/>
      <c r="T1188" s="59"/>
      <c r="U1188" s="59"/>
      <c r="V1188" s="53"/>
      <c r="W1188" s="53"/>
      <c r="X1188" s="53"/>
      <c r="Z1188" s="60"/>
      <c r="AA1188" s="58"/>
      <c r="AB1188" s="58"/>
      <c r="AC1188" s="61"/>
      <c r="AD1188" s="53"/>
      <c r="AE1188" s="56"/>
      <c r="AF1188" s="56"/>
      <c r="AG1188" s="62"/>
      <c r="AH1188" s="63"/>
      <c r="AI1188" s="61"/>
      <c r="AJ1188" s="58"/>
      <c r="AK1188" s="58"/>
      <c r="AL1188" s="58"/>
      <c r="AM1188" s="58"/>
      <c r="AN1188" s="58"/>
      <c r="AO1188" s="58"/>
    </row>
    <row r="1189" spans="1:41" x14ac:dyDescent="0.2">
      <c r="A1189" s="49"/>
      <c r="B1189" s="50"/>
      <c r="C1189" s="51"/>
      <c r="D1189" s="49"/>
      <c r="E1189" s="49"/>
      <c r="F1189" s="52"/>
      <c r="G1189" s="53"/>
      <c r="H1189" s="54"/>
      <c r="I1189" s="55"/>
      <c r="J1189" s="53"/>
      <c r="K1189" s="53"/>
      <c r="L1189" s="53"/>
      <c r="M1189" s="56"/>
      <c r="N1189" s="53"/>
      <c r="O1189" s="58"/>
      <c r="P1189" s="57"/>
      <c r="Q1189" s="53"/>
      <c r="R1189" s="53"/>
      <c r="S1189" s="53"/>
      <c r="T1189" s="59"/>
      <c r="U1189" s="59"/>
      <c r="V1189" s="53"/>
      <c r="W1189" s="53"/>
      <c r="X1189" s="53"/>
      <c r="Z1189" s="60"/>
      <c r="AA1189" s="58"/>
      <c r="AB1189" s="58"/>
      <c r="AC1189" s="61"/>
      <c r="AD1189" s="53"/>
      <c r="AE1189" s="56"/>
      <c r="AF1189" s="56"/>
      <c r="AG1189" s="62"/>
      <c r="AH1189" s="63"/>
      <c r="AI1189" s="61"/>
      <c r="AJ1189" s="58"/>
      <c r="AK1189" s="58"/>
      <c r="AL1189" s="58"/>
      <c r="AM1189" s="58"/>
      <c r="AN1189" s="58"/>
      <c r="AO1189" s="58"/>
    </row>
    <row r="1190" spans="1:41" x14ac:dyDescent="0.2">
      <c r="A1190" s="49"/>
      <c r="B1190" s="50"/>
      <c r="C1190" s="51"/>
      <c r="D1190" s="49"/>
      <c r="E1190" s="49"/>
      <c r="F1190" s="52"/>
      <c r="G1190" s="53"/>
      <c r="H1190" s="54"/>
      <c r="I1190" s="55"/>
      <c r="J1190" s="53"/>
      <c r="K1190" s="53"/>
      <c r="L1190" s="53"/>
      <c r="M1190" s="56"/>
      <c r="N1190" s="53"/>
      <c r="O1190" s="57"/>
      <c r="P1190" s="58"/>
      <c r="Q1190" s="53"/>
      <c r="R1190" s="53"/>
      <c r="S1190" s="53"/>
      <c r="T1190" s="59"/>
      <c r="U1190" s="59"/>
      <c r="V1190" s="53"/>
      <c r="W1190" s="53"/>
      <c r="X1190" s="53"/>
      <c r="Z1190" s="60"/>
      <c r="AA1190" s="58"/>
      <c r="AB1190" s="58"/>
      <c r="AC1190" s="61"/>
      <c r="AD1190" s="53"/>
      <c r="AE1190" s="56"/>
      <c r="AF1190" s="56"/>
      <c r="AG1190" s="62"/>
      <c r="AH1190" s="63"/>
      <c r="AI1190" s="61"/>
      <c r="AJ1190" s="58"/>
      <c r="AK1190" s="58"/>
      <c r="AL1190" s="58"/>
      <c r="AM1190" s="58"/>
      <c r="AN1190" s="58"/>
      <c r="AO1190" s="58"/>
    </row>
    <row r="1191" spans="1:41" x14ac:dyDescent="0.2">
      <c r="A1191" s="49"/>
      <c r="B1191" s="50"/>
      <c r="C1191" s="51"/>
      <c r="D1191" s="49"/>
      <c r="E1191" s="49"/>
      <c r="F1191" s="52"/>
      <c r="G1191" s="53"/>
      <c r="H1191" s="54"/>
      <c r="I1191" s="55"/>
      <c r="J1191" s="53"/>
      <c r="K1191" s="53"/>
      <c r="L1191" s="53"/>
      <c r="M1191" s="56"/>
      <c r="N1191" s="53"/>
      <c r="O1191" s="57"/>
      <c r="P1191" s="58"/>
      <c r="Q1191" s="53"/>
      <c r="R1191" s="53"/>
      <c r="S1191" s="53"/>
      <c r="T1191" s="59"/>
      <c r="U1191" s="59"/>
      <c r="V1191" s="53"/>
      <c r="W1191" s="53"/>
      <c r="X1191" s="53"/>
      <c r="Z1191" s="60"/>
      <c r="AA1191" s="58"/>
      <c r="AB1191" s="58"/>
      <c r="AC1191" s="61"/>
      <c r="AD1191" s="53"/>
      <c r="AE1191" s="56"/>
      <c r="AF1191" s="56"/>
      <c r="AG1191" s="62"/>
      <c r="AH1191" s="63"/>
      <c r="AI1191" s="61"/>
      <c r="AJ1191" s="58"/>
      <c r="AK1191" s="58"/>
      <c r="AL1191" s="58"/>
      <c r="AM1191" s="58"/>
      <c r="AN1191" s="58"/>
      <c r="AO1191" s="58"/>
    </row>
    <row r="1192" spans="1:41" x14ac:dyDescent="0.2">
      <c r="A1192" s="49"/>
      <c r="B1192" s="50"/>
      <c r="C1192" s="51"/>
      <c r="D1192" s="49"/>
      <c r="E1192" s="49"/>
      <c r="F1192" s="52"/>
      <c r="G1192" s="53"/>
      <c r="H1192" s="54"/>
      <c r="I1192" s="55"/>
      <c r="J1192" s="53"/>
      <c r="K1192" s="53"/>
      <c r="L1192" s="53"/>
      <c r="M1192" s="56"/>
      <c r="N1192" s="53"/>
      <c r="O1192" s="57"/>
      <c r="P1192" s="58"/>
      <c r="Q1192" s="53"/>
      <c r="R1192" s="53"/>
      <c r="S1192" s="53"/>
      <c r="T1192" s="59"/>
      <c r="U1192" s="59"/>
      <c r="V1192" s="53"/>
      <c r="W1192" s="53"/>
      <c r="X1192" s="53"/>
      <c r="Z1192" s="60"/>
      <c r="AA1192" s="58"/>
      <c r="AB1192" s="58"/>
      <c r="AC1192" s="61"/>
      <c r="AD1192" s="53"/>
      <c r="AE1192" s="56"/>
      <c r="AF1192" s="56"/>
      <c r="AG1192" s="62"/>
      <c r="AH1192" s="63"/>
      <c r="AI1192" s="61"/>
      <c r="AJ1192" s="58"/>
      <c r="AK1192" s="58"/>
      <c r="AL1192" s="58"/>
      <c r="AM1192" s="58"/>
      <c r="AN1192" s="58"/>
      <c r="AO1192" s="58"/>
    </row>
    <row r="1193" spans="1:41" x14ac:dyDescent="0.2">
      <c r="A1193" s="49"/>
      <c r="B1193" s="50"/>
      <c r="C1193" s="51"/>
      <c r="D1193" s="49"/>
      <c r="E1193" s="49"/>
      <c r="F1193" s="52"/>
      <c r="G1193" s="53"/>
      <c r="H1193" s="54"/>
      <c r="I1193" s="55"/>
      <c r="J1193" s="53"/>
      <c r="K1193" s="53"/>
      <c r="L1193" s="53"/>
      <c r="M1193" s="56"/>
      <c r="N1193" s="53"/>
      <c r="O1193" s="57"/>
      <c r="P1193" s="58"/>
      <c r="Q1193" s="53"/>
      <c r="R1193" s="53"/>
      <c r="S1193" s="53"/>
      <c r="T1193" s="59"/>
      <c r="U1193" s="59"/>
      <c r="V1193" s="53"/>
      <c r="W1193" s="53"/>
      <c r="X1193" s="53"/>
      <c r="Z1193" s="60"/>
      <c r="AA1193" s="58"/>
      <c r="AB1193" s="58"/>
      <c r="AC1193" s="61"/>
      <c r="AD1193" s="53"/>
      <c r="AE1193" s="56"/>
      <c r="AF1193" s="56"/>
      <c r="AG1193" s="62"/>
      <c r="AH1193" s="63"/>
      <c r="AI1193" s="61"/>
      <c r="AJ1193" s="58"/>
      <c r="AK1193" s="58"/>
      <c r="AL1193" s="58"/>
      <c r="AM1193" s="58"/>
      <c r="AN1193" s="58"/>
      <c r="AO1193" s="58"/>
    </row>
    <row r="1194" spans="1:41" x14ac:dyDescent="0.2">
      <c r="A1194" s="49"/>
      <c r="B1194" s="50"/>
      <c r="C1194" s="51"/>
      <c r="D1194" s="49"/>
      <c r="E1194" s="49"/>
      <c r="F1194" s="52"/>
      <c r="G1194" s="53"/>
      <c r="H1194" s="54"/>
      <c r="I1194" s="55"/>
      <c r="J1194" s="53"/>
      <c r="K1194" s="53"/>
      <c r="L1194" s="53"/>
      <c r="M1194" s="56"/>
      <c r="N1194" s="53"/>
      <c r="O1194" s="57"/>
      <c r="P1194" s="58"/>
      <c r="Q1194" s="53"/>
      <c r="R1194" s="53"/>
      <c r="S1194" s="53"/>
      <c r="T1194" s="59"/>
      <c r="U1194" s="59"/>
      <c r="V1194" s="53"/>
      <c r="W1194" s="53"/>
      <c r="X1194" s="53"/>
      <c r="Z1194" s="60"/>
      <c r="AA1194" s="58"/>
      <c r="AB1194" s="58"/>
      <c r="AC1194" s="61"/>
      <c r="AD1194" s="53"/>
      <c r="AE1194" s="56"/>
      <c r="AF1194" s="56"/>
      <c r="AG1194" s="62"/>
      <c r="AH1194" s="63"/>
      <c r="AI1194" s="61"/>
      <c r="AJ1194" s="58"/>
      <c r="AK1194" s="58"/>
      <c r="AL1194" s="58"/>
      <c r="AM1194" s="58"/>
      <c r="AN1194" s="58"/>
      <c r="AO1194" s="58"/>
    </row>
    <row r="1195" spans="1:41" x14ac:dyDescent="0.2">
      <c r="A1195" s="49"/>
      <c r="B1195" s="50"/>
      <c r="C1195" s="51"/>
      <c r="D1195" s="49"/>
      <c r="E1195" s="49"/>
      <c r="F1195" s="52"/>
      <c r="G1195" s="53"/>
      <c r="H1195" s="54"/>
      <c r="I1195" s="55"/>
      <c r="J1195" s="53"/>
      <c r="K1195" s="53"/>
      <c r="L1195" s="53"/>
      <c r="M1195" s="56"/>
      <c r="N1195" s="53"/>
      <c r="O1195" s="57"/>
      <c r="P1195" s="58"/>
      <c r="Q1195" s="53"/>
      <c r="R1195" s="53"/>
      <c r="S1195" s="53"/>
      <c r="T1195" s="59"/>
      <c r="U1195" s="59"/>
      <c r="V1195" s="53"/>
      <c r="W1195" s="53"/>
      <c r="X1195" s="53"/>
      <c r="Z1195" s="60"/>
      <c r="AA1195" s="58"/>
      <c r="AB1195" s="58"/>
      <c r="AC1195" s="61"/>
      <c r="AD1195" s="53"/>
      <c r="AE1195" s="56"/>
      <c r="AF1195" s="56"/>
      <c r="AG1195" s="62"/>
      <c r="AH1195" s="63"/>
      <c r="AI1195" s="61"/>
      <c r="AJ1195" s="58"/>
      <c r="AK1195" s="58"/>
      <c r="AL1195" s="58"/>
      <c r="AM1195" s="58"/>
      <c r="AN1195" s="58"/>
      <c r="AO1195" s="58"/>
    </row>
    <row r="1196" spans="1:41" x14ac:dyDescent="0.2">
      <c r="A1196" s="49"/>
      <c r="B1196" s="50"/>
      <c r="C1196" s="51"/>
      <c r="D1196" s="49"/>
      <c r="E1196" s="49"/>
      <c r="F1196" s="52"/>
      <c r="G1196" s="53"/>
      <c r="H1196" s="54"/>
      <c r="I1196" s="55"/>
      <c r="J1196" s="53"/>
      <c r="K1196" s="53"/>
      <c r="L1196" s="53"/>
      <c r="M1196" s="56"/>
      <c r="N1196" s="53"/>
      <c r="O1196" s="57"/>
      <c r="P1196" s="57"/>
      <c r="Q1196" s="53"/>
      <c r="R1196" s="53"/>
      <c r="S1196" s="53"/>
      <c r="T1196" s="59"/>
      <c r="U1196" s="59"/>
      <c r="V1196" s="53"/>
      <c r="W1196" s="53"/>
      <c r="X1196" s="53"/>
      <c r="Z1196" s="60"/>
      <c r="AA1196" s="58"/>
      <c r="AB1196" s="58"/>
      <c r="AC1196" s="61"/>
      <c r="AD1196" s="53"/>
      <c r="AE1196" s="56"/>
      <c r="AF1196" s="56"/>
      <c r="AG1196" s="62"/>
      <c r="AH1196" s="63"/>
      <c r="AI1196" s="61"/>
      <c r="AJ1196" s="58"/>
      <c r="AK1196" s="58"/>
      <c r="AL1196" s="58"/>
      <c r="AM1196" s="58"/>
      <c r="AN1196" s="58"/>
      <c r="AO1196" s="58"/>
    </row>
    <row r="1197" spans="1:41" x14ac:dyDescent="0.2">
      <c r="A1197" s="49"/>
      <c r="B1197" s="50"/>
      <c r="C1197" s="51"/>
      <c r="D1197" s="49"/>
      <c r="E1197" s="49"/>
      <c r="F1197" s="52"/>
      <c r="G1197" s="53"/>
      <c r="H1197" s="54"/>
      <c r="I1197" s="55"/>
      <c r="J1197" s="53"/>
      <c r="K1197" s="53"/>
      <c r="L1197" s="53"/>
      <c r="M1197" s="56"/>
      <c r="N1197" s="53"/>
      <c r="O1197" s="57"/>
      <c r="P1197" s="57"/>
      <c r="Q1197" s="53"/>
      <c r="R1197" s="53"/>
      <c r="S1197" s="53"/>
      <c r="T1197" s="59"/>
      <c r="U1197" s="59"/>
      <c r="V1197" s="53"/>
      <c r="W1197" s="53"/>
      <c r="X1197" s="53"/>
      <c r="Z1197" s="60"/>
      <c r="AA1197" s="58"/>
      <c r="AB1197" s="58"/>
      <c r="AC1197" s="61"/>
      <c r="AD1197" s="53"/>
      <c r="AE1197" s="56"/>
      <c r="AF1197" s="56"/>
      <c r="AG1197" s="62"/>
      <c r="AH1197" s="63"/>
      <c r="AI1197" s="61"/>
      <c r="AJ1197" s="58"/>
      <c r="AK1197" s="58"/>
      <c r="AL1197" s="58"/>
      <c r="AM1197" s="58"/>
      <c r="AN1197" s="58"/>
      <c r="AO1197" s="58"/>
    </row>
    <row r="1198" spans="1:41" x14ac:dyDescent="0.2">
      <c r="A1198" s="49"/>
      <c r="B1198" s="50"/>
      <c r="C1198" s="51"/>
      <c r="D1198" s="49"/>
      <c r="E1198" s="49"/>
      <c r="F1198" s="52"/>
      <c r="G1198" s="53"/>
      <c r="H1198" s="54"/>
      <c r="I1198" s="55"/>
      <c r="J1198" s="53"/>
      <c r="K1198" s="53"/>
      <c r="L1198" s="53"/>
      <c r="M1198" s="56"/>
      <c r="N1198" s="53"/>
      <c r="O1198" s="58"/>
      <c r="P1198" s="57"/>
      <c r="Q1198" s="53"/>
      <c r="R1198" s="53"/>
      <c r="S1198" s="53"/>
      <c r="T1198" s="59"/>
      <c r="U1198" s="59"/>
      <c r="V1198" s="53"/>
      <c r="W1198" s="53"/>
      <c r="X1198" s="53"/>
      <c r="Z1198" s="60"/>
      <c r="AA1198" s="58"/>
      <c r="AB1198" s="58"/>
      <c r="AC1198" s="61"/>
      <c r="AD1198" s="53"/>
      <c r="AE1198" s="56"/>
      <c r="AF1198" s="56"/>
      <c r="AG1198" s="62"/>
      <c r="AH1198" s="63"/>
      <c r="AI1198" s="61"/>
      <c r="AJ1198" s="58"/>
      <c r="AK1198" s="58"/>
      <c r="AL1198" s="58"/>
      <c r="AM1198" s="58"/>
      <c r="AN1198" s="58"/>
      <c r="AO1198" s="58"/>
    </row>
    <row r="1199" spans="1:41" x14ac:dyDescent="0.2">
      <c r="A1199" s="49"/>
      <c r="B1199" s="50"/>
      <c r="C1199" s="51"/>
      <c r="D1199" s="49"/>
      <c r="E1199" s="49"/>
      <c r="F1199" s="52"/>
      <c r="G1199" s="53"/>
      <c r="H1199" s="54"/>
      <c r="I1199" s="55"/>
      <c r="J1199" s="53"/>
      <c r="K1199" s="53"/>
      <c r="L1199" s="53"/>
      <c r="M1199" s="56"/>
      <c r="N1199" s="53"/>
      <c r="O1199" s="57"/>
      <c r="P1199" s="58"/>
      <c r="Q1199" s="53"/>
      <c r="R1199" s="53"/>
      <c r="S1199" s="53"/>
      <c r="T1199" s="59"/>
      <c r="U1199" s="59"/>
      <c r="V1199" s="53"/>
      <c r="W1199" s="53"/>
      <c r="X1199" s="53"/>
      <c r="Z1199" s="60"/>
      <c r="AA1199" s="58"/>
      <c r="AB1199" s="58"/>
      <c r="AC1199" s="61"/>
      <c r="AD1199" s="53"/>
      <c r="AE1199" s="56"/>
      <c r="AF1199" s="56"/>
      <c r="AG1199" s="62"/>
      <c r="AH1199" s="63"/>
      <c r="AI1199" s="61"/>
      <c r="AJ1199" s="58"/>
      <c r="AK1199" s="58"/>
      <c r="AL1199" s="58"/>
      <c r="AM1199" s="58"/>
      <c r="AN1199" s="58"/>
      <c r="AO1199" s="58"/>
    </row>
    <row r="1200" spans="1:41" x14ac:dyDescent="0.2">
      <c r="A1200" s="49"/>
      <c r="B1200" s="50"/>
      <c r="C1200" s="51"/>
      <c r="D1200" s="49"/>
      <c r="E1200" s="49"/>
      <c r="F1200" s="52"/>
      <c r="G1200" s="53"/>
      <c r="H1200" s="54"/>
      <c r="I1200" s="55"/>
      <c r="J1200" s="53"/>
      <c r="K1200" s="53"/>
      <c r="L1200" s="53"/>
      <c r="M1200" s="56"/>
      <c r="N1200" s="53"/>
      <c r="O1200" s="57"/>
      <c r="P1200" s="58"/>
      <c r="Q1200" s="53"/>
      <c r="R1200" s="53"/>
      <c r="S1200" s="53"/>
      <c r="T1200" s="59"/>
      <c r="U1200" s="59"/>
      <c r="V1200" s="53"/>
      <c r="W1200" s="53"/>
      <c r="X1200" s="53"/>
      <c r="Z1200" s="60"/>
      <c r="AA1200" s="58"/>
      <c r="AB1200" s="58"/>
      <c r="AC1200" s="61"/>
      <c r="AD1200" s="53"/>
      <c r="AE1200" s="56"/>
      <c r="AF1200" s="56"/>
      <c r="AG1200" s="62"/>
      <c r="AH1200" s="63"/>
      <c r="AI1200" s="61"/>
      <c r="AJ1200" s="58"/>
      <c r="AK1200" s="58"/>
      <c r="AL1200" s="58"/>
      <c r="AM1200" s="58"/>
      <c r="AN1200" s="58"/>
      <c r="AO1200" s="58"/>
    </row>
    <row r="1201" spans="1:41" x14ac:dyDescent="0.2">
      <c r="A1201" s="49"/>
      <c r="B1201" s="50"/>
      <c r="C1201" s="51"/>
      <c r="D1201" s="49"/>
      <c r="E1201" s="49"/>
      <c r="F1201" s="52"/>
      <c r="G1201" s="53"/>
      <c r="H1201" s="54"/>
      <c r="I1201" s="55"/>
      <c r="J1201" s="53"/>
      <c r="K1201" s="53"/>
      <c r="L1201" s="53"/>
      <c r="M1201" s="56"/>
      <c r="N1201" s="53"/>
      <c r="O1201" s="58"/>
      <c r="P1201" s="58"/>
      <c r="Q1201" s="53"/>
      <c r="R1201" s="53"/>
      <c r="S1201" s="53"/>
      <c r="T1201" s="59"/>
      <c r="U1201" s="59"/>
      <c r="V1201" s="53"/>
      <c r="W1201" s="53"/>
      <c r="X1201" s="53"/>
      <c r="Z1201" s="60"/>
      <c r="AA1201" s="58"/>
      <c r="AB1201" s="58"/>
      <c r="AC1201" s="61"/>
      <c r="AD1201" s="53"/>
      <c r="AE1201" s="56"/>
      <c r="AF1201" s="56"/>
      <c r="AG1201" s="62"/>
      <c r="AH1201" s="63"/>
      <c r="AI1201" s="61"/>
      <c r="AJ1201" s="58"/>
      <c r="AK1201" s="58"/>
      <c r="AL1201" s="58"/>
      <c r="AM1201" s="58"/>
      <c r="AN1201" s="58"/>
      <c r="AO1201" s="58"/>
    </row>
    <row r="1202" spans="1:41" x14ac:dyDescent="0.2">
      <c r="A1202" s="49"/>
      <c r="B1202" s="50"/>
      <c r="C1202" s="51"/>
      <c r="D1202" s="49"/>
      <c r="E1202" s="49"/>
      <c r="F1202" s="52"/>
      <c r="G1202" s="53"/>
      <c r="H1202" s="54"/>
      <c r="I1202" s="55"/>
      <c r="J1202" s="53"/>
      <c r="K1202" s="53"/>
      <c r="L1202" s="53"/>
      <c r="M1202" s="56"/>
      <c r="N1202" s="53"/>
      <c r="O1202" s="58"/>
      <c r="P1202" s="58"/>
      <c r="Q1202" s="53"/>
      <c r="R1202" s="53"/>
      <c r="S1202" s="53"/>
      <c r="T1202" s="59"/>
      <c r="U1202" s="59"/>
      <c r="V1202" s="53"/>
      <c r="W1202" s="53"/>
      <c r="X1202" s="53"/>
      <c r="Z1202" s="60"/>
      <c r="AA1202" s="58"/>
      <c r="AB1202" s="58"/>
      <c r="AC1202" s="61"/>
      <c r="AD1202" s="53"/>
      <c r="AE1202" s="56"/>
      <c r="AF1202" s="56"/>
      <c r="AG1202" s="62"/>
      <c r="AH1202" s="63"/>
      <c r="AI1202" s="61"/>
      <c r="AJ1202" s="58"/>
      <c r="AK1202" s="58"/>
      <c r="AL1202" s="58"/>
      <c r="AM1202" s="58"/>
      <c r="AN1202" s="58"/>
      <c r="AO1202" s="58"/>
    </row>
    <row r="1203" spans="1:41" x14ac:dyDescent="0.2">
      <c r="A1203" s="49"/>
      <c r="B1203" s="50"/>
      <c r="C1203" s="51"/>
      <c r="D1203" s="49"/>
      <c r="E1203" s="49"/>
      <c r="F1203" s="52"/>
      <c r="G1203" s="53"/>
      <c r="H1203" s="54"/>
      <c r="I1203" s="55"/>
      <c r="J1203" s="53"/>
      <c r="K1203" s="53"/>
      <c r="L1203" s="53"/>
      <c r="M1203" s="56"/>
      <c r="N1203" s="53"/>
      <c r="O1203" s="58"/>
      <c r="P1203" s="57"/>
      <c r="Q1203" s="53"/>
      <c r="R1203" s="53"/>
      <c r="S1203" s="53"/>
      <c r="T1203" s="59"/>
      <c r="U1203" s="59"/>
      <c r="V1203" s="53"/>
      <c r="W1203" s="53"/>
      <c r="X1203" s="53"/>
      <c r="Z1203" s="60"/>
      <c r="AA1203" s="58"/>
      <c r="AB1203" s="58"/>
      <c r="AC1203" s="61"/>
      <c r="AD1203" s="53"/>
      <c r="AE1203" s="56"/>
      <c r="AF1203" s="56"/>
      <c r="AG1203" s="62"/>
      <c r="AH1203" s="63"/>
      <c r="AI1203" s="61"/>
      <c r="AJ1203" s="58"/>
      <c r="AK1203" s="58"/>
      <c r="AL1203" s="58"/>
      <c r="AM1203" s="58"/>
      <c r="AN1203" s="58"/>
      <c r="AO1203" s="58"/>
    </row>
    <row r="1204" spans="1:41" x14ac:dyDescent="0.2">
      <c r="A1204" s="69"/>
      <c r="B1204" s="74"/>
      <c r="C1204" s="75"/>
      <c r="D1204" s="69"/>
      <c r="E1204" s="69"/>
      <c r="F1204" s="76"/>
      <c r="G1204" s="69"/>
      <c r="H1204" s="77"/>
      <c r="I1204" s="78"/>
      <c r="J1204" s="69"/>
      <c r="K1204" s="69"/>
      <c r="L1204" s="69"/>
      <c r="M1204" s="79"/>
      <c r="N1204" s="69"/>
      <c r="O1204" s="80"/>
      <c r="P1204" s="81"/>
      <c r="Q1204" s="69"/>
      <c r="R1204" s="69"/>
      <c r="S1204" s="69"/>
      <c r="T1204" s="60"/>
      <c r="U1204" s="60"/>
      <c r="V1204" s="69"/>
      <c r="W1204" s="69"/>
      <c r="X1204" s="69"/>
      <c r="Z1204" s="60"/>
      <c r="AA1204" s="81"/>
      <c r="AB1204" s="81"/>
      <c r="AC1204" s="82"/>
      <c r="AD1204" s="69"/>
      <c r="AE1204" s="79"/>
      <c r="AF1204" s="79"/>
      <c r="AG1204" s="83"/>
      <c r="AH1204" s="84"/>
      <c r="AI1204" s="82"/>
      <c r="AJ1204" s="81"/>
      <c r="AK1204" s="81"/>
      <c r="AL1204" s="81"/>
      <c r="AM1204" s="81"/>
      <c r="AN1204" s="81"/>
      <c r="AO1204" s="81"/>
    </row>
    <row r="1205" spans="1:41" x14ac:dyDescent="0.2">
      <c r="A1205" s="69"/>
      <c r="B1205" s="74"/>
      <c r="C1205" s="75"/>
      <c r="D1205" s="69"/>
      <c r="E1205" s="69"/>
      <c r="F1205" s="76"/>
      <c r="G1205" s="69"/>
      <c r="H1205" s="77"/>
      <c r="I1205" s="78"/>
      <c r="J1205" s="69"/>
      <c r="K1205" s="69"/>
      <c r="L1205" s="69"/>
      <c r="M1205" s="79"/>
      <c r="N1205" s="69"/>
      <c r="O1205" s="80"/>
      <c r="P1205" s="80"/>
      <c r="Q1205" s="69"/>
      <c r="R1205" s="69"/>
      <c r="S1205" s="69"/>
      <c r="T1205" s="60"/>
      <c r="U1205" s="60"/>
      <c r="V1205" s="69"/>
      <c r="W1205" s="69"/>
      <c r="X1205" s="69"/>
      <c r="Z1205" s="60"/>
      <c r="AA1205" s="81"/>
      <c r="AB1205" s="81"/>
      <c r="AC1205" s="82"/>
      <c r="AD1205" s="69"/>
      <c r="AE1205" s="79"/>
      <c r="AF1205" s="79"/>
      <c r="AG1205" s="83"/>
      <c r="AH1205" s="84"/>
      <c r="AI1205" s="82"/>
      <c r="AJ1205" s="81"/>
      <c r="AK1205" s="81"/>
      <c r="AL1205" s="81"/>
      <c r="AM1205" s="81"/>
      <c r="AN1205" s="81"/>
      <c r="AO1205" s="81"/>
    </row>
    <row r="1206" spans="1:41" x14ac:dyDescent="0.2">
      <c r="A1206" s="69"/>
      <c r="B1206" s="74"/>
      <c r="C1206" s="75"/>
      <c r="D1206" s="69"/>
      <c r="E1206" s="69"/>
      <c r="F1206" s="76"/>
      <c r="G1206" s="69"/>
      <c r="H1206" s="77"/>
      <c r="I1206" s="78"/>
      <c r="J1206" s="69"/>
      <c r="K1206" s="69"/>
      <c r="L1206" s="69"/>
      <c r="M1206" s="79"/>
      <c r="N1206" s="69"/>
      <c r="O1206" s="80"/>
      <c r="P1206" s="80"/>
      <c r="Q1206" s="69"/>
      <c r="R1206" s="69"/>
      <c r="S1206" s="69"/>
      <c r="T1206" s="60"/>
      <c r="U1206" s="60"/>
      <c r="V1206" s="69"/>
      <c r="W1206" s="69"/>
      <c r="X1206" s="69"/>
      <c r="Z1206" s="60"/>
      <c r="AA1206" s="81"/>
      <c r="AB1206" s="81"/>
      <c r="AC1206" s="82"/>
      <c r="AD1206" s="69"/>
      <c r="AE1206" s="79"/>
      <c r="AF1206" s="79"/>
      <c r="AG1206" s="83"/>
      <c r="AH1206" s="84"/>
      <c r="AI1206" s="82"/>
      <c r="AJ1206" s="81"/>
      <c r="AK1206" s="81"/>
      <c r="AL1206" s="81"/>
      <c r="AM1206" s="81"/>
      <c r="AN1206" s="81"/>
      <c r="AO1206" s="81"/>
    </row>
    <row r="1207" spans="1:41" x14ac:dyDescent="0.2">
      <c r="A1207" s="49"/>
      <c r="B1207" s="50"/>
      <c r="C1207" s="51"/>
      <c r="D1207" s="49"/>
      <c r="E1207" s="49"/>
      <c r="F1207" s="52"/>
      <c r="G1207" s="53"/>
      <c r="H1207" s="54"/>
      <c r="I1207" s="55"/>
      <c r="J1207" s="53"/>
      <c r="K1207" s="53"/>
      <c r="L1207" s="53"/>
      <c r="M1207" s="56"/>
      <c r="N1207" s="53"/>
      <c r="O1207" s="57"/>
      <c r="P1207" s="58"/>
      <c r="Q1207" s="53"/>
      <c r="R1207" s="53"/>
      <c r="S1207" s="53"/>
      <c r="T1207" s="59"/>
      <c r="U1207" s="59"/>
      <c r="V1207" s="53"/>
      <c r="W1207" s="53"/>
      <c r="X1207" s="53"/>
      <c r="Z1207" s="60"/>
      <c r="AA1207" s="58"/>
      <c r="AB1207" s="58"/>
      <c r="AC1207" s="61"/>
      <c r="AD1207" s="53"/>
      <c r="AE1207" s="56"/>
      <c r="AF1207" s="56"/>
      <c r="AG1207" s="62"/>
      <c r="AH1207" s="63"/>
      <c r="AI1207" s="61"/>
      <c r="AJ1207" s="58"/>
      <c r="AK1207" s="58"/>
      <c r="AL1207" s="58"/>
      <c r="AM1207" s="58"/>
      <c r="AN1207" s="58"/>
      <c r="AO1207" s="58"/>
    </row>
    <row r="1208" spans="1:41" x14ac:dyDescent="0.2">
      <c r="A1208" s="49"/>
      <c r="B1208" s="50"/>
      <c r="C1208" s="51"/>
      <c r="D1208" s="49"/>
      <c r="E1208" s="49"/>
      <c r="F1208" s="52"/>
      <c r="G1208" s="53"/>
      <c r="H1208" s="54"/>
      <c r="I1208" s="55"/>
      <c r="J1208" s="53"/>
      <c r="K1208" s="53"/>
      <c r="L1208" s="53"/>
      <c r="M1208" s="56"/>
      <c r="N1208" s="53"/>
      <c r="O1208" s="57"/>
      <c r="P1208" s="58"/>
      <c r="Q1208" s="53"/>
      <c r="R1208" s="53"/>
      <c r="S1208" s="53"/>
      <c r="T1208" s="59"/>
      <c r="U1208" s="59"/>
      <c r="V1208" s="53"/>
      <c r="W1208" s="53"/>
      <c r="X1208" s="53"/>
      <c r="Z1208" s="60"/>
      <c r="AA1208" s="58"/>
      <c r="AB1208" s="58"/>
      <c r="AC1208" s="61"/>
      <c r="AD1208" s="53"/>
      <c r="AE1208" s="56"/>
      <c r="AF1208" s="56"/>
      <c r="AG1208" s="62"/>
      <c r="AH1208" s="63"/>
      <c r="AI1208" s="61"/>
      <c r="AJ1208" s="58"/>
      <c r="AK1208" s="58"/>
      <c r="AL1208" s="58"/>
      <c r="AM1208" s="58"/>
      <c r="AN1208" s="58"/>
      <c r="AO1208" s="58"/>
    </row>
    <row r="1209" spans="1:41" x14ac:dyDescent="0.2">
      <c r="A1209" s="49"/>
      <c r="B1209" s="50"/>
      <c r="C1209" s="51"/>
      <c r="D1209" s="49"/>
      <c r="E1209" s="49"/>
      <c r="F1209" s="52"/>
      <c r="G1209" s="53"/>
      <c r="H1209" s="54"/>
      <c r="I1209" s="55"/>
      <c r="J1209" s="53"/>
      <c r="K1209" s="53"/>
      <c r="L1209" s="53"/>
      <c r="M1209" s="56"/>
      <c r="N1209" s="53"/>
      <c r="O1209" s="57"/>
      <c r="P1209" s="58"/>
      <c r="Q1209" s="53"/>
      <c r="R1209" s="53"/>
      <c r="S1209" s="53"/>
      <c r="T1209" s="59"/>
      <c r="U1209" s="59"/>
      <c r="V1209" s="53"/>
      <c r="W1209" s="53"/>
      <c r="X1209" s="53"/>
      <c r="Z1209" s="60"/>
      <c r="AA1209" s="58"/>
      <c r="AB1209" s="58"/>
      <c r="AC1209" s="61"/>
      <c r="AD1209" s="53"/>
      <c r="AE1209" s="56"/>
      <c r="AF1209" s="56"/>
      <c r="AG1209" s="62"/>
      <c r="AH1209" s="63"/>
      <c r="AI1209" s="61"/>
      <c r="AJ1209" s="58"/>
      <c r="AK1209" s="58"/>
      <c r="AL1209" s="58"/>
      <c r="AM1209" s="58"/>
      <c r="AN1209" s="58"/>
      <c r="AO1209" s="58"/>
    </row>
    <row r="1210" spans="1:41" x14ac:dyDescent="0.2">
      <c r="A1210" s="49"/>
      <c r="B1210" s="50"/>
      <c r="C1210" s="51"/>
      <c r="D1210" s="49"/>
      <c r="E1210" s="49"/>
      <c r="F1210" s="52"/>
      <c r="G1210" s="53"/>
      <c r="H1210" s="54"/>
      <c r="I1210" s="55"/>
      <c r="J1210" s="53"/>
      <c r="K1210" s="53"/>
      <c r="L1210" s="53"/>
      <c r="M1210" s="56"/>
      <c r="N1210" s="53"/>
      <c r="O1210" s="57"/>
      <c r="P1210" s="57"/>
      <c r="Q1210" s="53"/>
      <c r="R1210" s="53"/>
      <c r="S1210" s="53"/>
      <c r="T1210" s="59"/>
      <c r="U1210" s="59"/>
      <c r="V1210" s="53"/>
      <c r="W1210" s="53"/>
      <c r="X1210" s="53"/>
      <c r="Z1210" s="60"/>
      <c r="AA1210" s="58"/>
      <c r="AB1210" s="58"/>
      <c r="AC1210" s="61"/>
      <c r="AD1210" s="53"/>
      <c r="AE1210" s="56"/>
      <c r="AF1210" s="56"/>
      <c r="AG1210" s="62"/>
      <c r="AH1210" s="63"/>
      <c r="AI1210" s="61"/>
      <c r="AJ1210" s="58"/>
      <c r="AK1210" s="58"/>
      <c r="AL1210" s="58"/>
      <c r="AM1210" s="58"/>
      <c r="AN1210" s="58"/>
      <c r="AO1210" s="58"/>
    </row>
    <row r="1211" spans="1:41" x14ac:dyDescent="0.2">
      <c r="A1211" s="49"/>
      <c r="B1211" s="50"/>
      <c r="C1211" s="51"/>
      <c r="D1211" s="49"/>
      <c r="E1211" s="49"/>
      <c r="F1211" s="52"/>
      <c r="G1211" s="53"/>
      <c r="H1211" s="54"/>
      <c r="I1211" s="55"/>
      <c r="J1211" s="53"/>
      <c r="K1211" s="53"/>
      <c r="L1211" s="53"/>
      <c r="M1211" s="56"/>
      <c r="N1211" s="53"/>
      <c r="O1211" s="57"/>
      <c r="P1211" s="57"/>
      <c r="Q1211" s="53"/>
      <c r="R1211" s="53"/>
      <c r="S1211" s="53"/>
      <c r="T1211" s="59"/>
      <c r="U1211" s="59"/>
      <c r="V1211" s="53"/>
      <c r="W1211" s="53"/>
      <c r="X1211" s="53"/>
      <c r="Z1211" s="60"/>
      <c r="AA1211" s="58"/>
      <c r="AB1211" s="58"/>
      <c r="AC1211" s="61"/>
      <c r="AD1211" s="53"/>
      <c r="AE1211" s="56"/>
      <c r="AF1211" s="56"/>
      <c r="AG1211" s="62"/>
      <c r="AH1211" s="63"/>
      <c r="AI1211" s="61"/>
      <c r="AJ1211" s="58"/>
      <c r="AK1211" s="58"/>
      <c r="AL1211" s="58"/>
      <c r="AM1211" s="58"/>
      <c r="AN1211" s="58"/>
      <c r="AO1211" s="58"/>
    </row>
    <row r="1212" spans="1:41" x14ac:dyDescent="0.2">
      <c r="A1212" s="69"/>
      <c r="B1212" s="74"/>
      <c r="C1212" s="75"/>
      <c r="D1212" s="69"/>
      <c r="E1212" s="69"/>
      <c r="F1212" s="76"/>
      <c r="G1212" s="69"/>
      <c r="H1212" s="77"/>
      <c r="I1212" s="78"/>
      <c r="J1212" s="69"/>
      <c r="K1212" s="69"/>
      <c r="L1212" s="69"/>
      <c r="M1212" s="79"/>
      <c r="N1212" s="69"/>
      <c r="O1212" s="80"/>
      <c r="P1212" s="81"/>
      <c r="Q1212" s="69"/>
      <c r="R1212" s="69"/>
      <c r="S1212" s="69"/>
      <c r="T1212" s="60"/>
      <c r="U1212" s="60"/>
      <c r="V1212" s="69"/>
      <c r="W1212" s="69"/>
      <c r="X1212" s="69"/>
      <c r="Z1212" s="60"/>
      <c r="AA1212" s="81"/>
      <c r="AB1212" s="81"/>
      <c r="AC1212" s="82"/>
      <c r="AD1212" s="69"/>
      <c r="AE1212" s="79"/>
      <c r="AF1212" s="79"/>
      <c r="AG1212" s="83"/>
      <c r="AH1212" s="84"/>
      <c r="AI1212" s="82"/>
      <c r="AJ1212" s="81"/>
      <c r="AK1212" s="81"/>
      <c r="AL1212" s="81"/>
      <c r="AM1212" s="81"/>
      <c r="AN1212" s="81"/>
      <c r="AO1212" s="81"/>
    </row>
    <row r="1213" spans="1:41" x14ac:dyDescent="0.2">
      <c r="A1213" s="69"/>
      <c r="B1213" s="74"/>
      <c r="C1213" s="75"/>
      <c r="D1213" s="69"/>
      <c r="E1213" s="69"/>
      <c r="F1213" s="76"/>
      <c r="G1213" s="69"/>
      <c r="H1213" s="77"/>
      <c r="I1213" s="78"/>
      <c r="J1213" s="69"/>
      <c r="K1213" s="69"/>
      <c r="L1213" s="69"/>
      <c r="M1213" s="79"/>
      <c r="N1213" s="69"/>
      <c r="O1213" s="80"/>
      <c r="P1213" s="81"/>
      <c r="Q1213" s="69"/>
      <c r="R1213" s="69"/>
      <c r="S1213" s="69"/>
      <c r="T1213" s="60"/>
      <c r="U1213" s="60"/>
      <c r="V1213" s="69"/>
      <c r="W1213" s="69"/>
      <c r="X1213" s="69"/>
      <c r="Z1213" s="60"/>
      <c r="AA1213" s="81"/>
      <c r="AB1213" s="81"/>
      <c r="AC1213" s="82"/>
      <c r="AD1213" s="69"/>
      <c r="AE1213" s="79"/>
      <c r="AF1213" s="79"/>
      <c r="AG1213" s="83"/>
      <c r="AH1213" s="84"/>
      <c r="AI1213" s="82"/>
      <c r="AJ1213" s="81"/>
      <c r="AK1213" s="81"/>
      <c r="AL1213" s="81"/>
      <c r="AM1213" s="81"/>
      <c r="AN1213" s="81"/>
      <c r="AO1213" s="81"/>
    </row>
    <row r="1214" spans="1:41" x14ac:dyDescent="0.2">
      <c r="A1214" s="69"/>
      <c r="B1214" s="74"/>
      <c r="C1214" s="75"/>
      <c r="D1214" s="69"/>
      <c r="E1214" s="69"/>
      <c r="F1214" s="76"/>
      <c r="G1214" s="69"/>
      <c r="H1214" s="77"/>
      <c r="I1214" s="78"/>
      <c r="J1214" s="69"/>
      <c r="K1214" s="69"/>
      <c r="L1214" s="69"/>
      <c r="M1214" s="79"/>
      <c r="N1214" s="69"/>
      <c r="O1214" s="80"/>
      <c r="P1214" s="81"/>
      <c r="Q1214" s="69"/>
      <c r="R1214" s="69"/>
      <c r="S1214" s="69"/>
      <c r="T1214" s="60"/>
      <c r="U1214" s="60"/>
      <c r="V1214" s="69"/>
      <c r="W1214" s="69"/>
      <c r="X1214" s="69"/>
      <c r="Z1214" s="60"/>
      <c r="AA1214" s="81"/>
      <c r="AB1214" s="81"/>
      <c r="AC1214" s="82"/>
      <c r="AD1214" s="69"/>
      <c r="AE1214" s="79"/>
      <c r="AF1214" s="79"/>
      <c r="AG1214" s="83"/>
      <c r="AH1214" s="84"/>
      <c r="AI1214" s="82"/>
      <c r="AJ1214" s="81"/>
      <c r="AK1214" s="81"/>
      <c r="AL1214" s="81"/>
      <c r="AM1214" s="81"/>
      <c r="AN1214" s="81"/>
      <c r="AO1214" s="81"/>
    </row>
    <row r="1215" spans="1:41" x14ac:dyDescent="0.2">
      <c r="A1215" s="69"/>
      <c r="B1215" s="74"/>
      <c r="C1215" s="75"/>
      <c r="D1215" s="69"/>
      <c r="E1215" s="69"/>
      <c r="F1215" s="76"/>
      <c r="G1215" s="69"/>
      <c r="H1215" s="77"/>
      <c r="I1215" s="78"/>
      <c r="J1215" s="69"/>
      <c r="K1215" s="69"/>
      <c r="L1215" s="69"/>
      <c r="M1215" s="79"/>
      <c r="N1215" s="69"/>
      <c r="O1215" s="80"/>
      <c r="P1215" s="81"/>
      <c r="Q1215" s="69"/>
      <c r="R1215" s="69"/>
      <c r="S1215" s="69"/>
      <c r="T1215" s="60"/>
      <c r="U1215" s="60"/>
      <c r="V1215" s="69"/>
      <c r="W1215" s="69"/>
      <c r="X1215" s="69"/>
      <c r="Z1215" s="60"/>
      <c r="AA1215" s="81"/>
      <c r="AB1215" s="81"/>
      <c r="AC1215" s="82"/>
      <c r="AD1215" s="69"/>
      <c r="AE1215" s="79"/>
      <c r="AF1215" s="79"/>
      <c r="AG1215" s="83"/>
      <c r="AH1215" s="84"/>
      <c r="AI1215" s="82"/>
      <c r="AJ1215" s="81"/>
      <c r="AK1215" s="81"/>
      <c r="AL1215" s="81"/>
      <c r="AM1215" s="81"/>
      <c r="AN1215" s="81"/>
      <c r="AO1215" s="81"/>
    </row>
    <row r="1216" spans="1:41" x14ac:dyDescent="0.2">
      <c r="A1216" s="69"/>
      <c r="B1216" s="74"/>
      <c r="C1216" s="75"/>
      <c r="D1216" s="69"/>
      <c r="E1216" s="69"/>
      <c r="F1216" s="76"/>
      <c r="G1216" s="69"/>
      <c r="H1216" s="77"/>
      <c r="I1216" s="78"/>
      <c r="J1216" s="69"/>
      <c r="K1216" s="69"/>
      <c r="L1216" s="69"/>
      <c r="M1216" s="79"/>
      <c r="N1216" s="69"/>
      <c r="O1216" s="80"/>
      <c r="P1216" s="80"/>
      <c r="Q1216" s="69"/>
      <c r="R1216" s="69"/>
      <c r="S1216" s="69"/>
      <c r="T1216" s="60"/>
      <c r="U1216" s="60"/>
      <c r="V1216" s="69"/>
      <c r="W1216" s="69"/>
      <c r="X1216" s="69"/>
      <c r="Z1216" s="60"/>
      <c r="AA1216" s="81"/>
      <c r="AB1216" s="81"/>
      <c r="AC1216" s="82"/>
      <c r="AD1216" s="69"/>
      <c r="AE1216" s="79"/>
      <c r="AF1216" s="79"/>
      <c r="AG1216" s="83"/>
      <c r="AH1216" s="84"/>
      <c r="AI1216" s="82"/>
      <c r="AJ1216" s="81"/>
      <c r="AK1216" s="81"/>
      <c r="AL1216" s="81"/>
      <c r="AM1216" s="81"/>
      <c r="AN1216" s="81"/>
      <c r="AO1216" s="81"/>
    </row>
    <row r="1217" spans="1:41" x14ac:dyDescent="0.2">
      <c r="A1217" s="69"/>
      <c r="B1217" s="74"/>
      <c r="C1217" s="75"/>
      <c r="D1217" s="69"/>
      <c r="E1217" s="69"/>
      <c r="F1217" s="76"/>
      <c r="G1217" s="69"/>
      <c r="H1217" s="77"/>
      <c r="I1217" s="78"/>
      <c r="J1217" s="69"/>
      <c r="K1217" s="69"/>
      <c r="L1217" s="69"/>
      <c r="M1217" s="79"/>
      <c r="N1217" s="69"/>
      <c r="O1217" s="80"/>
      <c r="P1217" s="80"/>
      <c r="Q1217" s="69"/>
      <c r="R1217" s="69"/>
      <c r="S1217" s="69"/>
      <c r="T1217" s="60"/>
      <c r="U1217" s="60"/>
      <c r="V1217" s="69"/>
      <c r="W1217" s="69"/>
      <c r="X1217" s="69"/>
      <c r="Z1217" s="60"/>
      <c r="AA1217" s="81"/>
      <c r="AB1217" s="81"/>
      <c r="AC1217" s="82"/>
      <c r="AD1217" s="69"/>
      <c r="AE1217" s="79"/>
      <c r="AF1217" s="79"/>
      <c r="AG1217" s="83"/>
      <c r="AH1217" s="84"/>
      <c r="AI1217" s="82"/>
      <c r="AJ1217" s="81"/>
      <c r="AK1217" s="81"/>
      <c r="AL1217" s="81"/>
      <c r="AM1217" s="81"/>
      <c r="AN1217" s="81"/>
      <c r="AO1217" s="81"/>
    </row>
    <row r="1218" spans="1:41" x14ac:dyDescent="0.2">
      <c r="A1218" s="49"/>
      <c r="B1218" s="50"/>
      <c r="C1218" s="51"/>
      <c r="D1218" s="49"/>
      <c r="E1218" s="49"/>
      <c r="F1218" s="52"/>
      <c r="G1218" s="53"/>
      <c r="H1218" s="54"/>
      <c r="I1218" s="55"/>
      <c r="J1218" s="53"/>
      <c r="K1218" s="53"/>
      <c r="L1218" s="53"/>
      <c r="M1218" s="56"/>
      <c r="N1218" s="53"/>
      <c r="O1218" s="57"/>
      <c r="P1218" s="58"/>
      <c r="Q1218" s="53"/>
      <c r="R1218" s="53"/>
      <c r="S1218" s="53"/>
      <c r="T1218" s="59"/>
      <c r="U1218" s="59"/>
      <c r="V1218" s="53"/>
      <c r="W1218" s="53"/>
      <c r="X1218" s="53"/>
      <c r="Z1218" s="60"/>
      <c r="AA1218" s="58"/>
      <c r="AB1218" s="58"/>
      <c r="AC1218" s="61"/>
      <c r="AD1218" s="53"/>
      <c r="AE1218" s="56"/>
      <c r="AF1218" s="56"/>
      <c r="AG1218" s="62"/>
      <c r="AH1218" s="63"/>
      <c r="AI1218" s="61"/>
      <c r="AJ1218" s="58"/>
      <c r="AK1218" s="58"/>
      <c r="AL1218" s="58"/>
      <c r="AM1218" s="58"/>
      <c r="AN1218" s="58"/>
      <c r="AO1218" s="58"/>
    </row>
    <row r="1219" spans="1:41" x14ac:dyDescent="0.2">
      <c r="A1219" s="49"/>
      <c r="B1219" s="50"/>
      <c r="C1219" s="51"/>
      <c r="D1219" s="49"/>
      <c r="E1219" s="49"/>
      <c r="F1219" s="52"/>
      <c r="G1219" s="53"/>
      <c r="H1219" s="54"/>
      <c r="I1219" s="55"/>
      <c r="J1219" s="53"/>
      <c r="K1219" s="53"/>
      <c r="L1219" s="53"/>
      <c r="M1219" s="56"/>
      <c r="N1219" s="53"/>
      <c r="O1219" s="57"/>
      <c r="P1219" s="58"/>
      <c r="Q1219" s="53"/>
      <c r="R1219" s="53"/>
      <c r="S1219" s="53"/>
      <c r="T1219" s="59"/>
      <c r="U1219" s="59"/>
      <c r="V1219" s="53"/>
      <c r="W1219" s="53"/>
      <c r="X1219" s="53"/>
      <c r="Z1219" s="60"/>
      <c r="AA1219" s="58"/>
      <c r="AB1219" s="58"/>
      <c r="AC1219" s="61"/>
      <c r="AD1219" s="53"/>
      <c r="AE1219" s="56"/>
      <c r="AF1219" s="56"/>
      <c r="AG1219" s="62"/>
      <c r="AH1219" s="63"/>
      <c r="AI1219" s="61"/>
      <c r="AJ1219" s="58"/>
      <c r="AK1219" s="58"/>
      <c r="AL1219" s="58"/>
      <c r="AM1219" s="58"/>
      <c r="AN1219" s="58"/>
      <c r="AO1219" s="58"/>
    </row>
    <row r="1220" spans="1:41" x14ac:dyDescent="0.2">
      <c r="A1220" s="49"/>
      <c r="B1220" s="50"/>
      <c r="C1220" s="51"/>
      <c r="D1220" s="49"/>
      <c r="E1220" s="49"/>
      <c r="F1220" s="52"/>
      <c r="G1220" s="53"/>
      <c r="H1220" s="54"/>
      <c r="I1220" s="55"/>
      <c r="J1220" s="53"/>
      <c r="K1220" s="53"/>
      <c r="L1220" s="53"/>
      <c r="M1220" s="56"/>
      <c r="N1220" s="53"/>
      <c r="O1220" s="57"/>
      <c r="P1220" s="57"/>
      <c r="Q1220" s="53"/>
      <c r="R1220" s="53"/>
      <c r="S1220" s="53"/>
      <c r="T1220" s="59"/>
      <c r="U1220" s="59"/>
      <c r="V1220" s="53"/>
      <c r="W1220" s="53"/>
      <c r="X1220" s="53"/>
      <c r="Z1220" s="60"/>
      <c r="AA1220" s="58"/>
      <c r="AB1220" s="58"/>
      <c r="AC1220" s="61"/>
      <c r="AD1220" s="53"/>
      <c r="AE1220" s="56"/>
      <c r="AF1220" s="56"/>
      <c r="AG1220" s="62"/>
      <c r="AH1220" s="63"/>
      <c r="AI1220" s="61"/>
      <c r="AJ1220" s="58"/>
      <c r="AK1220" s="58"/>
      <c r="AL1220" s="58"/>
      <c r="AM1220" s="58"/>
      <c r="AN1220" s="58"/>
      <c r="AO1220" s="58"/>
    </row>
    <row r="1221" spans="1:41" x14ac:dyDescent="0.2">
      <c r="A1221" s="69"/>
      <c r="B1221" s="74"/>
      <c r="C1221" s="75"/>
      <c r="D1221" s="69"/>
      <c r="E1221" s="69"/>
      <c r="F1221" s="76"/>
      <c r="G1221" s="69"/>
      <c r="H1221" s="77"/>
      <c r="I1221" s="78"/>
      <c r="J1221" s="69"/>
      <c r="K1221" s="69"/>
      <c r="L1221" s="69"/>
      <c r="M1221" s="79"/>
      <c r="N1221" s="69"/>
      <c r="O1221" s="80"/>
      <c r="P1221" s="81"/>
      <c r="Q1221" s="69"/>
      <c r="R1221" s="69"/>
      <c r="S1221" s="69"/>
      <c r="T1221" s="60"/>
      <c r="U1221" s="60"/>
      <c r="V1221" s="69"/>
      <c r="W1221" s="69"/>
      <c r="X1221" s="69"/>
      <c r="Z1221" s="60"/>
      <c r="AA1221" s="81"/>
      <c r="AB1221" s="81"/>
      <c r="AC1221" s="82"/>
      <c r="AD1221" s="69"/>
      <c r="AE1221" s="79"/>
      <c r="AF1221" s="79"/>
      <c r="AG1221" s="83"/>
      <c r="AH1221" s="84"/>
      <c r="AI1221" s="82"/>
      <c r="AJ1221" s="81"/>
      <c r="AK1221" s="81"/>
      <c r="AL1221" s="81"/>
      <c r="AM1221" s="81"/>
      <c r="AN1221" s="81"/>
      <c r="AO1221" s="81"/>
    </row>
    <row r="1222" spans="1:41" x14ac:dyDescent="0.2">
      <c r="A1222" s="69"/>
      <c r="B1222" s="74"/>
      <c r="C1222" s="75"/>
      <c r="D1222" s="69"/>
      <c r="E1222" s="69"/>
      <c r="F1222" s="76"/>
      <c r="G1222" s="69"/>
      <c r="H1222" s="77"/>
      <c r="I1222" s="78"/>
      <c r="J1222" s="69"/>
      <c r="K1222" s="69"/>
      <c r="L1222" s="69"/>
      <c r="M1222" s="79"/>
      <c r="N1222" s="69"/>
      <c r="O1222" s="80"/>
      <c r="P1222" s="81"/>
      <c r="Q1222" s="69"/>
      <c r="R1222" s="69"/>
      <c r="S1222" s="69"/>
      <c r="T1222" s="60"/>
      <c r="U1222" s="60"/>
      <c r="V1222" s="69"/>
      <c r="W1222" s="69"/>
      <c r="X1222" s="69"/>
      <c r="Z1222" s="60"/>
      <c r="AA1222" s="81"/>
      <c r="AB1222" s="81"/>
      <c r="AC1222" s="82"/>
      <c r="AD1222" s="69"/>
      <c r="AE1222" s="79"/>
      <c r="AF1222" s="79"/>
      <c r="AG1222" s="83"/>
      <c r="AH1222" s="84"/>
      <c r="AI1222" s="82"/>
      <c r="AJ1222" s="81"/>
      <c r="AK1222" s="81"/>
      <c r="AL1222" s="81"/>
      <c r="AM1222" s="81"/>
      <c r="AN1222" s="81"/>
      <c r="AO1222" s="81"/>
    </row>
    <row r="1223" spans="1:41" x14ac:dyDescent="0.2">
      <c r="A1223" s="69"/>
      <c r="B1223" s="74"/>
      <c r="C1223" s="75"/>
      <c r="D1223" s="69"/>
      <c r="E1223" s="69"/>
      <c r="F1223" s="76"/>
      <c r="G1223" s="69"/>
      <c r="H1223" s="77"/>
      <c r="I1223" s="78"/>
      <c r="J1223" s="69"/>
      <c r="K1223" s="69"/>
      <c r="L1223" s="69"/>
      <c r="M1223" s="79"/>
      <c r="N1223" s="69"/>
      <c r="O1223" s="80"/>
      <c r="P1223" s="81"/>
      <c r="Q1223" s="69"/>
      <c r="R1223" s="69"/>
      <c r="S1223" s="69"/>
      <c r="T1223" s="60"/>
      <c r="U1223" s="60"/>
      <c r="V1223" s="69"/>
      <c r="W1223" s="69"/>
      <c r="X1223" s="69"/>
      <c r="Z1223" s="60"/>
      <c r="AA1223" s="81"/>
      <c r="AB1223" s="81"/>
      <c r="AC1223" s="82"/>
      <c r="AD1223" s="69"/>
      <c r="AE1223" s="79"/>
      <c r="AF1223" s="79"/>
      <c r="AG1223" s="83"/>
      <c r="AH1223" s="84"/>
      <c r="AI1223" s="82"/>
      <c r="AJ1223" s="81"/>
      <c r="AK1223" s="81"/>
      <c r="AL1223" s="81"/>
      <c r="AM1223" s="81"/>
      <c r="AN1223" s="81"/>
      <c r="AO1223" s="81"/>
    </row>
    <row r="1224" spans="1:41" x14ac:dyDescent="0.2">
      <c r="A1224" s="69"/>
      <c r="B1224" s="74"/>
      <c r="C1224" s="75"/>
      <c r="D1224" s="69"/>
      <c r="E1224" s="69"/>
      <c r="F1224" s="76"/>
      <c r="G1224" s="69"/>
      <c r="H1224" s="77"/>
      <c r="I1224" s="78"/>
      <c r="J1224" s="69"/>
      <c r="K1224" s="69"/>
      <c r="L1224" s="69"/>
      <c r="M1224" s="79"/>
      <c r="N1224" s="69"/>
      <c r="O1224" s="80"/>
      <c r="P1224" s="81"/>
      <c r="Q1224" s="69"/>
      <c r="R1224" s="69"/>
      <c r="S1224" s="69"/>
      <c r="T1224" s="60"/>
      <c r="U1224" s="60"/>
      <c r="V1224" s="69"/>
      <c r="W1224" s="69"/>
      <c r="X1224" s="69"/>
      <c r="Z1224" s="60"/>
      <c r="AA1224" s="81"/>
      <c r="AB1224" s="81"/>
      <c r="AC1224" s="82"/>
      <c r="AD1224" s="69"/>
      <c r="AE1224" s="79"/>
      <c r="AF1224" s="79"/>
      <c r="AG1224" s="83"/>
      <c r="AH1224" s="84"/>
      <c r="AI1224" s="82"/>
      <c r="AJ1224" s="81"/>
      <c r="AK1224" s="81"/>
      <c r="AL1224" s="81"/>
      <c r="AM1224" s="81"/>
      <c r="AN1224" s="81"/>
      <c r="AO1224" s="81"/>
    </row>
    <row r="1225" spans="1:41" x14ac:dyDescent="0.2">
      <c r="A1225" s="69"/>
      <c r="B1225" s="74"/>
      <c r="C1225" s="75"/>
      <c r="D1225" s="69"/>
      <c r="E1225" s="69"/>
      <c r="F1225" s="76"/>
      <c r="G1225" s="69"/>
      <c r="H1225" s="77"/>
      <c r="I1225" s="78"/>
      <c r="J1225" s="69"/>
      <c r="K1225" s="69"/>
      <c r="L1225" s="69"/>
      <c r="M1225" s="79"/>
      <c r="N1225" s="69"/>
      <c r="O1225" s="80"/>
      <c r="P1225" s="80"/>
      <c r="Q1225" s="69"/>
      <c r="R1225" s="69"/>
      <c r="S1225" s="69"/>
      <c r="T1225" s="60"/>
      <c r="U1225" s="60"/>
      <c r="V1225" s="69"/>
      <c r="W1225" s="69"/>
      <c r="X1225" s="69"/>
      <c r="Z1225" s="60"/>
      <c r="AA1225" s="81"/>
      <c r="AB1225" s="81"/>
      <c r="AC1225" s="82"/>
      <c r="AD1225" s="69"/>
      <c r="AE1225" s="79"/>
      <c r="AF1225" s="79"/>
      <c r="AG1225" s="83"/>
      <c r="AH1225" s="84"/>
      <c r="AI1225" s="82"/>
      <c r="AJ1225" s="81"/>
      <c r="AK1225" s="81"/>
      <c r="AL1225" s="81"/>
      <c r="AM1225" s="81"/>
      <c r="AN1225" s="81"/>
      <c r="AO1225" s="81"/>
    </row>
    <row r="1226" spans="1:41" x14ac:dyDescent="0.2">
      <c r="A1226" s="69"/>
      <c r="B1226" s="74"/>
      <c r="C1226" s="75"/>
      <c r="D1226" s="69"/>
      <c r="E1226" s="69"/>
      <c r="F1226" s="76"/>
      <c r="G1226" s="69"/>
      <c r="H1226" s="77"/>
      <c r="I1226" s="78"/>
      <c r="J1226" s="69"/>
      <c r="K1226" s="69"/>
      <c r="L1226" s="69"/>
      <c r="M1226" s="79"/>
      <c r="N1226" s="69"/>
      <c r="O1226" s="80"/>
      <c r="P1226" s="80"/>
      <c r="Q1226" s="69"/>
      <c r="R1226" s="69"/>
      <c r="S1226" s="69"/>
      <c r="T1226" s="60"/>
      <c r="U1226" s="60"/>
      <c r="V1226" s="69"/>
      <c r="W1226" s="69"/>
      <c r="X1226" s="69"/>
      <c r="Z1226" s="60"/>
      <c r="AA1226" s="81"/>
      <c r="AB1226" s="81"/>
      <c r="AC1226" s="82"/>
      <c r="AD1226" s="69"/>
      <c r="AE1226" s="79"/>
      <c r="AF1226" s="79"/>
      <c r="AG1226" s="83"/>
      <c r="AH1226" s="84"/>
      <c r="AI1226" s="82"/>
      <c r="AJ1226" s="81"/>
      <c r="AK1226" s="81"/>
      <c r="AL1226" s="81"/>
      <c r="AM1226" s="81"/>
      <c r="AN1226" s="81"/>
      <c r="AO1226" s="81"/>
    </row>
    <row r="1227" spans="1:41" x14ac:dyDescent="0.2">
      <c r="A1227" s="69"/>
      <c r="B1227" s="74"/>
      <c r="C1227" s="75"/>
      <c r="D1227" s="69"/>
      <c r="E1227" s="69"/>
      <c r="F1227" s="76"/>
      <c r="G1227" s="69"/>
      <c r="H1227" s="77"/>
      <c r="I1227" s="78"/>
      <c r="J1227" s="69"/>
      <c r="K1227" s="69"/>
      <c r="L1227" s="69"/>
      <c r="M1227" s="79"/>
      <c r="N1227" s="69"/>
      <c r="O1227" s="80"/>
      <c r="P1227" s="81"/>
      <c r="Q1227" s="69"/>
      <c r="R1227" s="69"/>
      <c r="S1227" s="69"/>
      <c r="T1227" s="60"/>
      <c r="U1227" s="60"/>
      <c r="V1227" s="69"/>
      <c r="W1227" s="69"/>
      <c r="X1227" s="69"/>
      <c r="Z1227" s="60"/>
      <c r="AA1227" s="81"/>
      <c r="AB1227" s="81"/>
      <c r="AC1227" s="82"/>
      <c r="AD1227" s="69"/>
      <c r="AE1227" s="79"/>
      <c r="AF1227" s="79"/>
      <c r="AG1227" s="83"/>
      <c r="AH1227" s="84"/>
      <c r="AI1227" s="82"/>
      <c r="AJ1227" s="81"/>
      <c r="AK1227" s="81"/>
      <c r="AL1227" s="81"/>
      <c r="AM1227" s="81"/>
      <c r="AN1227" s="81"/>
      <c r="AO1227" s="81"/>
    </row>
    <row r="1228" spans="1:41" x14ac:dyDescent="0.2">
      <c r="A1228" s="69"/>
      <c r="B1228" s="74"/>
      <c r="C1228" s="75"/>
      <c r="D1228" s="69"/>
      <c r="E1228" s="69"/>
      <c r="F1228" s="76"/>
      <c r="G1228" s="69"/>
      <c r="H1228" s="77"/>
      <c r="I1228" s="78"/>
      <c r="J1228" s="69"/>
      <c r="K1228" s="69"/>
      <c r="L1228" s="69"/>
      <c r="M1228" s="79"/>
      <c r="N1228" s="69"/>
      <c r="O1228" s="80"/>
      <c r="P1228" s="81"/>
      <c r="Q1228" s="69"/>
      <c r="R1228" s="69"/>
      <c r="S1228" s="69"/>
      <c r="T1228" s="60"/>
      <c r="U1228" s="60"/>
      <c r="V1228" s="69"/>
      <c r="W1228" s="69"/>
      <c r="X1228" s="69"/>
      <c r="Z1228" s="60"/>
      <c r="AA1228" s="81"/>
      <c r="AB1228" s="81"/>
      <c r="AC1228" s="82"/>
      <c r="AD1228" s="69"/>
      <c r="AE1228" s="79"/>
      <c r="AF1228" s="79"/>
      <c r="AG1228" s="83"/>
      <c r="AH1228" s="84"/>
      <c r="AI1228" s="82"/>
      <c r="AJ1228" s="81"/>
      <c r="AK1228" s="81"/>
      <c r="AL1228" s="81"/>
      <c r="AM1228" s="81"/>
      <c r="AN1228" s="81"/>
      <c r="AO1228" s="81"/>
    </row>
    <row r="1229" spans="1:41" x14ac:dyDescent="0.2">
      <c r="A1229" s="49"/>
      <c r="B1229" s="50"/>
      <c r="C1229" s="51"/>
      <c r="D1229" s="49"/>
      <c r="E1229" s="49"/>
      <c r="F1229" s="52"/>
      <c r="G1229" s="53"/>
      <c r="H1229" s="54"/>
      <c r="I1229" s="55"/>
      <c r="J1229" s="53"/>
      <c r="K1229" s="53"/>
      <c r="L1229" s="53"/>
      <c r="M1229" s="56"/>
      <c r="N1229" s="53"/>
      <c r="O1229" s="57"/>
      <c r="P1229" s="58"/>
      <c r="Q1229" s="53"/>
      <c r="R1229" s="53"/>
      <c r="S1229" s="53"/>
      <c r="T1229" s="59"/>
      <c r="U1229" s="59"/>
      <c r="V1229" s="53"/>
      <c r="W1229" s="53"/>
      <c r="X1229" s="53"/>
      <c r="Z1229" s="60"/>
      <c r="AA1229" s="58"/>
      <c r="AB1229" s="58"/>
      <c r="AC1229" s="61"/>
      <c r="AD1229" s="53"/>
      <c r="AE1229" s="56"/>
      <c r="AF1229" s="56"/>
      <c r="AG1229" s="62"/>
      <c r="AH1229" s="63"/>
      <c r="AI1229" s="61"/>
      <c r="AJ1229" s="58"/>
      <c r="AK1229" s="58"/>
      <c r="AL1229" s="58"/>
      <c r="AM1229" s="58"/>
      <c r="AN1229" s="58"/>
      <c r="AO1229" s="58"/>
    </row>
    <row r="1230" spans="1:41" x14ac:dyDescent="0.2">
      <c r="A1230" s="49"/>
      <c r="B1230" s="50"/>
      <c r="C1230" s="51"/>
      <c r="D1230" s="49"/>
      <c r="E1230" s="49"/>
      <c r="F1230" s="52"/>
      <c r="G1230" s="53"/>
      <c r="H1230" s="54"/>
      <c r="I1230" s="55"/>
      <c r="J1230" s="53"/>
      <c r="K1230" s="53"/>
      <c r="L1230" s="53"/>
      <c r="M1230" s="56"/>
      <c r="N1230" s="53"/>
      <c r="O1230" s="57"/>
      <c r="P1230" s="57"/>
      <c r="Q1230" s="53"/>
      <c r="R1230" s="53"/>
      <c r="S1230" s="53"/>
      <c r="T1230" s="59"/>
      <c r="U1230" s="59"/>
      <c r="V1230" s="53"/>
      <c r="W1230" s="53"/>
      <c r="X1230" s="53"/>
      <c r="Z1230" s="60"/>
      <c r="AA1230" s="58"/>
      <c r="AB1230" s="58"/>
      <c r="AC1230" s="61"/>
      <c r="AD1230" s="53"/>
      <c r="AE1230" s="56"/>
      <c r="AF1230" s="56"/>
      <c r="AG1230" s="62"/>
      <c r="AH1230" s="63"/>
      <c r="AI1230" s="61"/>
      <c r="AJ1230" s="58"/>
      <c r="AK1230" s="58"/>
      <c r="AL1230" s="58"/>
      <c r="AM1230" s="58"/>
      <c r="AN1230" s="58"/>
      <c r="AO1230" s="58"/>
    </row>
    <row r="1231" spans="1:41" x14ac:dyDescent="0.2">
      <c r="A1231" s="49"/>
      <c r="B1231" s="50"/>
      <c r="C1231" s="51"/>
      <c r="D1231" s="49"/>
      <c r="E1231" s="49"/>
      <c r="F1231" s="52"/>
      <c r="G1231" s="53"/>
      <c r="H1231" s="54"/>
      <c r="I1231" s="55"/>
      <c r="J1231" s="53"/>
      <c r="K1231" s="53"/>
      <c r="L1231" s="53"/>
      <c r="M1231" s="56"/>
      <c r="N1231" s="53"/>
      <c r="O1231" s="57"/>
      <c r="P1231" s="57"/>
      <c r="Q1231" s="53"/>
      <c r="R1231" s="53"/>
      <c r="S1231" s="53"/>
      <c r="T1231" s="59"/>
      <c r="U1231" s="59"/>
      <c r="V1231" s="53"/>
      <c r="W1231" s="53"/>
      <c r="X1231" s="53"/>
      <c r="Z1231" s="60"/>
      <c r="AA1231" s="58"/>
      <c r="AB1231" s="58"/>
      <c r="AC1231" s="61"/>
      <c r="AD1231" s="53"/>
      <c r="AE1231" s="56"/>
      <c r="AF1231" s="56"/>
      <c r="AG1231" s="62"/>
      <c r="AH1231" s="63"/>
      <c r="AI1231" s="61"/>
      <c r="AJ1231" s="58"/>
      <c r="AK1231" s="58"/>
      <c r="AL1231" s="58"/>
      <c r="AM1231" s="58"/>
      <c r="AN1231" s="58"/>
      <c r="AO1231" s="58"/>
    </row>
    <row r="1232" spans="1:41" x14ac:dyDescent="0.2">
      <c r="A1232" s="49"/>
      <c r="B1232" s="50"/>
      <c r="C1232" s="51"/>
      <c r="D1232" s="49"/>
      <c r="E1232" s="49"/>
      <c r="F1232" s="52"/>
      <c r="G1232" s="53"/>
      <c r="H1232" s="54"/>
      <c r="I1232" s="55"/>
      <c r="J1232" s="53"/>
      <c r="K1232" s="53"/>
      <c r="L1232" s="53"/>
      <c r="M1232" s="56"/>
      <c r="N1232" s="53"/>
      <c r="O1232" s="57"/>
      <c r="P1232" s="57"/>
      <c r="Q1232" s="57"/>
      <c r="R1232" s="53"/>
      <c r="S1232" s="53"/>
      <c r="T1232" s="59"/>
      <c r="U1232" s="59"/>
      <c r="V1232" s="53"/>
      <c r="W1232" s="53"/>
      <c r="X1232" s="53"/>
      <c r="Z1232" s="60"/>
      <c r="AA1232" s="58"/>
      <c r="AB1232" s="58"/>
      <c r="AC1232" s="61"/>
      <c r="AD1232" s="53"/>
      <c r="AE1232" s="56"/>
      <c r="AF1232" s="56"/>
      <c r="AG1232" s="62"/>
      <c r="AH1232" s="63"/>
      <c r="AI1232" s="61"/>
      <c r="AJ1232" s="58"/>
      <c r="AK1232" s="58"/>
      <c r="AL1232" s="58"/>
      <c r="AM1232" s="58"/>
      <c r="AN1232" s="58"/>
      <c r="AO1232" s="58"/>
    </row>
    <row r="1233" spans="1:41" x14ac:dyDescent="0.2">
      <c r="A1233" s="49"/>
      <c r="B1233" s="50"/>
      <c r="C1233" s="51"/>
      <c r="D1233" s="49"/>
      <c r="E1233" s="49"/>
      <c r="F1233" s="52"/>
      <c r="G1233" s="53"/>
      <c r="H1233" s="54"/>
      <c r="I1233" s="55"/>
      <c r="J1233" s="53"/>
      <c r="K1233" s="53"/>
      <c r="L1233" s="53"/>
      <c r="M1233" s="56"/>
      <c r="N1233" s="53"/>
      <c r="O1233" s="57"/>
      <c r="P1233" s="57"/>
      <c r="Q1233" s="53"/>
      <c r="R1233" s="53"/>
      <c r="S1233" s="53"/>
      <c r="T1233" s="59"/>
      <c r="U1233" s="59"/>
      <c r="V1233" s="53"/>
      <c r="W1233" s="53"/>
      <c r="X1233" s="53"/>
      <c r="Z1233" s="60"/>
      <c r="AA1233" s="58"/>
      <c r="AB1233" s="58"/>
      <c r="AC1233" s="61"/>
      <c r="AD1233" s="53"/>
      <c r="AE1233" s="56"/>
      <c r="AF1233" s="56"/>
      <c r="AG1233" s="62"/>
      <c r="AH1233" s="63"/>
      <c r="AI1233" s="61"/>
      <c r="AJ1233" s="58"/>
      <c r="AK1233" s="58"/>
      <c r="AL1233" s="58"/>
      <c r="AM1233" s="58"/>
      <c r="AN1233" s="58"/>
      <c r="AO1233" s="58"/>
    </row>
    <row r="1234" spans="1:41" x14ac:dyDescent="0.2">
      <c r="A1234" s="49"/>
      <c r="B1234" s="50"/>
      <c r="C1234" s="51"/>
      <c r="D1234" s="49"/>
      <c r="E1234" s="49"/>
      <c r="F1234" s="52"/>
      <c r="G1234" s="53"/>
      <c r="H1234" s="54"/>
      <c r="I1234" s="55"/>
      <c r="J1234" s="53"/>
      <c r="K1234" s="53"/>
      <c r="L1234" s="53"/>
      <c r="M1234" s="56"/>
      <c r="N1234" s="53"/>
      <c r="O1234" s="57"/>
      <c r="P1234" s="57"/>
      <c r="Q1234" s="53"/>
      <c r="R1234" s="53"/>
      <c r="S1234" s="53"/>
      <c r="T1234" s="59"/>
      <c r="U1234" s="59"/>
      <c r="V1234" s="53"/>
      <c r="W1234" s="53"/>
      <c r="X1234" s="53"/>
      <c r="Z1234" s="60"/>
      <c r="AA1234" s="58"/>
      <c r="AB1234" s="58"/>
      <c r="AC1234" s="61"/>
      <c r="AD1234" s="53"/>
      <c r="AE1234" s="56"/>
      <c r="AF1234" s="56"/>
      <c r="AG1234" s="62"/>
      <c r="AH1234" s="63"/>
      <c r="AI1234" s="61"/>
      <c r="AJ1234" s="58"/>
      <c r="AK1234" s="58"/>
      <c r="AL1234" s="58"/>
      <c r="AM1234" s="58"/>
      <c r="AN1234" s="58"/>
      <c r="AO1234" s="58"/>
    </row>
    <row r="1235" spans="1:41" x14ac:dyDescent="0.2">
      <c r="A1235" s="49"/>
      <c r="B1235" s="50"/>
      <c r="C1235" s="51"/>
      <c r="D1235" s="49"/>
      <c r="E1235" s="49"/>
      <c r="F1235" s="52"/>
      <c r="G1235" s="53"/>
      <c r="H1235" s="54"/>
      <c r="I1235" s="55"/>
      <c r="J1235" s="53"/>
      <c r="K1235" s="53"/>
      <c r="L1235" s="53"/>
      <c r="M1235" s="56"/>
      <c r="N1235" s="53"/>
      <c r="O1235" s="57"/>
      <c r="P1235" s="57"/>
      <c r="Q1235" s="53"/>
      <c r="R1235" s="53"/>
      <c r="S1235" s="53"/>
      <c r="T1235" s="59"/>
      <c r="U1235" s="59"/>
      <c r="V1235" s="53"/>
      <c r="W1235" s="53"/>
      <c r="X1235" s="53"/>
      <c r="Z1235" s="60"/>
      <c r="AA1235" s="58"/>
      <c r="AB1235" s="58"/>
      <c r="AC1235" s="61"/>
      <c r="AD1235" s="53"/>
      <c r="AE1235" s="56"/>
      <c r="AF1235" s="56"/>
      <c r="AG1235" s="62"/>
      <c r="AH1235" s="63"/>
      <c r="AI1235" s="61"/>
      <c r="AJ1235" s="58"/>
      <c r="AK1235" s="58"/>
      <c r="AL1235" s="58"/>
      <c r="AM1235" s="58"/>
      <c r="AN1235" s="58"/>
      <c r="AO1235" s="58"/>
    </row>
    <row r="1236" spans="1:41" x14ac:dyDescent="0.2">
      <c r="A1236" s="69"/>
      <c r="B1236" s="74"/>
      <c r="C1236" s="75"/>
      <c r="D1236" s="69"/>
      <c r="E1236" s="69"/>
      <c r="F1236" s="76"/>
      <c r="G1236" s="69"/>
      <c r="H1236" s="77"/>
      <c r="I1236" s="78"/>
      <c r="J1236" s="69"/>
      <c r="K1236" s="69"/>
      <c r="L1236" s="69"/>
      <c r="M1236" s="79"/>
      <c r="N1236" s="69"/>
      <c r="O1236" s="80"/>
      <c r="P1236" s="81"/>
      <c r="Q1236" s="69"/>
      <c r="R1236" s="69"/>
      <c r="S1236" s="69"/>
      <c r="T1236" s="60"/>
      <c r="U1236" s="60"/>
      <c r="V1236" s="69"/>
      <c r="W1236" s="69"/>
      <c r="X1236" s="69"/>
      <c r="Z1236" s="60"/>
      <c r="AA1236" s="81"/>
      <c r="AB1236" s="81"/>
      <c r="AC1236" s="82"/>
      <c r="AD1236" s="69"/>
      <c r="AE1236" s="79"/>
      <c r="AF1236" s="79"/>
      <c r="AG1236" s="83"/>
      <c r="AH1236" s="84"/>
      <c r="AI1236" s="82"/>
      <c r="AJ1236" s="81"/>
      <c r="AK1236" s="81"/>
      <c r="AL1236" s="81"/>
      <c r="AM1236" s="81"/>
      <c r="AN1236" s="81"/>
      <c r="AO1236" s="81"/>
    </row>
    <row r="1237" spans="1:41" x14ac:dyDescent="0.2">
      <c r="A1237" s="69"/>
      <c r="B1237" s="74"/>
      <c r="C1237" s="75"/>
      <c r="D1237" s="69"/>
      <c r="E1237" s="69"/>
      <c r="F1237" s="76"/>
      <c r="G1237" s="69"/>
      <c r="H1237" s="77"/>
      <c r="I1237" s="78"/>
      <c r="J1237" s="69"/>
      <c r="K1237" s="69"/>
      <c r="L1237" s="69"/>
      <c r="M1237" s="79"/>
      <c r="N1237" s="69"/>
      <c r="O1237" s="80"/>
      <c r="P1237" s="80"/>
      <c r="Q1237" s="69"/>
      <c r="R1237" s="69"/>
      <c r="S1237" s="69"/>
      <c r="T1237" s="60"/>
      <c r="U1237" s="60"/>
      <c r="V1237" s="69"/>
      <c r="W1237" s="69"/>
      <c r="X1237" s="69"/>
      <c r="Z1237" s="60"/>
      <c r="AA1237" s="81"/>
      <c r="AB1237" s="81"/>
      <c r="AC1237" s="82"/>
      <c r="AD1237" s="69"/>
      <c r="AE1237" s="79"/>
      <c r="AF1237" s="79"/>
      <c r="AG1237" s="83"/>
      <c r="AH1237" s="84"/>
      <c r="AI1237" s="82"/>
      <c r="AJ1237" s="81"/>
      <c r="AK1237" s="81"/>
      <c r="AL1237" s="81"/>
      <c r="AM1237" s="81"/>
      <c r="AN1237" s="81"/>
      <c r="AO1237" s="81"/>
    </row>
    <row r="1238" spans="1:41" x14ac:dyDescent="0.2">
      <c r="A1238" s="69"/>
      <c r="B1238" s="74"/>
      <c r="C1238" s="75"/>
      <c r="D1238" s="69"/>
      <c r="E1238" s="69"/>
      <c r="F1238" s="76"/>
      <c r="G1238" s="69"/>
      <c r="H1238" s="77"/>
      <c r="I1238" s="78"/>
      <c r="J1238" s="69"/>
      <c r="K1238" s="69"/>
      <c r="L1238" s="69"/>
      <c r="M1238" s="79"/>
      <c r="N1238" s="69"/>
      <c r="O1238" s="80"/>
      <c r="P1238" s="80"/>
      <c r="Q1238" s="69"/>
      <c r="R1238" s="69"/>
      <c r="S1238" s="69"/>
      <c r="T1238" s="60"/>
      <c r="U1238" s="60"/>
      <c r="V1238" s="69"/>
      <c r="W1238" s="69"/>
      <c r="X1238" s="69"/>
      <c r="Z1238" s="60"/>
      <c r="AA1238" s="81"/>
      <c r="AB1238" s="81"/>
      <c r="AC1238" s="82"/>
      <c r="AD1238" s="69"/>
      <c r="AE1238" s="79"/>
      <c r="AF1238" s="79"/>
      <c r="AG1238" s="83"/>
      <c r="AH1238" s="84"/>
      <c r="AI1238" s="82"/>
      <c r="AJ1238" s="81"/>
      <c r="AK1238" s="81"/>
      <c r="AL1238" s="81"/>
      <c r="AM1238" s="81"/>
      <c r="AN1238" s="81"/>
      <c r="AO1238" s="81"/>
    </row>
    <row r="1239" spans="1:41" x14ac:dyDescent="0.2">
      <c r="A1239" s="49"/>
      <c r="B1239" s="50"/>
      <c r="C1239" s="51"/>
      <c r="D1239" s="49"/>
      <c r="E1239" s="49"/>
      <c r="F1239" s="52"/>
      <c r="G1239" s="53"/>
      <c r="H1239" s="54"/>
      <c r="I1239" s="55"/>
      <c r="J1239" s="53"/>
      <c r="K1239" s="53"/>
      <c r="L1239" s="53"/>
      <c r="M1239" s="56"/>
      <c r="N1239" s="53"/>
      <c r="O1239" s="57"/>
      <c r="P1239" s="58"/>
      <c r="Q1239" s="53"/>
      <c r="R1239" s="53"/>
      <c r="S1239" s="53"/>
      <c r="T1239" s="59"/>
      <c r="U1239" s="59"/>
      <c r="V1239" s="53"/>
      <c r="W1239" s="53"/>
      <c r="X1239" s="53"/>
      <c r="Z1239" s="60"/>
      <c r="AA1239" s="58"/>
      <c r="AB1239" s="58"/>
      <c r="AC1239" s="61"/>
      <c r="AD1239" s="53"/>
      <c r="AE1239" s="56"/>
      <c r="AF1239" s="56"/>
      <c r="AG1239" s="62"/>
      <c r="AH1239" s="63"/>
      <c r="AI1239" s="61"/>
      <c r="AJ1239" s="58"/>
      <c r="AK1239" s="58"/>
      <c r="AL1239" s="58"/>
      <c r="AM1239" s="58"/>
      <c r="AN1239" s="58"/>
      <c r="AO1239" s="58"/>
    </row>
    <row r="1240" spans="1:41" x14ac:dyDescent="0.2">
      <c r="A1240" s="49"/>
      <c r="B1240" s="50"/>
      <c r="C1240" s="51"/>
      <c r="D1240" s="49"/>
      <c r="E1240" s="49"/>
      <c r="F1240" s="52"/>
      <c r="G1240" s="53"/>
      <c r="H1240" s="54"/>
      <c r="I1240" s="55"/>
      <c r="J1240" s="53"/>
      <c r="K1240" s="53"/>
      <c r="L1240" s="53"/>
      <c r="M1240" s="56"/>
      <c r="N1240" s="53"/>
      <c r="O1240" s="57"/>
      <c r="P1240" s="58"/>
      <c r="Q1240" s="53"/>
      <c r="R1240" s="53"/>
      <c r="S1240" s="53"/>
      <c r="T1240" s="59"/>
      <c r="U1240" s="59"/>
      <c r="V1240" s="53"/>
      <c r="W1240" s="53"/>
      <c r="X1240" s="53"/>
      <c r="Z1240" s="60"/>
      <c r="AA1240" s="58"/>
      <c r="AB1240" s="58"/>
      <c r="AC1240" s="61"/>
      <c r="AD1240" s="53"/>
      <c r="AE1240" s="56"/>
      <c r="AF1240" s="56"/>
      <c r="AG1240" s="62"/>
      <c r="AH1240" s="63"/>
      <c r="AI1240" s="61"/>
      <c r="AJ1240" s="58"/>
      <c r="AK1240" s="58"/>
      <c r="AL1240" s="58"/>
      <c r="AM1240" s="58"/>
      <c r="AN1240" s="58"/>
      <c r="AO1240" s="58"/>
    </row>
    <row r="1241" spans="1:41" x14ac:dyDescent="0.2">
      <c r="A1241" s="49"/>
      <c r="B1241" s="50"/>
      <c r="C1241" s="51"/>
      <c r="D1241" s="49"/>
      <c r="E1241" s="49"/>
      <c r="F1241" s="52"/>
      <c r="G1241" s="53"/>
      <c r="H1241" s="54"/>
      <c r="I1241" s="55"/>
      <c r="J1241" s="53"/>
      <c r="K1241" s="53"/>
      <c r="L1241" s="53"/>
      <c r="M1241" s="56"/>
      <c r="N1241" s="53"/>
      <c r="O1241" s="57"/>
      <c r="P1241" s="57"/>
      <c r="Q1241" s="53"/>
      <c r="R1241" s="53"/>
      <c r="S1241" s="53"/>
      <c r="T1241" s="59"/>
      <c r="U1241" s="59"/>
      <c r="V1241" s="53"/>
      <c r="W1241" s="53"/>
      <c r="X1241" s="53"/>
      <c r="Z1241" s="60"/>
      <c r="AA1241" s="58"/>
      <c r="AB1241" s="58"/>
      <c r="AC1241" s="61"/>
      <c r="AD1241" s="53"/>
      <c r="AE1241" s="56"/>
      <c r="AF1241" s="56"/>
      <c r="AG1241" s="62"/>
      <c r="AH1241" s="63"/>
      <c r="AI1241" s="61"/>
      <c r="AJ1241" s="58"/>
      <c r="AK1241" s="58"/>
      <c r="AL1241" s="58"/>
      <c r="AM1241" s="58"/>
      <c r="AN1241" s="58"/>
      <c r="AO1241" s="58"/>
    </row>
    <row r="1242" spans="1:41" x14ac:dyDescent="0.2">
      <c r="A1242" s="49"/>
      <c r="B1242" s="50"/>
      <c r="C1242" s="51"/>
      <c r="D1242" s="49"/>
      <c r="E1242" s="49"/>
      <c r="F1242" s="52"/>
      <c r="G1242" s="53"/>
      <c r="H1242" s="54"/>
      <c r="I1242" s="55"/>
      <c r="J1242" s="53"/>
      <c r="K1242" s="53"/>
      <c r="L1242" s="53"/>
      <c r="M1242" s="56"/>
      <c r="N1242" s="53"/>
      <c r="O1242" s="57"/>
      <c r="P1242" s="58"/>
      <c r="Q1242" s="53"/>
      <c r="R1242" s="53"/>
      <c r="S1242" s="53"/>
      <c r="T1242" s="59"/>
      <c r="U1242" s="59"/>
      <c r="V1242" s="53"/>
      <c r="W1242" s="53"/>
      <c r="X1242" s="53"/>
      <c r="Z1242" s="60"/>
      <c r="AA1242" s="58"/>
      <c r="AB1242" s="58"/>
      <c r="AC1242" s="61"/>
      <c r="AD1242" s="53"/>
      <c r="AE1242" s="56"/>
      <c r="AF1242" s="56"/>
      <c r="AG1242" s="62"/>
      <c r="AH1242" s="63"/>
      <c r="AI1242" s="61"/>
      <c r="AJ1242" s="58"/>
      <c r="AK1242" s="58"/>
      <c r="AL1242" s="58"/>
      <c r="AM1242" s="58"/>
      <c r="AN1242" s="58"/>
      <c r="AO1242" s="58"/>
    </row>
    <row r="1243" spans="1:41" x14ac:dyDescent="0.2">
      <c r="A1243" s="49"/>
      <c r="B1243" s="50"/>
      <c r="C1243" s="51"/>
      <c r="D1243" s="49"/>
      <c r="E1243" s="49"/>
      <c r="F1243" s="52"/>
      <c r="G1243" s="53"/>
      <c r="H1243" s="54"/>
      <c r="I1243" s="55"/>
      <c r="J1243" s="53"/>
      <c r="K1243" s="53"/>
      <c r="L1243" s="53"/>
      <c r="M1243" s="56"/>
      <c r="N1243" s="53"/>
      <c r="O1243" s="57"/>
      <c r="P1243" s="58"/>
      <c r="Q1243" s="53"/>
      <c r="R1243" s="53"/>
      <c r="S1243" s="53"/>
      <c r="T1243" s="59"/>
      <c r="U1243" s="59"/>
      <c r="V1243" s="53"/>
      <c r="W1243" s="53"/>
      <c r="X1243" s="53"/>
      <c r="Z1243" s="60"/>
      <c r="AA1243" s="58"/>
      <c r="AB1243" s="58"/>
      <c r="AC1243" s="61"/>
      <c r="AD1243" s="53"/>
      <c r="AE1243" s="56"/>
      <c r="AF1243" s="56"/>
      <c r="AG1243" s="62"/>
      <c r="AH1243" s="63"/>
      <c r="AI1243" s="61"/>
      <c r="AJ1243" s="58"/>
      <c r="AK1243" s="58"/>
      <c r="AL1243" s="58"/>
      <c r="AM1243" s="58"/>
      <c r="AN1243" s="58"/>
      <c r="AO1243" s="58"/>
    </row>
    <row r="1244" spans="1:41" x14ac:dyDescent="0.2">
      <c r="A1244" s="49"/>
      <c r="B1244" s="50"/>
      <c r="C1244" s="51"/>
      <c r="D1244" s="49"/>
      <c r="E1244" s="49"/>
      <c r="F1244" s="52"/>
      <c r="G1244" s="53"/>
      <c r="H1244" s="54"/>
      <c r="I1244" s="55"/>
      <c r="J1244" s="53"/>
      <c r="K1244" s="53"/>
      <c r="L1244" s="53"/>
      <c r="M1244" s="56"/>
      <c r="N1244" s="53"/>
      <c r="O1244" s="57"/>
      <c r="P1244" s="58"/>
      <c r="Q1244" s="53"/>
      <c r="R1244" s="53"/>
      <c r="S1244" s="53"/>
      <c r="T1244" s="59"/>
      <c r="U1244" s="59"/>
      <c r="V1244" s="53"/>
      <c r="W1244" s="53"/>
      <c r="X1244" s="53"/>
      <c r="Z1244" s="60"/>
      <c r="AA1244" s="58"/>
      <c r="AB1244" s="58"/>
      <c r="AC1244" s="61"/>
      <c r="AD1244" s="53"/>
      <c r="AE1244" s="56"/>
      <c r="AF1244" s="56"/>
      <c r="AG1244" s="62"/>
      <c r="AH1244" s="63"/>
      <c r="AI1244" s="61"/>
      <c r="AJ1244" s="58"/>
      <c r="AK1244" s="58"/>
      <c r="AL1244" s="58"/>
      <c r="AM1244" s="58"/>
      <c r="AN1244" s="58"/>
      <c r="AO1244" s="58"/>
    </row>
    <row r="1245" spans="1:41" x14ac:dyDescent="0.2">
      <c r="A1245" s="49"/>
      <c r="B1245" s="50"/>
      <c r="C1245" s="51"/>
      <c r="D1245" s="49"/>
      <c r="E1245" s="49"/>
      <c r="F1245" s="52"/>
      <c r="G1245" s="53"/>
      <c r="H1245" s="54"/>
      <c r="I1245" s="55"/>
      <c r="J1245" s="53"/>
      <c r="K1245" s="53"/>
      <c r="L1245" s="53"/>
      <c r="M1245" s="56"/>
      <c r="N1245" s="53"/>
      <c r="O1245" s="57"/>
      <c r="P1245" s="57"/>
      <c r="Q1245" s="53"/>
      <c r="R1245" s="53"/>
      <c r="S1245" s="53"/>
      <c r="T1245" s="59"/>
      <c r="U1245" s="59"/>
      <c r="V1245" s="53"/>
      <c r="W1245" s="53"/>
      <c r="X1245" s="53"/>
      <c r="Z1245" s="60"/>
      <c r="AA1245" s="58"/>
      <c r="AB1245" s="58"/>
      <c r="AC1245" s="61"/>
      <c r="AD1245" s="53"/>
      <c r="AE1245" s="56"/>
      <c r="AF1245" s="56"/>
      <c r="AG1245" s="62"/>
      <c r="AH1245" s="63"/>
      <c r="AI1245" s="61"/>
      <c r="AJ1245" s="58"/>
      <c r="AK1245" s="58"/>
      <c r="AL1245" s="58"/>
      <c r="AM1245" s="58"/>
      <c r="AN1245" s="58"/>
      <c r="AO1245" s="58"/>
    </row>
    <row r="1246" spans="1:41" x14ac:dyDescent="0.2">
      <c r="A1246" s="49"/>
      <c r="B1246" s="50"/>
      <c r="C1246" s="51"/>
      <c r="D1246" s="49"/>
      <c r="E1246" s="49"/>
      <c r="F1246" s="52"/>
      <c r="G1246" s="53"/>
      <c r="H1246" s="54"/>
      <c r="I1246" s="55"/>
      <c r="J1246" s="53"/>
      <c r="K1246" s="53"/>
      <c r="L1246" s="53"/>
      <c r="M1246" s="56"/>
      <c r="N1246" s="53"/>
      <c r="O1246" s="57"/>
      <c r="P1246" s="57"/>
      <c r="Q1246" s="53"/>
      <c r="R1246" s="53"/>
      <c r="S1246" s="53"/>
      <c r="T1246" s="59"/>
      <c r="U1246" s="59"/>
      <c r="V1246" s="53"/>
      <c r="W1246" s="53"/>
      <c r="X1246" s="53"/>
      <c r="Z1246" s="60"/>
      <c r="AA1246" s="58"/>
      <c r="AB1246" s="58"/>
      <c r="AC1246" s="61"/>
      <c r="AD1246" s="53"/>
      <c r="AE1246" s="56"/>
      <c r="AF1246" s="56"/>
      <c r="AG1246" s="62"/>
      <c r="AH1246" s="63"/>
      <c r="AI1246" s="61"/>
      <c r="AJ1246" s="58"/>
      <c r="AK1246" s="58"/>
      <c r="AL1246" s="58"/>
      <c r="AM1246" s="58"/>
      <c r="AN1246" s="58"/>
      <c r="AO1246" s="58"/>
    </row>
    <row r="1247" spans="1:41" x14ac:dyDescent="0.2">
      <c r="A1247" s="49"/>
      <c r="B1247" s="50"/>
      <c r="C1247" s="51"/>
      <c r="D1247" s="49"/>
      <c r="E1247" s="49"/>
      <c r="F1247" s="52"/>
      <c r="G1247" s="53"/>
      <c r="H1247" s="54"/>
      <c r="I1247" s="55"/>
      <c r="J1247" s="53"/>
      <c r="K1247" s="53"/>
      <c r="L1247" s="53"/>
      <c r="M1247" s="56"/>
      <c r="N1247" s="53"/>
      <c r="O1247" s="57"/>
      <c r="P1247" s="57"/>
      <c r="Q1247" s="53"/>
      <c r="R1247" s="53"/>
      <c r="S1247" s="53"/>
      <c r="T1247" s="59"/>
      <c r="U1247" s="59"/>
      <c r="V1247" s="53"/>
      <c r="W1247" s="53"/>
      <c r="X1247" s="53"/>
      <c r="Z1247" s="60"/>
      <c r="AA1247" s="58"/>
      <c r="AB1247" s="58"/>
      <c r="AC1247" s="61"/>
      <c r="AD1247" s="53"/>
      <c r="AE1247" s="56"/>
      <c r="AF1247" s="56"/>
      <c r="AG1247" s="62"/>
      <c r="AH1247" s="63"/>
      <c r="AI1247" s="61"/>
      <c r="AJ1247" s="58"/>
      <c r="AK1247" s="58"/>
      <c r="AL1247" s="58"/>
      <c r="AM1247" s="58"/>
      <c r="AN1247" s="58"/>
      <c r="AO1247" s="58"/>
    </row>
    <row r="1248" spans="1:41" x14ac:dyDescent="0.2">
      <c r="A1248" s="49"/>
      <c r="B1248" s="50"/>
      <c r="C1248" s="51"/>
      <c r="D1248" s="49"/>
      <c r="E1248" s="49"/>
      <c r="F1248" s="52"/>
      <c r="G1248" s="53"/>
      <c r="H1248" s="54"/>
      <c r="I1248" s="55"/>
      <c r="J1248" s="53"/>
      <c r="K1248" s="53"/>
      <c r="L1248" s="53"/>
      <c r="M1248" s="56"/>
      <c r="N1248" s="53"/>
      <c r="O1248" s="57"/>
      <c r="P1248" s="57"/>
      <c r="Q1248" s="53"/>
      <c r="R1248" s="53"/>
      <c r="S1248" s="53"/>
      <c r="T1248" s="59"/>
      <c r="U1248" s="59"/>
      <c r="V1248" s="53"/>
      <c r="W1248" s="53"/>
      <c r="X1248" s="53"/>
      <c r="Z1248" s="60"/>
      <c r="AA1248" s="58"/>
      <c r="AB1248" s="58"/>
      <c r="AC1248" s="61"/>
      <c r="AD1248" s="53"/>
      <c r="AE1248" s="56"/>
      <c r="AF1248" s="56"/>
      <c r="AG1248" s="62"/>
      <c r="AH1248" s="63"/>
      <c r="AI1248" s="61"/>
      <c r="AJ1248" s="58"/>
      <c r="AK1248" s="58"/>
      <c r="AL1248" s="58"/>
      <c r="AM1248" s="58"/>
      <c r="AN1248" s="58"/>
      <c r="AO1248" s="58"/>
    </row>
    <row r="1249" spans="1:41" x14ac:dyDescent="0.2">
      <c r="A1249" s="69"/>
      <c r="B1249" s="74"/>
      <c r="C1249" s="75"/>
      <c r="D1249" s="69"/>
      <c r="E1249" s="69"/>
      <c r="F1249" s="76"/>
      <c r="G1249" s="69"/>
      <c r="H1249" s="77"/>
      <c r="I1249" s="78"/>
      <c r="J1249" s="69"/>
      <c r="K1249" s="69"/>
      <c r="L1249" s="69"/>
      <c r="M1249" s="79"/>
      <c r="N1249" s="69"/>
      <c r="O1249" s="80"/>
      <c r="P1249" s="81"/>
      <c r="Q1249" s="69"/>
      <c r="R1249" s="69"/>
      <c r="S1249" s="69"/>
      <c r="T1249" s="60"/>
      <c r="U1249" s="60"/>
      <c r="V1249" s="69"/>
      <c r="W1249" s="69"/>
      <c r="X1249" s="69"/>
      <c r="Z1249" s="60"/>
      <c r="AA1249" s="81"/>
      <c r="AB1249" s="81"/>
      <c r="AC1249" s="82"/>
      <c r="AD1249" s="69"/>
      <c r="AE1249" s="79"/>
      <c r="AF1249" s="79"/>
      <c r="AG1249" s="83"/>
      <c r="AH1249" s="84"/>
      <c r="AI1249" s="82"/>
      <c r="AJ1249" s="81"/>
      <c r="AK1249" s="81"/>
      <c r="AL1249" s="81"/>
      <c r="AM1249" s="81"/>
      <c r="AN1249" s="81"/>
      <c r="AO1249" s="81"/>
    </row>
    <row r="1250" spans="1:41" x14ac:dyDescent="0.2">
      <c r="A1250" s="49"/>
      <c r="B1250" s="50"/>
      <c r="C1250" s="51"/>
      <c r="D1250" s="49"/>
      <c r="E1250" s="49"/>
      <c r="F1250" s="52"/>
      <c r="G1250" s="53"/>
      <c r="H1250" s="54"/>
      <c r="I1250" s="55"/>
      <c r="J1250" s="53"/>
      <c r="K1250" s="53"/>
      <c r="L1250" s="53"/>
      <c r="M1250" s="56"/>
      <c r="N1250" s="53"/>
      <c r="O1250" s="57"/>
      <c r="P1250" s="57"/>
      <c r="Q1250" s="53"/>
      <c r="R1250" s="53"/>
      <c r="S1250" s="53"/>
      <c r="T1250" s="59"/>
      <c r="U1250" s="59"/>
      <c r="V1250" s="53"/>
      <c r="W1250" s="53"/>
      <c r="X1250" s="53"/>
      <c r="Z1250" s="60"/>
      <c r="AA1250" s="58"/>
      <c r="AB1250" s="58"/>
      <c r="AC1250" s="61"/>
      <c r="AD1250" s="53"/>
      <c r="AE1250" s="56"/>
      <c r="AF1250" s="56"/>
      <c r="AG1250" s="62"/>
      <c r="AH1250" s="63"/>
      <c r="AI1250" s="61"/>
      <c r="AJ1250" s="58"/>
      <c r="AK1250" s="58"/>
      <c r="AL1250" s="58"/>
      <c r="AM1250" s="58"/>
      <c r="AN1250" s="58"/>
      <c r="AO1250" s="58"/>
    </row>
    <row r="1251" spans="1:41" x14ac:dyDescent="0.2">
      <c r="A1251" s="49"/>
      <c r="B1251" s="50"/>
      <c r="C1251" s="51"/>
      <c r="D1251" s="49"/>
      <c r="E1251" s="49"/>
      <c r="F1251" s="52"/>
      <c r="G1251" s="53"/>
      <c r="H1251" s="54"/>
      <c r="I1251" s="55"/>
      <c r="J1251" s="53"/>
      <c r="K1251" s="53"/>
      <c r="L1251" s="53"/>
      <c r="M1251" s="56"/>
      <c r="N1251" s="53"/>
      <c r="O1251" s="57"/>
      <c r="P1251" s="57"/>
      <c r="Q1251" s="53"/>
      <c r="R1251" s="53"/>
      <c r="S1251" s="53"/>
      <c r="T1251" s="59"/>
      <c r="U1251" s="59"/>
      <c r="V1251" s="53"/>
      <c r="W1251" s="53"/>
      <c r="X1251" s="53"/>
      <c r="Z1251" s="60"/>
      <c r="AA1251" s="58"/>
      <c r="AB1251" s="58"/>
      <c r="AC1251" s="61"/>
      <c r="AD1251" s="53"/>
      <c r="AE1251" s="56"/>
      <c r="AF1251" s="56"/>
      <c r="AG1251" s="62"/>
      <c r="AH1251" s="63"/>
      <c r="AI1251" s="61"/>
      <c r="AJ1251" s="58"/>
      <c r="AK1251" s="58"/>
      <c r="AL1251" s="58"/>
      <c r="AM1251" s="58"/>
      <c r="AN1251" s="58"/>
      <c r="AO1251" s="58"/>
    </row>
    <row r="1252" spans="1:41" x14ac:dyDescent="0.2">
      <c r="A1252" s="49"/>
      <c r="B1252" s="50"/>
      <c r="C1252" s="51"/>
      <c r="D1252" s="49"/>
      <c r="E1252" s="49"/>
      <c r="F1252" s="52"/>
      <c r="G1252" s="53"/>
      <c r="H1252" s="54"/>
      <c r="I1252" s="55"/>
      <c r="J1252" s="53"/>
      <c r="K1252" s="53"/>
      <c r="L1252" s="53"/>
      <c r="M1252" s="56"/>
      <c r="N1252" s="53"/>
      <c r="O1252" s="57"/>
      <c r="P1252" s="57"/>
      <c r="Q1252" s="53"/>
      <c r="R1252" s="53"/>
      <c r="S1252" s="53"/>
      <c r="T1252" s="59"/>
      <c r="U1252" s="59"/>
      <c r="V1252" s="53"/>
      <c r="W1252" s="53"/>
      <c r="X1252" s="53"/>
      <c r="Z1252" s="60"/>
      <c r="AA1252" s="58"/>
      <c r="AB1252" s="58"/>
      <c r="AC1252" s="61"/>
      <c r="AD1252" s="53"/>
      <c r="AE1252" s="56"/>
      <c r="AF1252" s="56"/>
      <c r="AG1252" s="62"/>
      <c r="AH1252" s="63"/>
      <c r="AI1252" s="61"/>
      <c r="AJ1252" s="58"/>
      <c r="AK1252" s="58"/>
      <c r="AL1252" s="58"/>
      <c r="AM1252" s="58"/>
      <c r="AN1252" s="58"/>
      <c r="AO1252" s="58"/>
    </row>
    <row r="1253" spans="1:41" x14ac:dyDescent="0.2">
      <c r="A1253" s="69"/>
      <c r="B1253" s="74"/>
      <c r="C1253" s="75"/>
      <c r="D1253" s="69"/>
      <c r="E1253" s="69"/>
      <c r="F1253" s="76"/>
      <c r="G1253" s="69"/>
      <c r="H1253" s="77"/>
      <c r="I1253" s="78"/>
      <c r="J1253" s="69"/>
      <c r="K1253" s="69"/>
      <c r="L1253" s="69"/>
      <c r="M1253" s="79"/>
      <c r="N1253" s="69"/>
      <c r="O1253" s="80"/>
      <c r="P1253" s="81"/>
      <c r="Q1253" s="69"/>
      <c r="R1253" s="69"/>
      <c r="S1253" s="69"/>
      <c r="T1253" s="60"/>
      <c r="U1253" s="60"/>
      <c r="V1253" s="69"/>
      <c r="W1253" s="69"/>
      <c r="X1253" s="69"/>
      <c r="Z1253" s="60"/>
      <c r="AA1253" s="81"/>
      <c r="AB1253" s="81"/>
      <c r="AC1253" s="82"/>
      <c r="AD1253" s="69"/>
      <c r="AE1253" s="79"/>
      <c r="AF1253" s="79"/>
      <c r="AG1253" s="83"/>
      <c r="AH1253" s="84"/>
      <c r="AI1253" s="82"/>
      <c r="AJ1253" s="81"/>
      <c r="AK1253" s="81"/>
      <c r="AL1253" s="81"/>
      <c r="AM1253" s="81"/>
      <c r="AN1253" s="81"/>
      <c r="AO1253" s="81"/>
    </row>
    <row r="1254" spans="1:41" x14ac:dyDescent="0.2">
      <c r="A1254" s="69"/>
      <c r="B1254" s="74"/>
      <c r="C1254" s="75"/>
      <c r="D1254" s="69"/>
      <c r="E1254" s="69"/>
      <c r="F1254" s="76"/>
      <c r="G1254" s="69"/>
      <c r="H1254" s="77"/>
      <c r="I1254" s="78"/>
      <c r="J1254" s="69"/>
      <c r="K1254" s="69"/>
      <c r="L1254" s="69"/>
      <c r="M1254" s="79"/>
      <c r="N1254" s="69"/>
      <c r="O1254" s="80"/>
      <c r="P1254" s="81"/>
      <c r="Q1254" s="69"/>
      <c r="R1254" s="69"/>
      <c r="S1254" s="69"/>
      <c r="T1254" s="60"/>
      <c r="U1254" s="60"/>
      <c r="V1254" s="69"/>
      <c r="W1254" s="69"/>
      <c r="X1254" s="69"/>
      <c r="Z1254" s="60"/>
      <c r="AA1254" s="81"/>
      <c r="AB1254" s="81"/>
      <c r="AC1254" s="82"/>
      <c r="AD1254" s="69"/>
      <c r="AE1254" s="79"/>
      <c r="AF1254" s="79"/>
      <c r="AG1254" s="83"/>
      <c r="AH1254" s="84"/>
      <c r="AI1254" s="82"/>
      <c r="AJ1254" s="81"/>
      <c r="AK1254" s="81"/>
      <c r="AL1254" s="81"/>
      <c r="AM1254" s="81"/>
      <c r="AN1254" s="81"/>
      <c r="AO1254" s="81"/>
    </row>
    <row r="1255" spans="1:41" x14ac:dyDescent="0.2">
      <c r="A1255" s="69"/>
      <c r="B1255" s="74"/>
      <c r="C1255" s="75"/>
      <c r="D1255" s="69"/>
      <c r="E1255" s="69"/>
      <c r="F1255" s="76"/>
      <c r="G1255" s="69"/>
      <c r="H1255" s="77"/>
      <c r="I1255" s="78"/>
      <c r="J1255" s="69"/>
      <c r="K1255" s="69"/>
      <c r="L1255" s="69"/>
      <c r="M1255" s="79"/>
      <c r="N1255" s="69"/>
      <c r="O1255" s="80"/>
      <c r="P1255" s="81"/>
      <c r="Q1255" s="69"/>
      <c r="R1255" s="69"/>
      <c r="S1255" s="69"/>
      <c r="T1255" s="60"/>
      <c r="U1255" s="60"/>
      <c r="V1255" s="69"/>
      <c r="W1255" s="69"/>
      <c r="X1255" s="69"/>
      <c r="Z1255" s="60"/>
      <c r="AA1255" s="81"/>
      <c r="AB1255" s="81"/>
      <c r="AC1255" s="82"/>
      <c r="AD1255" s="69"/>
      <c r="AE1255" s="79"/>
      <c r="AF1255" s="79"/>
      <c r="AG1255" s="83"/>
      <c r="AH1255" s="84"/>
      <c r="AI1255" s="82"/>
      <c r="AJ1255" s="81"/>
      <c r="AK1255" s="81"/>
      <c r="AL1255" s="81"/>
      <c r="AM1255" s="81"/>
      <c r="AN1255" s="81"/>
      <c r="AO1255" s="81"/>
    </row>
    <row r="1256" spans="1:41" x14ac:dyDescent="0.2">
      <c r="A1256" s="69"/>
      <c r="B1256" s="74"/>
      <c r="C1256" s="75"/>
      <c r="D1256" s="69"/>
      <c r="E1256" s="69"/>
      <c r="F1256" s="76"/>
      <c r="G1256" s="69"/>
      <c r="H1256" s="77"/>
      <c r="I1256" s="78"/>
      <c r="J1256" s="69"/>
      <c r="K1256" s="69"/>
      <c r="L1256" s="69"/>
      <c r="M1256" s="79"/>
      <c r="N1256" s="69"/>
      <c r="O1256" s="80"/>
      <c r="P1256" s="81"/>
      <c r="Q1256" s="69"/>
      <c r="R1256" s="69"/>
      <c r="S1256" s="69"/>
      <c r="T1256" s="60"/>
      <c r="U1256" s="60"/>
      <c r="V1256" s="69"/>
      <c r="W1256" s="69"/>
      <c r="X1256" s="69"/>
      <c r="Z1256" s="60"/>
      <c r="AA1256" s="81"/>
      <c r="AB1256" s="81"/>
      <c r="AC1256" s="82"/>
      <c r="AD1256" s="69"/>
      <c r="AE1256" s="79"/>
      <c r="AF1256" s="79"/>
      <c r="AG1256" s="83"/>
      <c r="AH1256" s="84"/>
      <c r="AI1256" s="82"/>
      <c r="AJ1256" s="81"/>
      <c r="AK1256" s="81"/>
      <c r="AL1256" s="81"/>
      <c r="AM1256" s="81"/>
      <c r="AN1256" s="81"/>
      <c r="AO1256" s="81"/>
    </row>
    <row r="1257" spans="1:41" x14ac:dyDescent="0.2">
      <c r="A1257" s="69"/>
      <c r="B1257" s="74"/>
      <c r="C1257" s="75"/>
      <c r="D1257" s="69"/>
      <c r="E1257" s="69"/>
      <c r="F1257" s="76"/>
      <c r="G1257" s="69"/>
      <c r="H1257" s="77"/>
      <c r="I1257" s="78"/>
      <c r="J1257" s="69"/>
      <c r="K1257" s="69"/>
      <c r="L1257" s="69"/>
      <c r="M1257" s="79"/>
      <c r="N1257" s="69"/>
      <c r="O1257" s="80"/>
      <c r="P1257" s="81"/>
      <c r="Q1257" s="69"/>
      <c r="R1257" s="69"/>
      <c r="S1257" s="69"/>
      <c r="T1257" s="60"/>
      <c r="U1257" s="60"/>
      <c r="V1257" s="69"/>
      <c r="W1257" s="69"/>
      <c r="X1257" s="69"/>
      <c r="Z1257" s="60"/>
      <c r="AA1257" s="81"/>
      <c r="AB1257" s="81"/>
      <c r="AC1257" s="82"/>
      <c r="AD1257" s="69"/>
      <c r="AE1257" s="79"/>
      <c r="AF1257" s="79"/>
      <c r="AG1257" s="83"/>
      <c r="AH1257" s="84"/>
      <c r="AI1257" s="82"/>
      <c r="AJ1257" s="81"/>
      <c r="AK1257" s="81"/>
      <c r="AL1257" s="81"/>
      <c r="AM1257" s="81"/>
      <c r="AN1257" s="81"/>
      <c r="AO1257" s="81"/>
    </row>
    <row r="1258" spans="1:41" x14ac:dyDescent="0.2">
      <c r="A1258" s="69"/>
      <c r="B1258" s="74"/>
      <c r="C1258" s="75"/>
      <c r="D1258" s="69"/>
      <c r="E1258" s="69"/>
      <c r="F1258" s="76"/>
      <c r="G1258" s="69"/>
      <c r="H1258" s="77"/>
      <c r="I1258" s="78"/>
      <c r="J1258" s="69"/>
      <c r="K1258" s="69"/>
      <c r="L1258" s="69"/>
      <c r="M1258" s="79"/>
      <c r="N1258" s="69"/>
      <c r="O1258" s="80"/>
      <c r="P1258" s="81"/>
      <c r="Q1258" s="69"/>
      <c r="R1258" s="69"/>
      <c r="S1258" s="69"/>
      <c r="T1258" s="60"/>
      <c r="U1258" s="60"/>
      <c r="V1258" s="69"/>
      <c r="W1258" s="69"/>
      <c r="X1258" s="69"/>
      <c r="Z1258" s="60"/>
      <c r="AA1258" s="81"/>
      <c r="AB1258" s="81"/>
      <c r="AC1258" s="82"/>
      <c r="AD1258" s="69"/>
      <c r="AE1258" s="79"/>
      <c r="AF1258" s="79"/>
      <c r="AG1258" s="83"/>
      <c r="AH1258" s="84"/>
      <c r="AI1258" s="82"/>
      <c r="AJ1258" s="81"/>
      <c r="AK1258" s="81"/>
      <c r="AL1258" s="81"/>
      <c r="AM1258" s="81"/>
      <c r="AN1258" s="81"/>
      <c r="AO1258" s="81"/>
    </row>
    <row r="1259" spans="1:41" x14ac:dyDescent="0.2">
      <c r="A1259" s="69"/>
      <c r="B1259" s="74"/>
      <c r="C1259" s="75"/>
      <c r="D1259" s="69"/>
      <c r="E1259" s="69"/>
      <c r="F1259" s="76"/>
      <c r="G1259" s="69"/>
      <c r="H1259" s="77"/>
      <c r="I1259" s="78"/>
      <c r="J1259" s="69"/>
      <c r="K1259" s="69"/>
      <c r="L1259" s="69"/>
      <c r="M1259" s="79"/>
      <c r="N1259" s="69"/>
      <c r="O1259" s="80"/>
      <c r="P1259" s="81"/>
      <c r="Q1259" s="69"/>
      <c r="R1259" s="69"/>
      <c r="S1259" s="69"/>
      <c r="T1259" s="60"/>
      <c r="U1259" s="60"/>
      <c r="V1259" s="69"/>
      <c r="W1259" s="69"/>
      <c r="X1259" s="69"/>
      <c r="Z1259" s="60"/>
      <c r="AA1259" s="81"/>
      <c r="AB1259" s="81"/>
      <c r="AC1259" s="82"/>
      <c r="AD1259" s="69"/>
      <c r="AE1259" s="79"/>
      <c r="AF1259" s="79"/>
      <c r="AG1259" s="83"/>
      <c r="AH1259" s="84"/>
      <c r="AI1259" s="82"/>
      <c r="AJ1259" s="81"/>
      <c r="AK1259" s="81"/>
      <c r="AL1259" s="81"/>
      <c r="AM1259" s="81"/>
      <c r="AN1259" s="81"/>
      <c r="AO1259" s="81"/>
    </row>
    <row r="1260" spans="1:41" x14ac:dyDescent="0.2">
      <c r="A1260" s="69"/>
      <c r="B1260" s="74"/>
      <c r="C1260" s="75"/>
      <c r="D1260" s="69"/>
      <c r="E1260" s="69"/>
      <c r="F1260" s="76"/>
      <c r="G1260" s="69"/>
      <c r="H1260" s="77"/>
      <c r="I1260" s="78"/>
      <c r="J1260" s="69"/>
      <c r="K1260" s="69"/>
      <c r="L1260" s="69"/>
      <c r="M1260" s="79"/>
      <c r="N1260" s="69"/>
      <c r="O1260" s="80"/>
      <c r="P1260" s="81"/>
      <c r="Q1260" s="69"/>
      <c r="R1260" s="69"/>
      <c r="S1260" s="69"/>
      <c r="T1260" s="60"/>
      <c r="U1260" s="60"/>
      <c r="V1260" s="69"/>
      <c r="W1260" s="69"/>
      <c r="X1260" s="69"/>
      <c r="Z1260" s="60"/>
      <c r="AA1260" s="81"/>
      <c r="AB1260" s="81"/>
      <c r="AC1260" s="82"/>
      <c r="AD1260" s="69"/>
      <c r="AE1260" s="79"/>
      <c r="AF1260" s="79"/>
      <c r="AG1260" s="83"/>
      <c r="AH1260" s="84"/>
      <c r="AI1260" s="82"/>
      <c r="AJ1260" s="81"/>
      <c r="AK1260" s="81"/>
      <c r="AL1260" s="81"/>
      <c r="AM1260" s="81"/>
      <c r="AN1260" s="81"/>
      <c r="AO1260" s="81"/>
    </row>
    <row r="1261" spans="1:41" x14ac:dyDescent="0.2">
      <c r="A1261" s="69"/>
      <c r="B1261" s="74"/>
      <c r="C1261" s="75"/>
      <c r="D1261" s="69"/>
      <c r="E1261" s="69"/>
      <c r="F1261" s="76"/>
      <c r="G1261" s="69"/>
      <c r="H1261" s="77"/>
      <c r="I1261" s="78"/>
      <c r="J1261" s="69"/>
      <c r="K1261" s="69"/>
      <c r="L1261" s="69"/>
      <c r="M1261" s="79"/>
      <c r="N1261" s="69"/>
      <c r="O1261" s="80"/>
      <c r="P1261" s="80"/>
      <c r="Q1261" s="69"/>
      <c r="R1261" s="69"/>
      <c r="S1261" s="69"/>
      <c r="T1261" s="60"/>
      <c r="U1261" s="60"/>
      <c r="V1261" s="69"/>
      <c r="W1261" s="69"/>
      <c r="X1261" s="69"/>
      <c r="Z1261" s="60"/>
      <c r="AA1261" s="81"/>
      <c r="AB1261" s="81"/>
      <c r="AC1261" s="82"/>
      <c r="AD1261" s="69"/>
      <c r="AE1261" s="79"/>
      <c r="AF1261" s="79"/>
      <c r="AG1261" s="83"/>
      <c r="AH1261" s="84"/>
      <c r="AI1261" s="82"/>
      <c r="AJ1261" s="81"/>
      <c r="AK1261" s="81"/>
      <c r="AL1261" s="81"/>
      <c r="AM1261" s="81"/>
      <c r="AN1261" s="81"/>
      <c r="AO1261" s="81"/>
    </row>
    <row r="1262" spans="1:41" x14ac:dyDescent="0.2">
      <c r="A1262" s="69"/>
      <c r="B1262" s="74"/>
      <c r="C1262" s="75"/>
      <c r="D1262" s="69"/>
      <c r="E1262" s="69"/>
      <c r="F1262" s="76"/>
      <c r="G1262" s="69"/>
      <c r="H1262" s="77"/>
      <c r="I1262" s="78"/>
      <c r="J1262" s="69"/>
      <c r="K1262" s="69"/>
      <c r="L1262" s="69"/>
      <c r="M1262" s="79"/>
      <c r="N1262" s="69"/>
      <c r="O1262" s="80"/>
      <c r="P1262" s="80"/>
      <c r="Q1262" s="69"/>
      <c r="R1262" s="69"/>
      <c r="S1262" s="69"/>
      <c r="T1262" s="60"/>
      <c r="U1262" s="60"/>
      <c r="V1262" s="69"/>
      <c r="W1262" s="69"/>
      <c r="X1262" s="69"/>
      <c r="Z1262" s="60"/>
      <c r="AA1262" s="81"/>
      <c r="AB1262" s="81"/>
      <c r="AC1262" s="82"/>
      <c r="AD1262" s="69"/>
      <c r="AE1262" s="79"/>
      <c r="AF1262" s="79"/>
      <c r="AG1262" s="83"/>
      <c r="AH1262" s="84"/>
      <c r="AI1262" s="82"/>
      <c r="AJ1262" s="81"/>
      <c r="AK1262" s="81"/>
      <c r="AL1262" s="81"/>
      <c r="AM1262" s="81"/>
      <c r="AN1262" s="81"/>
      <c r="AO1262" s="81"/>
    </row>
    <row r="1263" spans="1:41" x14ac:dyDescent="0.2">
      <c r="A1263" s="53"/>
      <c r="B1263" s="87"/>
      <c r="C1263" s="53"/>
      <c r="D1263" s="53"/>
      <c r="E1263" s="53"/>
      <c r="F1263" s="52"/>
      <c r="G1263" s="53"/>
      <c r="H1263" s="53"/>
      <c r="I1263" s="53"/>
      <c r="J1263" s="53"/>
      <c r="K1263" s="53"/>
      <c r="L1263" s="53"/>
      <c r="M1263" s="56"/>
      <c r="N1263" s="53"/>
      <c r="O1263" s="53"/>
      <c r="P1263" s="53"/>
      <c r="Q1263" s="53"/>
      <c r="R1263" s="53"/>
      <c r="S1263" s="69"/>
      <c r="T1263" s="69"/>
      <c r="U1263" s="49"/>
      <c r="V1263" s="53"/>
      <c r="W1263" s="53"/>
      <c r="X1263" s="53"/>
      <c r="Z1263" s="69"/>
      <c r="AA1263" s="53"/>
      <c r="AB1263" s="53"/>
      <c r="AC1263" s="70"/>
      <c r="AD1263" s="70"/>
      <c r="AE1263" s="56"/>
      <c r="AF1263" s="56"/>
      <c r="AG1263" s="56"/>
      <c r="AH1263" s="70"/>
      <c r="AI1263" s="53"/>
      <c r="AJ1263" s="53"/>
      <c r="AK1263" s="53"/>
      <c r="AL1263" s="53"/>
      <c r="AM1263" s="53"/>
      <c r="AN1263" s="53"/>
      <c r="AO1263" s="53"/>
    </row>
    <row r="1264" spans="1:41" x14ac:dyDescent="0.2">
      <c r="A1264" s="53"/>
      <c r="B1264" s="87"/>
      <c r="C1264" s="53"/>
      <c r="D1264" s="53"/>
      <c r="E1264" s="53"/>
      <c r="F1264" s="52"/>
      <c r="G1264" s="53"/>
      <c r="H1264" s="53"/>
      <c r="I1264" s="53"/>
      <c r="J1264" s="53"/>
      <c r="K1264" s="53"/>
      <c r="L1264" s="53"/>
      <c r="M1264" s="56"/>
      <c r="N1264" s="53"/>
      <c r="O1264" s="53"/>
      <c r="P1264" s="53"/>
      <c r="Q1264" s="53"/>
      <c r="R1264" s="53"/>
      <c r="S1264" s="69"/>
      <c r="T1264" s="69"/>
      <c r="U1264" s="49"/>
      <c r="V1264" s="53"/>
      <c r="W1264" s="53"/>
      <c r="X1264" s="53"/>
      <c r="Z1264" s="69"/>
      <c r="AA1264" s="53"/>
      <c r="AB1264" s="53"/>
      <c r="AC1264" s="70"/>
      <c r="AD1264" s="70"/>
      <c r="AE1264" s="56"/>
      <c r="AF1264" s="56"/>
      <c r="AG1264" s="56"/>
      <c r="AH1264" s="70"/>
      <c r="AI1264" s="53"/>
      <c r="AJ1264" s="53"/>
      <c r="AK1264" s="53"/>
      <c r="AL1264" s="53"/>
      <c r="AM1264" s="53"/>
      <c r="AN1264" s="53"/>
      <c r="AO1264" s="53"/>
    </row>
    <row r="1265" spans="1:41" x14ac:dyDescent="0.2">
      <c r="A1265" s="53"/>
      <c r="B1265" s="87"/>
      <c r="C1265" s="53"/>
      <c r="D1265" s="53"/>
      <c r="E1265" s="53"/>
      <c r="F1265" s="52"/>
      <c r="G1265" s="53"/>
      <c r="H1265" s="53"/>
      <c r="I1265" s="53"/>
      <c r="J1265" s="53"/>
      <c r="K1265" s="53"/>
      <c r="L1265" s="53"/>
      <c r="M1265" s="56"/>
      <c r="N1265" s="53"/>
      <c r="O1265" s="53"/>
      <c r="P1265" s="53"/>
      <c r="Q1265" s="53"/>
      <c r="R1265" s="53"/>
      <c r="S1265" s="69"/>
      <c r="T1265" s="69"/>
      <c r="U1265" s="49"/>
      <c r="V1265" s="53"/>
      <c r="W1265" s="53"/>
      <c r="X1265" s="53"/>
      <c r="Z1265" s="69"/>
      <c r="AA1265" s="53"/>
      <c r="AB1265" s="53"/>
      <c r="AC1265" s="70"/>
      <c r="AD1265" s="70"/>
      <c r="AE1265" s="56"/>
      <c r="AF1265" s="56"/>
      <c r="AG1265" s="56"/>
      <c r="AH1265" s="70"/>
      <c r="AI1265" s="53"/>
      <c r="AJ1265" s="53"/>
      <c r="AK1265" s="53"/>
      <c r="AL1265" s="53"/>
      <c r="AM1265" s="53"/>
      <c r="AN1265" s="53"/>
      <c r="AO1265" s="53"/>
    </row>
    <row r="1266" spans="1:41" x14ac:dyDescent="0.2">
      <c r="A1266" s="69"/>
      <c r="B1266" s="74"/>
      <c r="C1266" s="75"/>
      <c r="D1266" s="69"/>
      <c r="E1266" s="69"/>
      <c r="F1266" s="76"/>
      <c r="G1266" s="69"/>
      <c r="H1266" s="77"/>
      <c r="I1266" s="78"/>
      <c r="J1266" s="69"/>
      <c r="K1266" s="69"/>
      <c r="L1266" s="69"/>
      <c r="M1266" s="79"/>
      <c r="N1266" s="69"/>
      <c r="O1266" s="80"/>
      <c r="P1266" s="81"/>
      <c r="Q1266" s="69"/>
      <c r="R1266" s="69"/>
      <c r="S1266" s="69"/>
      <c r="T1266" s="60"/>
      <c r="U1266" s="60"/>
      <c r="V1266" s="69"/>
      <c r="W1266" s="69"/>
      <c r="X1266" s="69"/>
      <c r="Z1266" s="60"/>
      <c r="AA1266" s="81"/>
      <c r="AB1266" s="81"/>
      <c r="AC1266" s="82"/>
      <c r="AD1266" s="69"/>
      <c r="AE1266" s="79"/>
      <c r="AF1266" s="79"/>
      <c r="AG1266" s="83"/>
      <c r="AH1266" s="84"/>
      <c r="AI1266" s="82"/>
      <c r="AJ1266" s="81"/>
      <c r="AK1266" s="81"/>
      <c r="AL1266" s="81"/>
      <c r="AM1266" s="81"/>
      <c r="AN1266" s="81"/>
      <c r="AO1266" s="81"/>
    </row>
    <row r="1267" spans="1:41" x14ac:dyDescent="0.2">
      <c r="A1267" s="69"/>
      <c r="B1267" s="74"/>
      <c r="C1267" s="75"/>
      <c r="D1267" s="69"/>
      <c r="E1267" s="69"/>
      <c r="F1267" s="76"/>
      <c r="G1267" s="69"/>
      <c r="H1267" s="77"/>
      <c r="I1267" s="78"/>
      <c r="J1267" s="69"/>
      <c r="K1267" s="69"/>
      <c r="L1267" s="69"/>
      <c r="M1267" s="79"/>
      <c r="N1267" s="69"/>
      <c r="O1267" s="80"/>
      <c r="P1267" s="81"/>
      <c r="Q1267" s="69"/>
      <c r="R1267" s="69"/>
      <c r="S1267" s="69"/>
      <c r="T1267" s="60"/>
      <c r="U1267" s="60"/>
      <c r="V1267" s="69"/>
      <c r="W1267" s="69"/>
      <c r="X1267" s="69"/>
      <c r="Z1267" s="60"/>
      <c r="AA1267" s="81"/>
      <c r="AB1267" s="81"/>
      <c r="AC1267" s="82"/>
      <c r="AD1267" s="69"/>
      <c r="AE1267" s="79"/>
      <c r="AF1267" s="79"/>
      <c r="AG1267" s="83"/>
      <c r="AH1267" s="84"/>
      <c r="AI1267" s="82"/>
      <c r="AJ1267" s="81"/>
      <c r="AK1267" s="81"/>
      <c r="AL1267" s="81"/>
      <c r="AM1267" s="81"/>
      <c r="AN1267" s="81"/>
      <c r="AO1267" s="81"/>
    </row>
    <row r="1268" spans="1:41" x14ac:dyDescent="0.2">
      <c r="A1268" s="69"/>
      <c r="B1268" s="74"/>
      <c r="C1268" s="75"/>
      <c r="D1268" s="69"/>
      <c r="E1268" s="69"/>
      <c r="F1268" s="76"/>
      <c r="G1268" s="69"/>
      <c r="H1268" s="77"/>
      <c r="I1268" s="78"/>
      <c r="J1268" s="69"/>
      <c r="K1268" s="69"/>
      <c r="L1268" s="69"/>
      <c r="M1268" s="79"/>
      <c r="N1268" s="69"/>
      <c r="O1268" s="80"/>
      <c r="P1268" s="81"/>
      <c r="Q1268" s="69"/>
      <c r="R1268" s="69"/>
      <c r="S1268" s="69"/>
      <c r="T1268" s="60"/>
      <c r="U1268" s="60"/>
      <c r="V1268" s="69"/>
      <c r="W1268" s="69"/>
      <c r="X1268" s="69"/>
      <c r="Z1268" s="60"/>
      <c r="AA1268" s="81"/>
      <c r="AB1268" s="81"/>
      <c r="AC1268" s="82"/>
      <c r="AD1268" s="69"/>
      <c r="AE1268" s="79"/>
      <c r="AF1268" s="79"/>
      <c r="AG1268" s="83"/>
      <c r="AH1268" s="84"/>
      <c r="AI1268" s="82"/>
      <c r="AJ1268" s="81"/>
      <c r="AK1268" s="81"/>
      <c r="AL1268" s="81"/>
      <c r="AM1268" s="81"/>
      <c r="AN1268" s="81"/>
      <c r="AO1268" s="81"/>
    </row>
    <row r="1269" spans="1:41" x14ac:dyDescent="0.2">
      <c r="A1269" s="69"/>
      <c r="B1269" s="74"/>
      <c r="C1269" s="75"/>
      <c r="D1269" s="69"/>
      <c r="E1269" s="69"/>
      <c r="F1269" s="76"/>
      <c r="G1269" s="69"/>
      <c r="H1269" s="77"/>
      <c r="I1269" s="78"/>
      <c r="J1269" s="69"/>
      <c r="K1269" s="69"/>
      <c r="L1269" s="69"/>
      <c r="M1269" s="79"/>
      <c r="N1269" s="69"/>
      <c r="O1269" s="80"/>
      <c r="P1269" s="81"/>
      <c r="Q1269" s="69"/>
      <c r="R1269" s="69"/>
      <c r="S1269" s="69"/>
      <c r="T1269" s="60"/>
      <c r="U1269" s="60"/>
      <c r="V1269" s="69"/>
      <c r="W1269" s="69"/>
      <c r="X1269" s="69"/>
      <c r="Z1269" s="60"/>
      <c r="AA1269" s="81"/>
      <c r="AB1269" s="81"/>
      <c r="AC1269" s="82"/>
      <c r="AD1269" s="69"/>
      <c r="AE1269" s="79"/>
      <c r="AF1269" s="79"/>
      <c r="AG1269" s="83"/>
      <c r="AH1269" s="84"/>
      <c r="AI1269" s="82"/>
      <c r="AJ1269" s="81"/>
      <c r="AK1269" s="81"/>
      <c r="AL1269" s="81"/>
      <c r="AM1269" s="81"/>
      <c r="AN1269" s="81"/>
      <c r="AO1269" s="81"/>
    </row>
    <row r="1270" spans="1:41" x14ac:dyDescent="0.2">
      <c r="A1270" s="69"/>
      <c r="B1270" s="74"/>
      <c r="C1270" s="75"/>
      <c r="D1270" s="69"/>
      <c r="E1270" s="69"/>
      <c r="F1270" s="76"/>
      <c r="G1270" s="69"/>
      <c r="H1270" s="77"/>
      <c r="I1270" s="78"/>
      <c r="J1270" s="69"/>
      <c r="K1270" s="69"/>
      <c r="L1270" s="69"/>
      <c r="M1270" s="79"/>
      <c r="N1270" s="69"/>
      <c r="O1270" s="80"/>
      <c r="P1270" s="80"/>
      <c r="Q1270" s="69"/>
      <c r="R1270" s="69"/>
      <c r="S1270" s="69"/>
      <c r="T1270" s="60"/>
      <c r="U1270" s="60"/>
      <c r="V1270" s="69"/>
      <c r="W1270" s="69"/>
      <c r="X1270" s="69"/>
      <c r="Z1270" s="60"/>
      <c r="AA1270" s="81"/>
      <c r="AB1270" s="81"/>
      <c r="AC1270" s="82"/>
      <c r="AD1270" s="69"/>
      <c r="AE1270" s="79"/>
      <c r="AF1270" s="79"/>
      <c r="AG1270" s="83"/>
      <c r="AH1270" s="84"/>
      <c r="AI1270" s="82"/>
      <c r="AJ1270" s="81"/>
      <c r="AK1270" s="81"/>
      <c r="AL1270" s="81"/>
      <c r="AM1270" s="81"/>
      <c r="AN1270" s="81"/>
      <c r="AO1270" s="81"/>
    </row>
    <row r="1271" spans="1:41" x14ac:dyDescent="0.2">
      <c r="A1271" s="69"/>
      <c r="B1271" s="74"/>
      <c r="C1271" s="75"/>
      <c r="D1271" s="69"/>
      <c r="E1271" s="69"/>
      <c r="F1271" s="76"/>
      <c r="G1271" s="69"/>
      <c r="H1271" s="77"/>
      <c r="I1271" s="78"/>
      <c r="J1271" s="69"/>
      <c r="K1271" s="69"/>
      <c r="L1271" s="69"/>
      <c r="M1271" s="79"/>
      <c r="N1271" s="69"/>
      <c r="O1271" s="80"/>
      <c r="P1271" s="80"/>
      <c r="Q1271" s="69"/>
      <c r="R1271" s="69"/>
      <c r="S1271" s="69"/>
      <c r="T1271" s="60"/>
      <c r="U1271" s="60"/>
      <c r="V1271" s="69"/>
      <c r="W1271" s="69"/>
      <c r="X1271" s="69"/>
      <c r="Z1271" s="60"/>
      <c r="AA1271" s="81"/>
      <c r="AB1271" s="81"/>
      <c r="AC1271" s="82"/>
      <c r="AD1271" s="69"/>
      <c r="AE1271" s="79"/>
      <c r="AF1271" s="79"/>
      <c r="AG1271" s="83"/>
      <c r="AH1271" s="84"/>
      <c r="AI1271" s="82"/>
      <c r="AJ1271" s="81"/>
      <c r="AK1271" s="81"/>
      <c r="AL1271" s="81"/>
      <c r="AM1271" s="81"/>
      <c r="AN1271" s="81"/>
      <c r="AO1271" s="81"/>
    </row>
    <row r="1272" spans="1:41" x14ac:dyDescent="0.2">
      <c r="A1272" s="49"/>
      <c r="B1272" s="50"/>
      <c r="C1272" s="51"/>
      <c r="D1272" s="49"/>
      <c r="E1272" s="49"/>
      <c r="F1272" s="52"/>
      <c r="G1272" s="53"/>
      <c r="H1272" s="54"/>
      <c r="I1272" s="55"/>
      <c r="J1272" s="53"/>
      <c r="K1272" s="53"/>
      <c r="L1272" s="53"/>
      <c r="M1272" s="56"/>
      <c r="N1272" s="53"/>
      <c r="O1272" s="57"/>
      <c r="P1272" s="57"/>
      <c r="Q1272" s="53"/>
      <c r="R1272" s="53"/>
      <c r="S1272" s="53"/>
      <c r="T1272" s="59"/>
      <c r="U1272" s="59"/>
      <c r="V1272" s="53"/>
      <c r="W1272" s="53"/>
      <c r="X1272" s="53"/>
      <c r="Z1272" s="60"/>
      <c r="AA1272" s="58"/>
      <c r="AB1272" s="58"/>
      <c r="AC1272" s="61"/>
      <c r="AD1272" s="53"/>
      <c r="AE1272" s="56"/>
      <c r="AF1272" s="56"/>
      <c r="AG1272" s="62"/>
      <c r="AH1272" s="63"/>
      <c r="AI1272" s="61"/>
      <c r="AJ1272" s="58"/>
      <c r="AK1272" s="58"/>
      <c r="AL1272" s="58"/>
      <c r="AM1272" s="58"/>
      <c r="AN1272" s="58"/>
      <c r="AO1272" s="58"/>
    </row>
    <row r="1273" spans="1:41" x14ac:dyDescent="0.2">
      <c r="A1273" s="49"/>
      <c r="B1273" s="50"/>
      <c r="C1273" s="51"/>
      <c r="D1273" s="49"/>
      <c r="E1273" s="49"/>
      <c r="F1273" s="52"/>
      <c r="G1273" s="53"/>
      <c r="H1273" s="54"/>
      <c r="I1273" s="55"/>
      <c r="J1273" s="53"/>
      <c r="K1273" s="53"/>
      <c r="L1273" s="53"/>
      <c r="M1273" s="56"/>
      <c r="N1273" s="53"/>
      <c r="O1273" s="57"/>
      <c r="P1273" s="57"/>
      <c r="Q1273" s="53"/>
      <c r="R1273" s="53"/>
      <c r="S1273" s="53"/>
      <c r="T1273" s="59"/>
      <c r="U1273" s="59"/>
      <c r="V1273" s="53"/>
      <c r="W1273" s="53"/>
      <c r="X1273" s="53"/>
      <c r="Z1273" s="60"/>
      <c r="AA1273" s="58"/>
      <c r="AB1273" s="58"/>
      <c r="AC1273" s="61"/>
      <c r="AD1273" s="53"/>
      <c r="AE1273" s="56"/>
      <c r="AF1273" s="56"/>
      <c r="AG1273" s="62"/>
      <c r="AH1273" s="63"/>
      <c r="AI1273" s="61"/>
      <c r="AJ1273" s="58"/>
      <c r="AK1273" s="58"/>
      <c r="AL1273" s="58"/>
      <c r="AM1273" s="58"/>
      <c r="AN1273" s="58"/>
      <c r="AO1273" s="58"/>
    </row>
    <row r="1274" spans="1:41" x14ac:dyDescent="0.2">
      <c r="A1274" s="49"/>
      <c r="B1274" s="50"/>
      <c r="C1274" s="51"/>
      <c r="D1274" s="49"/>
      <c r="E1274" s="49"/>
      <c r="F1274" s="52"/>
      <c r="G1274" s="53"/>
      <c r="H1274" s="54"/>
      <c r="I1274" s="55"/>
      <c r="J1274" s="53"/>
      <c r="K1274" s="53"/>
      <c r="L1274" s="53"/>
      <c r="M1274" s="56"/>
      <c r="N1274" s="53"/>
      <c r="O1274" s="57"/>
      <c r="P1274" s="57"/>
      <c r="Q1274" s="53"/>
      <c r="R1274" s="53"/>
      <c r="S1274" s="53"/>
      <c r="T1274" s="59"/>
      <c r="U1274" s="59"/>
      <c r="V1274" s="53"/>
      <c r="W1274" s="53"/>
      <c r="X1274" s="53"/>
      <c r="Z1274" s="60"/>
      <c r="AA1274" s="58"/>
      <c r="AB1274" s="58"/>
      <c r="AC1274" s="61"/>
      <c r="AD1274" s="53"/>
      <c r="AE1274" s="56"/>
      <c r="AF1274" s="56"/>
      <c r="AG1274" s="62"/>
      <c r="AH1274" s="63"/>
      <c r="AI1274" s="61"/>
      <c r="AJ1274" s="58"/>
      <c r="AK1274" s="58"/>
      <c r="AL1274" s="58"/>
      <c r="AM1274" s="58"/>
      <c r="AN1274" s="58"/>
      <c r="AO1274" s="58"/>
    </row>
    <row r="1275" spans="1:41" x14ac:dyDescent="0.2">
      <c r="A1275" s="49"/>
      <c r="B1275" s="50"/>
      <c r="C1275" s="51"/>
      <c r="D1275" s="49"/>
      <c r="E1275" s="49"/>
      <c r="F1275" s="52"/>
      <c r="G1275" s="53"/>
      <c r="H1275" s="54"/>
      <c r="I1275" s="55"/>
      <c r="J1275" s="53"/>
      <c r="K1275" s="53"/>
      <c r="L1275" s="53"/>
      <c r="M1275" s="56"/>
      <c r="N1275" s="53"/>
      <c r="O1275" s="57"/>
      <c r="P1275" s="57"/>
      <c r="Q1275" s="53"/>
      <c r="R1275" s="53"/>
      <c r="S1275" s="53"/>
      <c r="T1275" s="59"/>
      <c r="U1275" s="59"/>
      <c r="V1275" s="53"/>
      <c r="W1275" s="53"/>
      <c r="X1275" s="53"/>
      <c r="Z1275" s="60"/>
      <c r="AA1275" s="58"/>
      <c r="AB1275" s="58"/>
      <c r="AC1275" s="61"/>
      <c r="AD1275" s="53"/>
      <c r="AE1275" s="56"/>
      <c r="AF1275" s="56"/>
      <c r="AG1275" s="62"/>
      <c r="AH1275" s="63"/>
      <c r="AI1275" s="61"/>
      <c r="AJ1275" s="58"/>
      <c r="AK1275" s="58"/>
      <c r="AL1275" s="58"/>
      <c r="AM1275" s="58"/>
      <c r="AN1275" s="58"/>
      <c r="AO1275" s="58"/>
    </row>
    <row r="1276" spans="1:41" x14ac:dyDescent="0.2">
      <c r="A1276" s="69"/>
      <c r="B1276" s="74"/>
      <c r="C1276" s="75"/>
      <c r="D1276" s="69"/>
      <c r="E1276" s="69"/>
      <c r="F1276" s="76"/>
      <c r="G1276" s="69"/>
      <c r="H1276" s="77"/>
      <c r="I1276" s="78"/>
      <c r="J1276" s="69"/>
      <c r="K1276" s="69"/>
      <c r="L1276" s="69"/>
      <c r="M1276" s="79"/>
      <c r="N1276" s="69"/>
      <c r="O1276" s="80"/>
      <c r="P1276" s="80"/>
      <c r="Q1276" s="69"/>
      <c r="R1276" s="69"/>
      <c r="S1276" s="69"/>
      <c r="T1276" s="60"/>
      <c r="U1276" s="60"/>
      <c r="V1276" s="69"/>
      <c r="W1276" s="69"/>
      <c r="X1276" s="69"/>
      <c r="Z1276" s="60"/>
      <c r="AA1276" s="81"/>
      <c r="AB1276" s="81"/>
      <c r="AC1276" s="82"/>
      <c r="AD1276" s="69"/>
      <c r="AE1276" s="79"/>
      <c r="AF1276" s="79"/>
      <c r="AG1276" s="83"/>
      <c r="AH1276" s="84"/>
      <c r="AI1276" s="82"/>
      <c r="AJ1276" s="81"/>
      <c r="AK1276" s="81"/>
      <c r="AL1276" s="81"/>
      <c r="AM1276" s="81"/>
      <c r="AN1276" s="81"/>
      <c r="AO1276" s="81"/>
    </row>
    <row r="1277" spans="1:41" x14ac:dyDescent="0.2">
      <c r="A1277" s="69"/>
      <c r="B1277" s="74"/>
      <c r="C1277" s="75"/>
      <c r="D1277" s="69"/>
      <c r="E1277" s="69"/>
      <c r="F1277" s="76"/>
      <c r="G1277" s="69"/>
      <c r="H1277" s="77"/>
      <c r="I1277" s="78"/>
      <c r="J1277" s="69"/>
      <c r="K1277" s="69"/>
      <c r="L1277" s="69"/>
      <c r="M1277" s="79"/>
      <c r="N1277" s="69"/>
      <c r="O1277" s="80"/>
      <c r="P1277" s="80"/>
      <c r="Q1277" s="69"/>
      <c r="R1277" s="69"/>
      <c r="S1277" s="69"/>
      <c r="T1277" s="60"/>
      <c r="U1277" s="60"/>
      <c r="V1277" s="69"/>
      <c r="W1277" s="69"/>
      <c r="X1277" s="69"/>
      <c r="Z1277" s="60"/>
      <c r="AA1277" s="81"/>
      <c r="AB1277" s="81"/>
      <c r="AC1277" s="82"/>
      <c r="AD1277" s="69"/>
      <c r="AE1277" s="79"/>
      <c r="AF1277" s="79"/>
      <c r="AG1277" s="83"/>
      <c r="AH1277" s="84"/>
      <c r="AI1277" s="82"/>
      <c r="AJ1277" s="81"/>
      <c r="AK1277" s="81"/>
      <c r="AL1277" s="81"/>
      <c r="AM1277" s="81"/>
      <c r="AN1277" s="81"/>
      <c r="AO1277" s="81"/>
    </row>
    <row r="1278" spans="1:41" x14ac:dyDescent="0.2">
      <c r="A1278" s="49"/>
      <c r="B1278" s="50"/>
      <c r="C1278" s="51"/>
      <c r="D1278" s="49"/>
      <c r="E1278" s="49"/>
      <c r="F1278" s="52"/>
      <c r="G1278" s="53"/>
      <c r="H1278" s="54"/>
      <c r="I1278" s="55"/>
      <c r="J1278" s="53"/>
      <c r="K1278" s="53"/>
      <c r="L1278" s="53"/>
      <c r="M1278" s="56"/>
      <c r="N1278" s="53"/>
      <c r="O1278" s="57"/>
      <c r="P1278" s="57"/>
      <c r="Q1278" s="53"/>
      <c r="R1278" s="53"/>
      <c r="S1278" s="53"/>
      <c r="T1278" s="59"/>
      <c r="U1278" s="59"/>
      <c r="V1278" s="53"/>
      <c r="W1278" s="53"/>
      <c r="X1278" s="53"/>
      <c r="Z1278" s="60"/>
      <c r="AA1278" s="58"/>
      <c r="AB1278" s="58"/>
      <c r="AC1278" s="61"/>
      <c r="AD1278" s="53"/>
      <c r="AE1278" s="56"/>
      <c r="AF1278" s="56"/>
      <c r="AG1278" s="62"/>
      <c r="AH1278" s="63"/>
      <c r="AI1278" s="61"/>
      <c r="AJ1278" s="58"/>
      <c r="AK1278" s="58"/>
      <c r="AL1278" s="58"/>
      <c r="AM1278" s="58"/>
      <c r="AN1278" s="58"/>
      <c r="AO1278" s="58"/>
    </row>
    <row r="1279" spans="1:41" x14ac:dyDescent="0.2">
      <c r="A1279" s="49"/>
      <c r="B1279" s="50"/>
      <c r="C1279" s="51"/>
      <c r="D1279" s="49"/>
      <c r="E1279" s="49"/>
      <c r="F1279" s="52"/>
      <c r="G1279" s="53"/>
      <c r="H1279" s="54"/>
      <c r="I1279" s="55"/>
      <c r="J1279" s="53"/>
      <c r="K1279" s="53"/>
      <c r="L1279" s="53"/>
      <c r="M1279" s="56"/>
      <c r="N1279" s="53"/>
      <c r="O1279" s="57"/>
      <c r="P1279" s="58"/>
      <c r="Q1279" s="53"/>
      <c r="R1279" s="53"/>
      <c r="S1279" s="53"/>
      <c r="T1279" s="59"/>
      <c r="U1279" s="59"/>
      <c r="V1279" s="53"/>
      <c r="W1279" s="53"/>
      <c r="X1279" s="53"/>
      <c r="Z1279" s="60"/>
      <c r="AA1279" s="58"/>
      <c r="AB1279" s="58"/>
      <c r="AC1279" s="61"/>
      <c r="AD1279" s="53"/>
      <c r="AE1279" s="56"/>
      <c r="AF1279" s="56"/>
      <c r="AG1279" s="62"/>
      <c r="AH1279" s="63"/>
      <c r="AI1279" s="61"/>
      <c r="AJ1279" s="58"/>
      <c r="AK1279" s="58"/>
      <c r="AL1279" s="58"/>
      <c r="AM1279" s="58"/>
      <c r="AN1279" s="58"/>
      <c r="AO1279" s="58"/>
    </row>
    <row r="1280" spans="1:41" x14ac:dyDescent="0.2">
      <c r="A1280" s="49"/>
      <c r="B1280" s="50"/>
      <c r="C1280" s="51"/>
      <c r="D1280" s="49"/>
      <c r="E1280" s="49"/>
      <c r="F1280" s="52"/>
      <c r="G1280" s="53"/>
      <c r="H1280" s="54"/>
      <c r="I1280" s="55"/>
      <c r="J1280" s="53"/>
      <c r="K1280" s="53"/>
      <c r="L1280" s="53"/>
      <c r="M1280" s="56"/>
      <c r="N1280" s="53"/>
      <c r="O1280" s="57"/>
      <c r="P1280" s="58"/>
      <c r="Q1280" s="53"/>
      <c r="R1280" s="53"/>
      <c r="S1280" s="53"/>
      <c r="T1280" s="59"/>
      <c r="U1280" s="59"/>
      <c r="V1280" s="53"/>
      <c r="W1280" s="53"/>
      <c r="X1280" s="53"/>
      <c r="Z1280" s="60"/>
      <c r="AA1280" s="58"/>
      <c r="AB1280" s="58"/>
      <c r="AC1280" s="61"/>
      <c r="AD1280" s="53"/>
      <c r="AE1280" s="56"/>
      <c r="AF1280" s="56"/>
      <c r="AG1280" s="62"/>
      <c r="AH1280" s="63"/>
      <c r="AI1280" s="61"/>
      <c r="AJ1280" s="58"/>
      <c r="AK1280" s="58"/>
      <c r="AL1280" s="58"/>
      <c r="AM1280" s="58"/>
      <c r="AN1280" s="58"/>
      <c r="AO1280" s="58"/>
    </row>
    <row r="1281" spans="1:41" x14ac:dyDescent="0.2">
      <c r="A1281" s="49"/>
      <c r="B1281" s="50"/>
      <c r="C1281" s="51"/>
      <c r="D1281" s="49"/>
      <c r="E1281" s="49"/>
      <c r="F1281" s="52"/>
      <c r="G1281" s="53"/>
      <c r="H1281" s="54"/>
      <c r="I1281" s="55"/>
      <c r="J1281" s="53"/>
      <c r="K1281" s="53"/>
      <c r="L1281" s="53"/>
      <c r="M1281" s="56"/>
      <c r="N1281" s="53"/>
      <c r="O1281" s="57"/>
      <c r="P1281" s="57"/>
      <c r="Q1281" s="53"/>
      <c r="R1281" s="53"/>
      <c r="S1281" s="53"/>
      <c r="T1281" s="59"/>
      <c r="U1281" s="59"/>
      <c r="V1281" s="53"/>
      <c r="W1281" s="53"/>
      <c r="X1281" s="53"/>
      <c r="Z1281" s="60"/>
      <c r="AA1281" s="58"/>
      <c r="AB1281" s="58"/>
      <c r="AC1281" s="61"/>
      <c r="AD1281" s="53"/>
      <c r="AE1281" s="56"/>
      <c r="AF1281" s="56"/>
      <c r="AG1281" s="62"/>
      <c r="AH1281" s="63"/>
      <c r="AI1281" s="61"/>
      <c r="AJ1281" s="58"/>
      <c r="AK1281" s="58"/>
      <c r="AL1281" s="58"/>
      <c r="AM1281" s="58"/>
      <c r="AN1281" s="58"/>
      <c r="AO1281" s="58"/>
    </row>
    <row r="1282" spans="1:41" x14ac:dyDescent="0.2">
      <c r="A1282" s="49"/>
      <c r="B1282" s="50"/>
      <c r="C1282" s="51"/>
      <c r="D1282" s="49"/>
      <c r="E1282" s="49"/>
      <c r="F1282" s="52"/>
      <c r="G1282" s="53"/>
      <c r="H1282" s="54"/>
      <c r="I1282" s="55"/>
      <c r="J1282" s="53"/>
      <c r="K1282" s="53"/>
      <c r="L1282" s="53"/>
      <c r="M1282" s="56"/>
      <c r="N1282" s="53"/>
      <c r="O1282" s="57"/>
      <c r="P1282" s="57"/>
      <c r="Q1282" s="53"/>
      <c r="R1282" s="53"/>
      <c r="S1282" s="53"/>
      <c r="T1282" s="59"/>
      <c r="U1282" s="59"/>
      <c r="V1282" s="53"/>
      <c r="W1282" s="53"/>
      <c r="X1282" s="53"/>
      <c r="Z1282" s="60"/>
      <c r="AA1282" s="58"/>
      <c r="AB1282" s="58"/>
      <c r="AC1282" s="61"/>
      <c r="AD1282" s="53"/>
      <c r="AE1282" s="56"/>
      <c r="AF1282" s="56"/>
      <c r="AG1282" s="62"/>
      <c r="AH1282" s="63"/>
      <c r="AI1282" s="61"/>
      <c r="AJ1282" s="58"/>
      <c r="AK1282" s="58"/>
      <c r="AL1282" s="58"/>
      <c r="AM1282" s="58"/>
      <c r="AN1282" s="58"/>
      <c r="AO1282" s="58"/>
    </row>
    <row r="1283" spans="1:41" x14ac:dyDescent="0.2">
      <c r="A1283" s="49"/>
      <c r="B1283" s="50"/>
      <c r="C1283" s="51"/>
      <c r="D1283" s="49"/>
      <c r="E1283" s="49"/>
      <c r="F1283" s="52"/>
      <c r="G1283" s="53"/>
      <c r="H1283" s="54"/>
      <c r="I1283" s="55"/>
      <c r="J1283" s="53"/>
      <c r="K1283" s="53"/>
      <c r="L1283" s="53"/>
      <c r="M1283" s="56"/>
      <c r="N1283" s="53"/>
      <c r="O1283" s="57"/>
      <c r="P1283" s="57"/>
      <c r="Q1283" s="53"/>
      <c r="R1283" s="53"/>
      <c r="S1283" s="53"/>
      <c r="T1283" s="59"/>
      <c r="U1283" s="59"/>
      <c r="V1283" s="53"/>
      <c r="W1283" s="53"/>
      <c r="X1283" s="53"/>
      <c r="Z1283" s="60"/>
      <c r="AA1283" s="58"/>
      <c r="AB1283" s="58"/>
      <c r="AC1283" s="61"/>
      <c r="AD1283" s="53"/>
      <c r="AE1283" s="56"/>
      <c r="AF1283" s="56"/>
      <c r="AG1283" s="62"/>
      <c r="AH1283" s="63"/>
      <c r="AI1283" s="61"/>
      <c r="AJ1283" s="58"/>
      <c r="AK1283" s="58"/>
      <c r="AL1283" s="58"/>
      <c r="AM1283" s="58"/>
      <c r="AN1283" s="58"/>
      <c r="AO1283" s="58"/>
    </row>
  </sheetData>
  <autoFilter ref="B1:B1283" xr:uid="{FD6991FD-B92D-48BF-BC93-248CA8001053}"/>
  <sortState ref="A2:AO1283">
    <sortCondition ref="B2:B1283"/>
    <sortCondition ref="C2:C1283"/>
    <sortCondition ref="D2:D1283"/>
  </sortState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E521-CD80-495E-B199-A5505B3C16E8}">
  <dimension ref="A1:H1283"/>
  <sheetViews>
    <sheetView workbookViewId="0">
      <selection sqref="A1:H1048576"/>
    </sheetView>
  </sheetViews>
  <sheetFormatPr defaultRowHeight="12.75" x14ac:dyDescent="0.2"/>
  <cols>
    <col min="1" max="1" width="13.140625" style="23" bestFit="1" customWidth="1"/>
    <col min="2" max="2" width="8" style="11" bestFit="1" customWidth="1"/>
    <col min="3" max="3" width="17.28515625" style="9" bestFit="1" customWidth="1"/>
    <col min="4" max="4" width="38" style="8" bestFit="1" customWidth="1"/>
    <col min="5" max="5" width="19.140625" style="9" customWidth="1"/>
    <col min="7" max="7" width="16.5703125" style="17" customWidth="1"/>
    <col min="8" max="8" width="11.85546875" bestFit="1" customWidth="1"/>
  </cols>
  <sheetData>
    <row r="1" spans="1:8" x14ac:dyDescent="0.2">
      <c r="A1" s="92" t="s">
        <v>431</v>
      </c>
      <c r="B1" s="92" t="s">
        <v>432</v>
      </c>
      <c r="C1" s="92" t="s">
        <v>433</v>
      </c>
      <c r="D1" s="92" t="s">
        <v>434</v>
      </c>
      <c r="E1" s="92" t="s">
        <v>435</v>
      </c>
      <c r="F1" s="92" t="s">
        <v>436</v>
      </c>
      <c r="G1" s="92" t="s">
        <v>437</v>
      </c>
      <c r="H1" s="92" t="s">
        <v>438</v>
      </c>
    </row>
    <row r="2" spans="1:8" x14ac:dyDescent="0.2">
      <c r="A2" s="87">
        <v>43171</v>
      </c>
      <c r="B2" s="51">
        <v>0.56597222222222221</v>
      </c>
      <c r="C2" s="53" t="s">
        <v>187</v>
      </c>
      <c r="D2" s="53" t="s">
        <v>415</v>
      </c>
      <c r="E2" s="53" t="s">
        <v>416</v>
      </c>
      <c r="F2" s="9">
        <v>375.35814760632883</v>
      </c>
      <c r="G2" s="69" t="s">
        <v>73</v>
      </c>
      <c r="H2">
        <v>607.58743298749994</v>
      </c>
    </row>
    <row r="3" spans="1:8" x14ac:dyDescent="0.2">
      <c r="A3" s="87">
        <v>43171</v>
      </c>
      <c r="B3" s="51">
        <v>0.56597222222222221</v>
      </c>
      <c r="C3" s="53" t="s">
        <v>187</v>
      </c>
      <c r="D3" s="53" t="s">
        <v>86</v>
      </c>
      <c r="E3" s="53" t="s">
        <v>87</v>
      </c>
      <c r="F3" s="9">
        <v>12386.818871008851</v>
      </c>
      <c r="G3" s="69" t="s">
        <v>73</v>
      </c>
      <c r="H3">
        <v>14.137154999999998</v>
      </c>
    </row>
    <row r="4" spans="1:8" x14ac:dyDescent="0.2">
      <c r="A4" s="87">
        <v>43171</v>
      </c>
      <c r="B4" s="51">
        <v>0.56597222222222221</v>
      </c>
      <c r="C4" s="53" t="s">
        <v>187</v>
      </c>
      <c r="D4" s="53" t="s">
        <v>391</v>
      </c>
      <c r="E4" s="53" t="s">
        <v>89</v>
      </c>
      <c r="F4" s="9">
        <v>375.35814760632883</v>
      </c>
      <c r="G4" s="69" t="s">
        <v>73</v>
      </c>
      <c r="H4">
        <v>95.467160518333316</v>
      </c>
    </row>
    <row r="5" spans="1:8" x14ac:dyDescent="0.2">
      <c r="A5" s="87">
        <v>43171</v>
      </c>
      <c r="B5" s="51">
        <v>0.56597222222222221</v>
      </c>
      <c r="C5" s="53" t="s">
        <v>187</v>
      </c>
      <c r="D5" s="53" t="s">
        <v>94</v>
      </c>
      <c r="E5" s="53" t="s">
        <v>95</v>
      </c>
      <c r="F5" s="9">
        <v>137756.4401715227</v>
      </c>
      <c r="G5" s="69" t="s">
        <v>97</v>
      </c>
      <c r="H5">
        <v>0.19090395233333335</v>
      </c>
    </row>
    <row r="6" spans="1:8" x14ac:dyDescent="0.2">
      <c r="A6" s="74">
        <v>43171</v>
      </c>
      <c r="B6" s="75">
        <v>0.59375</v>
      </c>
      <c r="C6" s="69" t="s">
        <v>108</v>
      </c>
      <c r="D6" s="80" t="s">
        <v>393</v>
      </c>
      <c r="E6" s="69" t="s">
        <v>147</v>
      </c>
      <c r="F6" s="9">
        <v>450.42977712759455</v>
      </c>
      <c r="G6" s="60" t="s">
        <v>73</v>
      </c>
      <c r="H6">
        <v>187.43511337499999</v>
      </c>
    </row>
    <row r="7" spans="1:8" x14ac:dyDescent="0.2">
      <c r="A7" s="74">
        <v>43171</v>
      </c>
      <c r="B7" s="75">
        <v>0.59375</v>
      </c>
      <c r="C7" s="69" t="s">
        <v>108</v>
      </c>
      <c r="D7" s="80" t="s">
        <v>86</v>
      </c>
      <c r="E7" s="69" t="s">
        <v>87</v>
      </c>
      <c r="F7" s="9">
        <v>12612.033759572647</v>
      </c>
      <c r="G7" s="60" t="s">
        <v>73</v>
      </c>
      <c r="H7">
        <v>17.157270186666665</v>
      </c>
    </row>
    <row r="8" spans="1:8" x14ac:dyDescent="0.2">
      <c r="A8" s="74">
        <v>43171</v>
      </c>
      <c r="B8" s="75">
        <v>0.59375</v>
      </c>
      <c r="C8" s="69" t="s">
        <v>108</v>
      </c>
      <c r="D8" s="80" t="s">
        <v>94</v>
      </c>
      <c r="E8" s="69" t="s">
        <v>95</v>
      </c>
      <c r="F8" s="9">
        <v>176568.47263401706</v>
      </c>
      <c r="G8" s="60" t="s">
        <v>97</v>
      </c>
      <c r="H8">
        <v>0.19090395233333335</v>
      </c>
    </row>
    <row r="9" spans="1:8" x14ac:dyDescent="0.2">
      <c r="A9" s="50">
        <v>43171</v>
      </c>
      <c r="B9" s="51">
        <v>0.61458333333333304</v>
      </c>
      <c r="C9" s="49" t="s">
        <v>181</v>
      </c>
      <c r="D9" s="57" t="s">
        <v>261</v>
      </c>
      <c r="E9" s="53" t="s">
        <v>191</v>
      </c>
      <c r="F9" s="9">
        <v>375.35814760632883</v>
      </c>
      <c r="G9" s="60" t="s">
        <v>73</v>
      </c>
      <c r="H9">
        <v>251.89600000000002</v>
      </c>
    </row>
    <row r="10" spans="1:8" x14ac:dyDescent="0.2">
      <c r="A10" s="50">
        <v>43171</v>
      </c>
      <c r="B10" s="51">
        <v>0.61458333333333304</v>
      </c>
      <c r="C10" s="49" t="s">
        <v>181</v>
      </c>
      <c r="D10" s="57" t="s">
        <v>86</v>
      </c>
      <c r="E10" s="53" t="s">
        <v>87</v>
      </c>
      <c r="F10" s="9">
        <v>10134.669985370878</v>
      </c>
      <c r="G10" s="60" t="s">
        <v>73</v>
      </c>
      <c r="H10">
        <v>15.598517948333333</v>
      </c>
    </row>
    <row r="11" spans="1:8" x14ac:dyDescent="0.2">
      <c r="A11" s="50">
        <v>43171</v>
      </c>
      <c r="B11" s="51">
        <v>0.61458333333333304</v>
      </c>
      <c r="C11" s="49" t="s">
        <v>181</v>
      </c>
      <c r="D11" s="57" t="s">
        <v>232</v>
      </c>
      <c r="E11" s="53" t="s">
        <v>233</v>
      </c>
      <c r="F11" s="9">
        <v>375.35814760632883</v>
      </c>
      <c r="G11" s="60" t="s">
        <v>73</v>
      </c>
      <c r="H11">
        <v>113.97609980249997</v>
      </c>
    </row>
    <row r="12" spans="1:8" x14ac:dyDescent="0.2">
      <c r="A12" s="50">
        <v>43171</v>
      </c>
      <c r="B12" s="51">
        <v>0.61458333333333304</v>
      </c>
      <c r="C12" s="49" t="s">
        <v>181</v>
      </c>
      <c r="D12" s="57" t="s">
        <v>403</v>
      </c>
      <c r="E12" s="53" t="s">
        <v>119</v>
      </c>
      <c r="F12" s="9">
        <v>375.35814760632883</v>
      </c>
      <c r="G12" s="60" t="s">
        <v>73</v>
      </c>
      <c r="H12">
        <v>254.21746279999996</v>
      </c>
    </row>
    <row r="13" spans="1:8" x14ac:dyDescent="0.2">
      <c r="A13" s="50">
        <v>43171</v>
      </c>
      <c r="B13" s="51">
        <v>0.61458333333333304</v>
      </c>
      <c r="C13" s="49" t="s">
        <v>181</v>
      </c>
      <c r="D13" s="57" t="s">
        <v>391</v>
      </c>
      <c r="E13" s="53" t="s">
        <v>89</v>
      </c>
      <c r="F13" s="9">
        <v>1876.7907380316442</v>
      </c>
      <c r="G13" s="60" t="s">
        <v>73</v>
      </c>
      <c r="H13">
        <v>89.309644118333338</v>
      </c>
    </row>
    <row r="14" spans="1:8" x14ac:dyDescent="0.2">
      <c r="A14" s="50">
        <v>43171</v>
      </c>
      <c r="B14" s="51">
        <v>0.61458333333333304</v>
      </c>
      <c r="C14" s="49" t="s">
        <v>181</v>
      </c>
      <c r="D14" s="57" t="s">
        <v>94</v>
      </c>
      <c r="E14" s="53" t="s">
        <v>95</v>
      </c>
      <c r="F14" s="9">
        <v>145263.60312364926</v>
      </c>
      <c r="G14" s="60" t="s">
        <v>97</v>
      </c>
      <c r="H14">
        <v>0.19090395233333335</v>
      </c>
    </row>
    <row r="15" spans="1:8" x14ac:dyDescent="0.2">
      <c r="A15" s="74">
        <v>43171</v>
      </c>
      <c r="B15" s="75">
        <v>0.62152777777777801</v>
      </c>
      <c r="C15" s="69" t="s">
        <v>144</v>
      </c>
      <c r="D15" s="80" t="s">
        <v>296</v>
      </c>
      <c r="E15" s="69" t="s">
        <v>103</v>
      </c>
      <c r="F15" s="9">
        <v>375.35814760632883</v>
      </c>
      <c r="G15" s="60" t="s">
        <v>73</v>
      </c>
      <c r="H15">
        <v>899.95008156749998</v>
      </c>
    </row>
    <row r="16" spans="1:8" x14ac:dyDescent="0.2">
      <c r="A16" s="74">
        <v>43171</v>
      </c>
      <c r="B16" s="75">
        <v>0.62152777777777801</v>
      </c>
      <c r="C16" s="69" t="s">
        <v>144</v>
      </c>
      <c r="D16" s="80" t="s">
        <v>86</v>
      </c>
      <c r="E16" s="69" t="s">
        <v>87</v>
      </c>
      <c r="F16" s="9">
        <v>11260.744428189866</v>
      </c>
      <c r="G16" s="60" t="s">
        <v>73</v>
      </c>
      <c r="H16">
        <v>11.494030613333329</v>
      </c>
    </row>
    <row r="17" spans="1:8" x14ac:dyDescent="0.2">
      <c r="A17" s="74">
        <v>43171</v>
      </c>
      <c r="B17" s="75">
        <v>0.62152777777777801</v>
      </c>
      <c r="C17" s="69" t="s">
        <v>144</v>
      </c>
      <c r="D17" s="80" t="s">
        <v>403</v>
      </c>
      <c r="E17" s="69" t="s">
        <v>119</v>
      </c>
      <c r="F17" s="9">
        <v>375.35814760632883</v>
      </c>
      <c r="G17" s="60" t="s">
        <v>73</v>
      </c>
      <c r="H17">
        <v>543.43223819999992</v>
      </c>
    </row>
    <row r="18" spans="1:8" x14ac:dyDescent="0.2">
      <c r="A18" s="74">
        <v>43171</v>
      </c>
      <c r="B18" s="75">
        <v>0.62152777777777801</v>
      </c>
      <c r="C18" s="69" t="s">
        <v>144</v>
      </c>
      <c r="D18" s="80" t="s">
        <v>391</v>
      </c>
      <c r="E18" s="69" t="s">
        <v>89</v>
      </c>
      <c r="F18" s="9">
        <v>3002.8651808506306</v>
      </c>
      <c r="G18" s="60" t="s">
        <v>73</v>
      </c>
      <c r="H18">
        <v>100.79084657249997</v>
      </c>
    </row>
    <row r="19" spans="1:8" x14ac:dyDescent="0.2">
      <c r="A19" s="74">
        <v>43171</v>
      </c>
      <c r="B19" s="75">
        <v>0.62152777777777801</v>
      </c>
      <c r="C19" s="69" t="s">
        <v>144</v>
      </c>
      <c r="D19" s="80" t="s">
        <v>94</v>
      </c>
      <c r="E19" s="69" t="s">
        <v>95</v>
      </c>
      <c r="F19" s="9">
        <v>150143.25904253151</v>
      </c>
      <c r="G19" s="60" t="s">
        <v>97</v>
      </c>
      <c r="H19">
        <v>0.19090395233333335</v>
      </c>
    </row>
    <row r="20" spans="1:8" x14ac:dyDescent="0.2">
      <c r="A20" s="50">
        <v>43171</v>
      </c>
      <c r="B20" s="51">
        <v>0.63541666666666696</v>
      </c>
      <c r="C20" s="49" t="s">
        <v>189</v>
      </c>
      <c r="D20" s="57" t="s">
        <v>266</v>
      </c>
      <c r="E20" s="53" t="s">
        <v>110</v>
      </c>
      <c r="F20" s="9">
        <v>187.67907380316441</v>
      </c>
      <c r="G20" s="60" t="s">
        <v>73</v>
      </c>
      <c r="H20">
        <v>37.548283679999997</v>
      </c>
    </row>
    <row r="21" spans="1:8" x14ac:dyDescent="0.2">
      <c r="A21" s="50">
        <v>43171</v>
      </c>
      <c r="B21" s="51">
        <v>0.63541666666666696</v>
      </c>
      <c r="C21" s="49" t="s">
        <v>189</v>
      </c>
      <c r="D21" s="57" t="s">
        <v>296</v>
      </c>
      <c r="E21" s="53" t="s">
        <v>103</v>
      </c>
      <c r="F21" s="9">
        <v>375.35814760632883</v>
      </c>
      <c r="G21" s="60" t="s">
        <v>73</v>
      </c>
      <c r="H21">
        <v>364.92709440000004</v>
      </c>
    </row>
    <row r="22" spans="1:8" x14ac:dyDescent="0.2">
      <c r="A22" s="50">
        <v>43171</v>
      </c>
      <c r="B22" s="51">
        <v>0.63541666666666696</v>
      </c>
      <c r="C22" s="49" t="s">
        <v>189</v>
      </c>
      <c r="D22" s="57" t="s">
        <v>86</v>
      </c>
      <c r="E22" s="53" t="s">
        <v>87</v>
      </c>
      <c r="F22" s="9">
        <v>5442.693140291768</v>
      </c>
      <c r="G22" s="60" t="s">
        <v>73</v>
      </c>
      <c r="H22">
        <v>17.157270186666665</v>
      </c>
    </row>
    <row r="23" spans="1:8" x14ac:dyDescent="0.2">
      <c r="A23" s="50">
        <v>43171</v>
      </c>
      <c r="B23" s="51">
        <v>0.63541666666666696</v>
      </c>
      <c r="C23" s="49" t="s">
        <v>189</v>
      </c>
      <c r="D23" s="57" t="s">
        <v>88</v>
      </c>
      <c r="E23" s="53" t="s">
        <v>89</v>
      </c>
      <c r="F23" s="9">
        <v>187.67907380316441</v>
      </c>
      <c r="G23" s="60" t="s">
        <v>73</v>
      </c>
      <c r="H23">
        <v>596.74109351249979</v>
      </c>
    </row>
    <row r="24" spans="1:8" x14ac:dyDescent="0.2">
      <c r="A24" s="50">
        <v>43171</v>
      </c>
      <c r="B24" s="51">
        <v>0.63541666666666696</v>
      </c>
      <c r="C24" s="49" t="s">
        <v>189</v>
      </c>
      <c r="D24" s="57" t="s">
        <v>92</v>
      </c>
      <c r="E24" s="53" t="s">
        <v>89</v>
      </c>
      <c r="F24" s="9">
        <v>1501.4325904253153</v>
      </c>
      <c r="G24" s="60" t="s">
        <v>73</v>
      </c>
      <c r="H24">
        <v>104.94717014249998</v>
      </c>
    </row>
    <row r="25" spans="1:8" x14ac:dyDescent="0.2">
      <c r="A25" s="50">
        <v>43171</v>
      </c>
      <c r="B25" s="51">
        <v>0.63541666666666696</v>
      </c>
      <c r="C25" s="49" t="s">
        <v>189</v>
      </c>
      <c r="D25" s="57" t="s">
        <v>94</v>
      </c>
      <c r="E25" s="53" t="s">
        <v>95</v>
      </c>
      <c r="F25" s="9">
        <v>73570.196930840451</v>
      </c>
      <c r="G25" s="60" t="s">
        <v>97</v>
      </c>
      <c r="H25">
        <v>0.19090395233333335</v>
      </c>
    </row>
    <row r="26" spans="1:8" x14ac:dyDescent="0.2">
      <c r="A26" s="50">
        <v>43171</v>
      </c>
      <c r="B26" s="51">
        <v>0.65277777777777801</v>
      </c>
      <c r="C26" s="49" t="s">
        <v>202</v>
      </c>
      <c r="D26" s="57" t="s">
        <v>266</v>
      </c>
      <c r="E26" s="53" t="s">
        <v>110</v>
      </c>
      <c r="F26" s="9">
        <v>250.23876507088588</v>
      </c>
      <c r="G26" s="60" t="s">
        <v>73</v>
      </c>
      <c r="H26">
        <v>67.534760230000003</v>
      </c>
    </row>
    <row r="27" spans="1:8" x14ac:dyDescent="0.2">
      <c r="A27" s="50">
        <v>43171</v>
      </c>
      <c r="B27" s="51">
        <v>0.65277777777777801</v>
      </c>
      <c r="C27" s="49" t="s">
        <v>202</v>
      </c>
      <c r="D27" s="57" t="s">
        <v>86</v>
      </c>
      <c r="E27" s="53" t="s">
        <v>87</v>
      </c>
      <c r="F27" s="9">
        <v>6506.2078918430334</v>
      </c>
      <c r="G27" s="60" t="s">
        <v>73</v>
      </c>
      <c r="H27">
        <v>11.494030613333329</v>
      </c>
    </row>
    <row r="28" spans="1:8" x14ac:dyDescent="0.2">
      <c r="A28" s="50">
        <v>43171</v>
      </c>
      <c r="B28" s="51">
        <v>0.65277777777777801</v>
      </c>
      <c r="C28" s="49" t="s">
        <v>202</v>
      </c>
      <c r="D28" s="57" t="s">
        <v>391</v>
      </c>
      <c r="E28" s="53" t="s">
        <v>89</v>
      </c>
      <c r="F28" s="9">
        <v>1501.4325904253153</v>
      </c>
      <c r="G28" s="60" t="s">
        <v>73</v>
      </c>
      <c r="H28">
        <v>94.49300581916664</v>
      </c>
    </row>
    <row r="29" spans="1:8" x14ac:dyDescent="0.2">
      <c r="A29" s="50">
        <v>43171</v>
      </c>
      <c r="B29" s="51">
        <v>0.65277777777777801</v>
      </c>
      <c r="C29" s="49" t="s">
        <v>202</v>
      </c>
      <c r="D29" s="57" t="s">
        <v>94</v>
      </c>
      <c r="E29" s="53" t="s">
        <v>95</v>
      </c>
      <c r="F29" s="9">
        <v>99595.028498212574</v>
      </c>
      <c r="G29" s="60" t="s">
        <v>97</v>
      </c>
      <c r="H29">
        <v>0.19090395233333335</v>
      </c>
    </row>
    <row r="30" spans="1:8" x14ac:dyDescent="0.2">
      <c r="A30" s="50">
        <v>43171</v>
      </c>
      <c r="B30" s="51">
        <v>0.66319444444444398</v>
      </c>
      <c r="C30" s="49" t="s">
        <v>173</v>
      </c>
      <c r="D30" s="57" t="s">
        <v>296</v>
      </c>
      <c r="E30" s="53" t="s">
        <v>103</v>
      </c>
      <c r="F30" s="9">
        <v>225.21488856379727</v>
      </c>
      <c r="G30" s="60" t="s">
        <v>73</v>
      </c>
      <c r="H30">
        <v>460.12041298999998</v>
      </c>
    </row>
    <row r="31" spans="1:8" x14ac:dyDescent="0.2">
      <c r="A31" s="50">
        <v>43171</v>
      </c>
      <c r="B31" s="51">
        <v>0.66319444444444398</v>
      </c>
      <c r="C31" s="49" t="s">
        <v>173</v>
      </c>
      <c r="D31" s="57" t="s">
        <v>86</v>
      </c>
      <c r="E31" s="53" t="s">
        <v>87</v>
      </c>
      <c r="F31" s="9">
        <v>5179.9424369673379</v>
      </c>
      <c r="G31" s="60" t="s">
        <v>73</v>
      </c>
      <c r="H31">
        <v>14.137154999999998</v>
      </c>
    </row>
    <row r="32" spans="1:8" x14ac:dyDescent="0.2">
      <c r="A32" s="50">
        <v>43171</v>
      </c>
      <c r="B32" s="51">
        <v>0.66319444444444398</v>
      </c>
      <c r="C32" s="49" t="s">
        <v>173</v>
      </c>
      <c r="D32" s="57" t="s">
        <v>287</v>
      </c>
      <c r="E32" s="53" t="s">
        <v>288</v>
      </c>
      <c r="F32" s="9">
        <v>225.21488856379727</v>
      </c>
      <c r="G32" s="60" t="s">
        <v>73</v>
      </c>
      <c r="H32">
        <v>2.2584105112500001</v>
      </c>
    </row>
    <row r="33" spans="1:8" x14ac:dyDescent="0.2">
      <c r="A33" s="50">
        <v>43171</v>
      </c>
      <c r="B33" s="51">
        <v>0.66319444444444398</v>
      </c>
      <c r="C33" s="49" t="s">
        <v>173</v>
      </c>
      <c r="D33" s="57" t="s">
        <v>397</v>
      </c>
      <c r="E33" s="57" t="s">
        <v>398</v>
      </c>
      <c r="F33" s="9">
        <v>225.21488856379727</v>
      </c>
      <c r="G33" s="60" t="s">
        <v>73</v>
      </c>
      <c r="H33">
        <v>50.964967373333316</v>
      </c>
    </row>
    <row r="34" spans="1:8" x14ac:dyDescent="0.2">
      <c r="A34" s="50">
        <v>43171</v>
      </c>
      <c r="B34" s="51">
        <v>0.66319444444444398</v>
      </c>
      <c r="C34" s="49" t="s">
        <v>173</v>
      </c>
      <c r="D34" s="57" t="s">
        <v>399</v>
      </c>
      <c r="E34" s="53" t="s">
        <v>233</v>
      </c>
      <c r="F34" s="9">
        <v>225.21488856379727</v>
      </c>
      <c r="G34" s="60" t="s">
        <v>73</v>
      </c>
      <c r="H34">
        <v>212.17461102666667</v>
      </c>
    </row>
    <row r="35" spans="1:8" x14ac:dyDescent="0.2">
      <c r="A35" s="50">
        <v>43171</v>
      </c>
      <c r="B35" s="51">
        <v>0.66319444444444398</v>
      </c>
      <c r="C35" s="49" t="s">
        <v>173</v>
      </c>
      <c r="D35" s="57" t="s">
        <v>400</v>
      </c>
      <c r="E35" s="53" t="s">
        <v>119</v>
      </c>
      <c r="F35" s="9">
        <v>450.42977712759455</v>
      </c>
      <c r="G35" s="60" t="s">
        <v>73</v>
      </c>
      <c r="H35">
        <v>468.24980071333323</v>
      </c>
    </row>
    <row r="36" spans="1:8" x14ac:dyDescent="0.2">
      <c r="A36" s="50">
        <v>43171</v>
      </c>
      <c r="B36" s="51">
        <v>0.66319444444444398</v>
      </c>
      <c r="C36" s="49" t="s">
        <v>173</v>
      </c>
      <c r="D36" s="57" t="s">
        <v>391</v>
      </c>
      <c r="E36" s="53" t="s">
        <v>89</v>
      </c>
      <c r="F36" s="9">
        <v>900.8595542551891</v>
      </c>
      <c r="G36" s="60" t="s">
        <v>73</v>
      </c>
      <c r="H36">
        <v>82.930383824166682</v>
      </c>
    </row>
    <row r="37" spans="1:8" x14ac:dyDescent="0.2">
      <c r="A37" s="50">
        <v>43171</v>
      </c>
      <c r="B37" s="51">
        <v>0.66319444444444398</v>
      </c>
      <c r="C37" s="49" t="s">
        <v>173</v>
      </c>
      <c r="D37" s="57" t="s">
        <v>94</v>
      </c>
      <c r="E37" s="53" t="s">
        <v>95</v>
      </c>
      <c r="F37" s="9">
        <v>87158.161874189551</v>
      </c>
      <c r="G37" s="60" t="s">
        <v>97</v>
      </c>
      <c r="H37">
        <v>0.19090395233333335</v>
      </c>
    </row>
    <row r="38" spans="1:8" x14ac:dyDescent="0.2">
      <c r="A38" s="50">
        <v>43171</v>
      </c>
      <c r="B38" s="51">
        <v>0.67013888888888895</v>
      </c>
      <c r="C38" s="49" t="s">
        <v>194</v>
      </c>
      <c r="D38" s="57" t="s">
        <v>296</v>
      </c>
      <c r="E38" s="53" t="s">
        <v>103</v>
      </c>
      <c r="F38" s="9">
        <v>750.71629521265766</v>
      </c>
      <c r="G38" s="60" t="s">
        <v>73</v>
      </c>
      <c r="H38">
        <v>857.41530915999999</v>
      </c>
    </row>
    <row r="39" spans="1:8" x14ac:dyDescent="0.2">
      <c r="A39" s="50">
        <v>43171</v>
      </c>
      <c r="B39" s="51">
        <v>0.67013888888888895</v>
      </c>
      <c r="C39" s="49" t="s">
        <v>194</v>
      </c>
      <c r="D39" s="57" t="s">
        <v>408</v>
      </c>
      <c r="E39" s="53" t="s">
        <v>191</v>
      </c>
      <c r="F39" s="9">
        <v>250.23876507088588</v>
      </c>
      <c r="G39" s="60" t="s">
        <v>73</v>
      </c>
      <c r="H39">
        <v>1837.875</v>
      </c>
    </row>
    <row r="40" spans="1:8" x14ac:dyDescent="0.2">
      <c r="A40" s="50">
        <v>43171</v>
      </c>
      <c r="B40" s="51">
        <v>0.67013888888888895</v>
      </c>
      <c r="C40" s="49" t="s">
        <v>194</v>
      </c>
      <c r="D40" s="57" t="s">
        <v>86</v>
      </c>
      <c r="E40" s="53" t="s">
        <v>87</v>
      </c>
      <c r="F40" s="9">
        <v>4754.5365363468318</v>
      </c>
      <c r="G40" s="60" t="s">
        <v>73</v>
      </c>
      <c r="H40">
        <v>12.770039751666664</v>
      </c>
    </row>
    <row r="41" spans="1:8" x14ac:dyDescent="0.2">
      <c r="A41" s="50">
        <v>43171</v>
      </c>
      <c r="B41" s="51">
        <v>0.67013888888888895</v>
      </c>
      <c r="C41" s="49" t="s">
        <v>194</v>
      </c>
      <c r="D41" s="57" t="s">
        <v>287</v>
      </c>
      <c r="E41" s="53" t="s">
        <v>288</v>
      </c>
      <c r="F41" s="9">
        <v>250.23876507088588</v>
      </c>
      <c r="G41" s="60" t="s">
        <v>73</v>
      </c>
      <c r="H41">
        <v>2.2584105112500001</v>
      </c>
    </row>
    <row r="42" spans="1:8" x14ac:dyDescent="0.2">
      <c r="A42" s="50">
        <v>43171</v>
      </c>
      <c r="B42" s="51">
        <v>0.67013888888888895</v>
      </c>
      <c r="C42" s="49" t="s">
        <v>194</v>
      </c>
      <c r="D42" s="57" t="s">
        <v>118</v>
      </c>
      <c r="E42" s="53" t="s">
        <v>119</v>
      </c>
      <c r="F42" s="9">
        <v>250.23876507088588</v>
      </c>
      <c r="G42" s="60" t="s">
        <v>73</v>
      </c>
      <c r="H42">
        <v>670.23309377999999</v>
      </c>
    </row>
    <row r="43" spans="1:8" x14ac:dyDescent="0.2">
      <c r="A43" s="50">
        <v>43171</v>
      </c>
      <c r="B43" s="51">
        <v>0.67013888888888895</v>
      </c>
      <c r="C43" s="49" t="s">
        <v>194</v>
      </c>
      <c r="D43" s="57" t="s">
        <v>391</v>
      </c>
      <c r="E43" s="53" t="s">
        <v>89</v>
      </c>
      <c r="F43" s="9">
        <v>1000.9550602835435</v>
      </c>
      <c r="G43" s="60" t="s">
        <v>73</v>
      </c>
      <c r="H43">
        <v>130.74040943999998</v>
      </c>
    </row>
    <row r="44" spans="1:8" x14ac:dyDescent="0.2">
      <c r="A44" s="50">
        <v>43171</v>
      </c>
      <c r="B44" s="51">
        <v>0.67013888888888895</v>
      </c>
      <c r="C44" s="49" t="s">
        <v>194</v>
      </c>
      <c r="D44" s="57" t="s">
        <v>94</v>
      </c>
      <c r="E44" s="53" t="s">
        <v>95</v>
      </c>
      <c r="F44" s="9">
        <v>96842.402082432833</v>
      </c>
      <c r="G44" s="60" t="s">
        <v>97</v>
      </c>
      <c r="H44">
        <v>0.19090395233333335</v>
      </c>
    </row>
    <row r="45" spans="1:8" x14ac:dyDescent="0.2">
      <c r="A45" s="50">
        <v>43172</v>
      </c>
      <c r="B45" s="51">
        <v>0.60763888888888895</v>
      </c>
      <c r="C45" s="49" t="s">
        <v>226</v>
      </c>
      <c r="D45" s="57" t="s">
        <v>69</v>
      </c>
      <c r="E45" s="53" t="s">
        <v>71</v>
      </c>
      <c r="F45" s="9">
        <v>459.96925329428984</v>
      </c>
      <c r="G45" s="60" t="s">
        <v>73</v>
      </c>
      <c r="H45">
        <v>657.33058364999999</v>
      </c>
    </row>
    <row r="46" spans="1:8" x14ac:dyDescent="0.2">
      <c r="A46" s="50">
        <v>43172</v>
      </c>
      <c r="B46" s="51">
        <v>0.60763888888888895</v>
      </c>
      <c r="C46" s="49" t="s">
        <v>226</v>
      </c>
      <c r="D46" s="57" t="s">
        <v>102</v>
      </c>
      <c r="E46" s="53" t="s">
        <v>103</v>
      </c>
      <c r="F46" s="9">
        <v>459.96925329428984</v>
      </c>
      <c r="G46" s="60" t="s">
        <v>73</v>
      </c>
      <c r="H46">
        <v>64.192893867500004</v>
      </c>
    </row>
    <row r="47" spans="1:8" x14ac:dyDescent="0.2">
      <c r="A47" s="50">
        <v>43172</v>
      </c>
      <c r="B47" s="51">
        <v>0.60763888888888895</v>
      </c>
      <c r="C47" s="49" t="s">
        <v>226</v>
      </c>
      <c r="D47" s="57" t="s">
        <v>86</v>
      </c>
      <c r="E47" s="53" t="s">
        <v>87</v>
      </c>
      <c r="F47" s="9">
        <v>689.95387994143482</v>
      </c>
      <c r="G47" s="60" t="s">
        <v>73</v>
      </c>
      <c r="H47">
        <v>33.51029333333333</v>
      </c>
    </row>
    <row r="48" spans="1:8" x14ac:dyDescent="0.2">
      <c r="A48" s="50">
        <v>43172</v>
      </c>
      <c r="B48" s="51">
        <v>0.60763888888888895</v>
      </c>
      <c r="C48" s="49" t="s">
        <v>226</v>
      </c>
      <c r="D48" s="58" t="s">
        <v>121</v>
      </c>
      <c r="E48" s="53" t="s">
        <v>122</v>
      </c>
      <c r="F48" s="9">
        <v>229.98462664714492</v>
      </c>
      <c r="G48" s="60" t="s">
        <v>73</v>
      </c>
      <c r="H48">
        <v>902.57880699999998</v>
      </c>
    </row>
    <row r="49" spans="1:8" x14ac:dyDescent="0.2">
      <c r="A49" s="50">
        <v>43172</v>
      </c>
      <c r="B49" s="51">
        <v>0.60763888888888895</v>
      </c>
      <c r="C49" s="49" t="s">
        <v>226</v>
      </c>
      <c r="D49" s="57" t="s">
        <v>94</v>
      </c>
      <c r="E49" s="53" t="s">
        <v>95</v>
      </c>
      <c r="F49" s="9">
        <v>94063.71229868228</v>
      </c>
      <c r="G49" s="60" t="s">
        <v>97</v>
      </c>
      <c r="H49">
        <v>0.17999999999999997</v>
      </c>
    </row>
    <row r="50" spans="1:8" x14ac:dyDescent="0.2">
      <c r="A50" s="50">
        <v>43172</v>
      </c>
      <c r="B50" s="51">
        <v>0.60763888888888895</v>
      </c>
      <c r="C50" s="49" t="s">
        <v>226</v>
      </c>
      <c r="D50" s="58" t="s">
        <v>301</v>
      </c>
      <c r="E50" s="53" t="s">
        <v>302</v>
      </c>
      <c r="F50" s="9">
        <v>229.98462664714492</v>
      </c>
      <c r="G50" s="60" t="s">
        <v>97</v>
      </c>
      <c r="H50">
        <v>0.381703185</v>
      </c>
    </row>
    <row r="51" spans="1:8" x14ac:dyDescent="0.2">
      <c r="A51" s="50">
        <v>43172</v>
      </c>
      <c r="B51" s="51">
        <v>0.64930555555555602</v>
      </c>
      <c r="C51" s="49" t="s">
        <v>222</v>
      </c>
      <c r="D51" s="57" t="s">
        <v>86</v>
      </c>
      <c r="E51" s="53" t="s">
        <v>87</v>
      </c>
      <c r="F51" s="9">
        <v>766.61542215714974</v>
      </c>
      <c r="G51" s="60" t="s">
        <v>73</v>
      </c>
      <c r="H51">
        <v>8.1812239583333319</v>
      </c>
    </row>
    <row r="52" spans="1:8" x14ac:dyDescent="0.2">
      <c r="A52" s="50">
        <v>43172</v>
      </c>
      <c r="B52" s="51">
        <v>0.64930555555555602</v>
      </c>
      <c r="C52" s="49" t="s">
        <v>222</v>
      </c>
      <c r="D52" s="57" t="s">
        <v>88</v>
      </c>
      <c r="E52" s="53" t="s">
        <v>89</v>
      </c>
      <c r="F52" s="9">
        <v>255.53847405238326</v>
      </c>
      <c r="G52" s="60" t="s">
        <v>73</v>
      </c>
      <c r="H52">
        <v>538.67979792749986</v>
      </c>
    </row>
    <row r="53" spans="1:8" x14ac:dyDescent="0.2">
      <c r="A53" s="50">
        <v>43172</v>
      </c>
      <c r="B53" s="51">
        <v>0.64930555555555602</v>
      </c>
      <c r="C53" s="49" t="s">
        <v>222</v>
      </c>
      <c r="D53" s="57" t="s">
        <v>94</v>
      </c>
      <c r="E53" s="53" t="s">
        <v>95</v>
      </c>
      <c r="F53" s="9">
        <v>110903.69773873434</v>
      </c>
      <c r="G53" s="60" t="s">
        <v>97</v>
      </c>
      <c r="H53">
        <v>0.17999999999999997</v>
      </c>
    </row>
    <row r="54" spans="1:8" x14ac:dyDescent="0.2">
      <c r="A54" s="50">
        <v>43172</v>
      </c>
      <c r="B54" s="51">
        <v>0.69791666666666696</v>
      </c>
      <c r="C54" s="49" t="s">
        <v>224</v>
      </c>
      <c r="D54" s="57" t="s">
        <v>69</v>
      </c>
      <c r="E54" s="53" t="s">
        <v>71</v>
      </c>
      <c r="F54" s="9">
        <v>191.65385553928746</v>
      </c>
      <c r="G54" s="60" t="s">
        <v>73</v>
      </c>
      <c r="H54">
        <v>896.72445403500001</v>
      </c>
    </row>
    <row r="55" spans="1:8" x14ac:dyDescent="0.2">
      <c r="A55" s="50">
        <v>43172</v>
      </c>
      <c r="B55" s="51">
        <v>0.69791666666666696</v>
      </c>
      <c r="C55" s="49" t="s">
        <v>224</v>
      </c>
      <c r="D55" s="57" t="s">
        <v>105</v>
      </c>
      <c r="E55" s="53" t="s">
        <v>106</v>
      </c>
      <c r="F55" s="9">
        <v>191.65385553928746</v>
      </c>
      <c r="G55" s="60" t="s">
        <v>73</v>
      </c>
      <c r="H55">
        <v>385.33172144999992</v>
      </c>
    </row>
    <row r="56" spans="1:8" x14ac:dyDescent="0.2">
      <c r="A56" s="50">
        <v>43172</v>
      </c>
      <c r="B56" s="51">
        <v>0.69791666666666696</v>
      </c>
      <c r="C56" s="49" t="s">
        <v>224</v>
      </c>
      <c r="D56" s="57" t="s">
        <v>190</v>
      </c>
      <c r="E56" s="53" t="s">
        <v>191</v>
      </c>
      <c r="F56" s="9">
        <v>191.65385553928746</v>
      </c>
      <c r="G56" s="60" t="s">
        <v>73</v>
      </c>
      <c r="H56">
        <v>268.32400000000001</v>
      </c>
    </row>
    <row r="57" spans="1:8" x14ac:dyDescent="0.2">
      <c r="A57" s="50">
        <v>43172</v>
      </c>
      <c r="B57" s="51">
        <v>0.69791666666666696</v>
      </c>
      <c r="C57" s="49" t="s">
        <v>224</v>
      </c>
      <c r="D57" s="57" t="s">
        <v>86</v>
      </c>
      <c r="E57" s="53" t="s">
        <v>87</v>
      </c>
      <c r="F57" s="9">
        <v>766.61542215714985</v>
      </c>
      <c r="G57" s="60" t="s">
        <v>73</v>
      </c>
      <c r="H57">
        <v>11.494030613333329</v>
      </c>
    </row>
    <row r="58" spans="1:8" x14ac:dyDescent="0.2">
      <c r="A58" s="50">
        <v>43172</v>
      </c>
      <c r="B58" s="51">
        <v>0.69791666666666696</v>
      </c>
      <c r="C58" s="49" t="s">
        <v>224</v>
      </c>
      <c r="D58" s="57" t="s">
        <v>206</v>
      </c>
      <c r="E58" s="53" t="s">
        <v>207</v>
      </c>
      <c r="F58" s="9">
        <v>191.65385553928746</v>
      </c>
      <c r="G58" s="60" t="s">
        <v>73</v>
      </c>
      <c r="H58">
        <v>26.521826378333333</v>
      </c>
    </row>
    <row r="59" spans="1:8" x14ac:dyDescent="0.2">
      <c r="A59" s="50">
        <v>43172</v>
      </c>
      <c r="B59" s="51">
        <v>0.69791666666666696</v>
      </c>
      <c r="C59" s="49" t="s">
        <v>224</v>
      </c>
      <c r="D59" s="57" t="s">
        <v>94</v>
      </c>
      <c r="E59" s="53" t="s">
        <v>95</v>
      </c>
      <c r="F59" s="9">
        <v>82027.850170815029</v>
      </c>
      <c r="G59" s="60" t="s">
        <v>97</v>
      </c>
      <c r="H59">
        <v>0.17999999999999997</v>
      </c>
    </row>
    <row r="60" spans="1:8" x14ac:dyDescent="0.2">
      <c r="A60" s="50">
        <v>43173</v>
      </c>
      <c r="B60" s="51">
        <v>0.69444444444444497</v>
      </c>
      <c r="C60" s="49" t="s">
        <v>219</v>
      </c>
      <c r="D60" s="57" t="s">
        <v>377</v>
      </c>
      <c r="E60" s="53" t="s">
        <v>292</v>
      </c>
      <c r="F60" s="9">
        <v>255.53847405238326</v>
      </c>
      <c r="G60" s="60" t="s">
        <v>73</v>
      </c>
      <c r="H60">
        <v>373.43097985120988</v>
      </c>
    </row>
    <row r="61" spans="1:8" x14ac:dyDescent="0.2">
      <c r="A61" s="50">
        <v>43173</v>
      </c>
      <c r="B61" s="51">
        <v>0.69444444444444497</v>
      </c>
      <c r="C61" s="49" t="s">
        <v>219</v>
      </c>
      <c r="D61" s="57" t="s">
        <v>86</v>
      </c>
      <c r="E61" s="53" t="s">
        <v>87</v>
      </c>
      <c r="F61" s="9">
        <v>1788.7693183666827</v>
      </c>
      <c r="G61" s="60" t="s">
        <v>73</v>
      </c>
      <c r="H61">
        <v>6.3706209216666645</v>
      </c>
    </row>
    <row r="62" spans="1:8" x14ac:dyDescent="0.2">
      <c r="A62" s="50">
        <v>43173</v>
      </c>
      <c r="B62" s="51">
        <v>0.69444444444444497</v>
      </c>
      <c r="C62" s="49" t="s">
        <v>219</v>
      </c>
      <c r="D62" s="57" t="s">
        <v>94</v>
      </c>
      <c r="E62" s="53" t="s">
        <v>95</v>
      </c>
      <c r="F62" s="9">
        <v>111670.3131608915</v>
      </c>
      <c r="G62" s="60" t="s">
        <v>97</v>
      </c>
      <c r="H62">
        <v>0.17999999999999997</v>
      </c>
    </row>
    <row r="63" spans="1:8" x14ac:dyDescent="0.2">
      <c r="A63" s="50">
        <v>43200</v>
      </c>
      <c r="B63" s="51">
        <v>0.54166666666666696</v>
      </c>
      <c r="C63" s="49" t="s">
        <v>204</v>
      </c>
      <c r="D63" s="57" t="s">
        <v>296</v>
      </c>
      <c r="E63" s="53" t="s">
        <v>103</v>
      </c>
      <c r="F63" s="9">
        <v>90.190049665547036</v>
      </c>
      <c r="G63" s="60" t="s">
        <v>73</v>
      </c>
      <c r="H63">
        <v>716.08931221499995</v>
      </c>
    </row>
    <row r="64" spans="1:8" x14ac:dyDescent="0.2">
      <c r="A64" s="50">
        <v>43200</v>
      </c>
      <c r="B64" s="51">
        <v>0.54166666666666696</v>
      </c>
      <c r="C64" s="49" t="s">
        <v>204</v>
      </c>
      <c r="D64" s="57" t="s">
        <v>190</v>
      </c>
      <c r="E64" s="53" t="s">
        <v>191</v>
      </c>
      <c r="F64" s="9">
        <v>90.190049665547036</v>
      </c>
      <c r="G64" s="60" t="s">
        <v>73</v>
      </c>
      <c r="H64">
        <v>205.09100000000001</v>
      </c>
    </row>
    <row r="65" spans="1:8" x14ac:dyDescent="0.2">
      <c r="A65" s="50">
        <v>43200</v>
      </c>
      <c r="B65" s="51">
        <v>0.54166666666666696</v>
      </c>
      <c r="C65" s="49" t="s">
        <v>204</v>
      </c>
      <c r="D65" s="57" t="s">
        <v>243</v>
      </c>
      <c r="E65" s="53" t="s">
        <v>87</v>
      </c>
      <c r="F65" s="9">
        <v>4599.6925329428996</v>
      </c>
      <c r="G65" s="60" t="s">
        <v>73</v>
      </c>
      <c r="H65">
        <v>11.494030613333329</v>
      </c>
    </row>
    <row r="66" spans="1:8" x14ac:dyDescent="0.2">
      <c r="A66" s="50">
        <v>43200</v>
      </c>
      <c r="B66" s="51">
        <v>0.54166666666666696</v>
      </c>
      <c r="C66" s="49" t="s">
        <v>204</v>
      </c>
      <c r="D66" s="57" t="s">
        <v>92</v>
      </c>
      <c r="E66" s="53" t="s">
        <v>89</v>
      </c>
      <c r="F66" s="9">
        <v>90.190049665547036</v>
      </c>
      <c r="G66" s="60" t="s">
        <v>73</v>
      </c>
      <c r="H66">
        <v>112.822350875</v>
      </c>
    </row>
    <row r="67" spans="1:8" x14ac:dyDescent="0.2">
      <c r="A67" s="50">
        <v>43200</v>
      </c>
      <c r="B67" s="51">
        <v>0.54166666666666696</v>
      </c>
      <c r="C67" s="49" t="s">
        <v>204</v>
      </c>
      <c r="D67" s="57" t="s">
        <v>94</v>
      </c>
      <c r="E67" s="53" t="s">
        <v>95</v>
      </c>
      <c r="F67" s="9">
        <v>32017.467631269199</v>
      </c>
      <c r="G67" s="60" t="s">
        <v>97</v>
      </c>
      <c r="H67">
        <v>0.17999999999999997</v>
      </c>
    </row>
    <row r="68" spans="1:8" x14ac:dyDescent="0.2">
      <c r="A68" s="50">
        <v>43200</v>
      </c>
      <c r="B68" s="51">
        <v>0.55208333333333304</v>
      </c>
      <c r="C68" s="50" t="s">
        <v>209</v>
      </c>
      <c r="D68" s="57" t="s">
        <v>351</v>
      </c>
      <c r="E68" s="53" t="s">
        <v>352</v>
      </c>
      <c r="F68" s="9">
        <v>135.28507449832054</v>
      </c>
      <c r="G68" s="60" t="s">
        <v>73</v>
      </c>
      <c r="H68">
        <v>1071.9193925426678</v>
      </c>
    </row>
    <row r="69" spans="1:8" x14ac:dyDescent="0.2">
      <c r="A69" s="50">
        <v>43200</v>
      </c>
      <c r="B69" s="51">
        <v>0.55208333333333304</v>
      </c>
      <c r="C69" s="50" t="s">
        <v>209</v>
      </c>
      <c r="D69" s="57" t="s">
        <v>81</v>
      </c>
      <c r="E69" s="53" t="s">
        <v>83</v>
      </c>
      <c r="F69" s="9">
        <v>135.28507449832054</v>
      </c>
      <c r="G69" s="60" t="s">
        <v>73</v>
      </c>
      <c r="H69">
        <v>50.964967373333316</v>
      </c>
    </row>
    <row r="70" spans="1:8" x14ac:dyDescent="0.2">
      <c r="A70" s="50">
        <v>43200</v>
      </c>
      <c r="B70" s="51">
        <v>0.55208333333333304</v>
      </c>
      <c r="C70" s="50" t="s">
        <v>209</v>
      </c>
      <c r="D70" s="57" t="s">
        <v>243</v>
      </c>
      <c r="E70" s="53" t="s">
        <v>87</v>
      </c>
      <c r="F70" s="9">
        <v>1623.4208939798466</v>
      </c>
      <c r="G70" s="60" t="s">
        <v>73</v>
      </c>
      <c r="H70">
        <v>17.157270186666665</v>
      </c>
    </row>
    <row r="71" spans="1:8" x14ac:dyDescent="0.2">
      <c r="A71" s="50">
        <v>43200</v>
      </c>
      <c r="B71" s="51">
        <v>0.55208333333333304</v>
      </c>
      <c r="C71" s="50" t="s">
        <v>209</v>
      </c>
      <c r="D71" s="57" t="s">
        <v>88</v>
      </c>
      <c r="E71" s="53" t="s">
        <v>89</v>
      </c>
      <c r="F71" s="9">
        <v>270.57014899664108</v>
      </c>
      <c r="G71" s="60" t="s">
        <v>73</v>
      </c>
      <c r="H71">
        <v>387.20515628666669</v>
      </c>
    </row>
    <row r="72" spans="1:8" x14ac:dyDescent="0.2">
      <c r="A72" s="50">
        <v>43200</v>
      </c>
      <c r="B72" s="51">
        <v>0.55208333333333304</v>
      </c>
      <c r="C72" s="50" t="s">
        <v>209</v>
      </c>
      <c r="D72" s="57" t="s">
        <v>94</v>
      </c>
      <c r="E72" s="53" t="s">
        <v>95</v>
      </c>
      <c r="F72" s="9">
        <v>55061.025320816465</v>
      </c>
      <c r="G72" s="60" t="s">
        <v>97</v>
      </c>
      <c r="H72">
        <v>0.17999999999999997</v>
      </c>
    </row>
    <row r="73" spans="1:8" x14ac:dyDescent="0.2">
      <c r="A73" s="50">
        <v>43200</v>
      </c>
      <c r="B73" s="51">
        <v>0.55208333333333304</v>
      </c>
      <c r="C73" s="50" t="s">
        <v>209</v>
      </c>
      <c r="D73" s="58" t="s">
        <v>301</v>
      </c>
      <c r="E73" s="53" t="s">
        <v>302</v>
      </c>
      <c r="F73" s="9">
        <v>135.28507449832054</v>
      </c>
      <c r="G73" s="60" t="s">
        <v>97</v>
      </c>
      <c r="H73">
        <v>0.381703185</v>
      </c>
    </row>
    <row r="74" spans="1:8" x14ac:dyDescent="0.2">
      <c r="A74" s="50">
        <v>43200</v>
      </c>
      <c r="B74" s="51">
        <v>0.55208333333333304</v>
      </c>
      <c r="C74" s="50" t="s">
        <v>209</v>
      </c>
      <c r="D74" s="57" t="s">
        <v>355</v>
      </c>
      <c r="E74" s="53" t="s">
        <v>356</v>
      </c>
      <c r="F74" s="9">
        <v>135.28507449832054</v>
      </c>
      <c r="G74" s="60" t="s">
        <v>73</v>
      </c>
      <c r="H74">
        <v>87.671304933333303</v>
      </c>
    </row>
    <row r="75" spans="1:8" x14ac:dyDescent="0.2">
      <c r="A75" s="50">
        <v>43200</v>
      </c>
      <c r="B75" s="51">
        <v>0.57638888888888895</v>
      </c>
      <c r="C75" s="49" t="s">
        <v>202</v>
      </c>
      <c r="D75" s="57" t="s">
        <v>109</v>
      </c>
      <c r="E75" s="53" t="s">
        <v>110</v>
      </c>
      <c r="F75" s="9">
        <v>229.98462664714492</v>
      </c>
      <c r="G75" s="60" t="s">
        <v>73</v>
      </c>
      <c r="H75">
        <v>119.34821870249999</v>
      </c>
    </row>
    <row r="76" spans="1:8" x14ac:dyDescent="0.2">
      <c r="A76" s="50">
        <v>43200</v>
      </c>
      <c r="B76" s="51">
        <v>0.57638888888888895</v>
      </c>
      <c r="C76" s="49" t="s">
        <v>202</v>
      </c>
      <c r="D76" s="57" t="s">
        <v>190</v>
      </c>
      <c r="E76" s="53" t="s">
        <v>191</v>
      </c>
      <c r="F76" s="9">
        <v>229.98462664714492</v>
      </c>
      <c r="G76" s="60" t="s">
        <v>73</v>
      </c>
      <c r="H76">
        <v>177.28550000000001</v>
      </c>
    </row>
    <row r="77" spans="1:8" x14ac:dyDescent="0.2">
      <c r="A77" s="50">
        <v>43200</v>
      </c>
      <c r="B77" s="51">
        <v>0.57638888888888895</v>
      </c>
      <c r="C77" s="49" t="s">
        <v>202</v>
      </c>
      <c r="D77" s="57" t="s">
        <v>338</v>
      </c>
      <c r="E77" s="53" t="s">
        <v>339</v>
      </c>
      <c r="F77" s="9">
        <v>229.98462664714492</v>
      </c>
      <c r="G77" s="60" t="s">
        <v>73</v>
      </c>
      <c r="H77">
        <v>219.34267220999999</v>
      </c>
    </row>
    <row r="78" spans="1:8" x14ac:dyDescent="0.2">
      <c r="A78" s="50">
        <v>43200</v>
      </c>
      <c r="B78" s="51">
        <v>0.57638888888888895</v>
      </c>
      <c r="C78" s="49" t="s">
        <v>202</v>
      </c>
      <c r="D78" s="57" t="s">
        <v>81</v>
      </c>
      <c r="E78" s="53" t="s">
        <v>83</v>
      </c>
      <c r="F78" s="9">
        <v>459.96925329428984</v>
      </c>
      <c r="G78" s="60" t="s">
        <v>73</v>
      </c>
      <c r="H78">
        <v>82.276147706666634</v>
      </c>
    </row>
    <row r="79" spans="1:8" x14ac:dyDescent="0.2">
      <c r="A79" s="50">
        <v>43200</v>
      </c>
      <c r="B79" s="51">
        <v>0.57638888888888895</v>
      </c>
      <c r="C79" s="49" t="s">
        <v>202</v>
      </c>
      <c r="D79" s="57" t="s">
        <v>86</v>
      </c>
      <c r="E79" s="53" t="s">
        <v>87</v>
      </c>
      <c r="F79" s="9">
        <v>2299.8462664714493</v>
      </c>
      <c r="G79" s="60" t="s">
        <v>73</v>
      </c>
      <c r="H79">
        <v>7.2382233599999992</v>
      </c>
    </row>
    <row r="80" spans="1:8" x14ac:dyDescent="0.2">
      <c r="A80" s="50">
        <v>43200</v>
      </c>
      <c r="B80" s="51">
        <v>0.57638888888888895</v>
      </c>
      <c r="C80" s="49" t="s">
        <v>202</v>
      </c>
      <c r="D80" s="57" t="s">
        <v>88</v>
      </c>
      <c r="E80" s="53" t="s">
        <v>89</v>
      </c>
      <c r="F80" s="9">
        <v>229.98462664714492</v>
      </c>
      <c r="G80" s="60" t="s">
        <v>73</v>
      </c>
      <c r="H80">
        <v>337.38084788249995</v>
      </c>
    </row>
    <row r="81" spans="1:8" x14ac:dyDescent="0.2">
      <c r="A81" s="50">
        <v>43200</v>
      </c>
      <c r="B81" s="51">
        <v>0.57638888888888895</v>
      </c>
      <c r="C81" s="49" t="s">
        <v>202</v>
      </c>
      <c r="D81" s="57" t="s">
        <v>92</v>
      </c>
      <c r="E81" s="53" t="s">
        <v>89</v>
      </c>
      <c r="F81" s="9">
        <v>459.96925329428984</v>
      </c>
      <c r="G81" s="60" t="s">
        <v>73</v>
      </c>
      <c r="H81">
        <v>59.922687659999987</v>
      </c>
    </row>
    <row r="82" spans="1:8" x14ac:dyDescent="0.2">
      <c r="A82" s="50">
        <v>43200</v>
      </c>
      <c r="B82" s="51">
        <v>0.57638888888888895</v>
      </c>
      <c r="C82" s="49" t="s">
        <v>202</v>
      </c>
      <c r="D82" s="57" t="s">
        <v>94</v>
      </c>
      <c r="E82" s="53" t="s">
        <v>95</v>
      </c>
      <c r="F82" s="9">
        <v>97973.450951683742</v>
      </c>
      <c r="G82" s="60" t="s">
        <v>97</v>
      </c>
      <c r="H82">
        <v>0.17999999999999997</v>
      </c>
    </row>
    <row r="83" spans="1:8" x14ac:dyDescent="0.2">
      <c r="A83" s="50">
        <v>43200</v>
      </c>
      <c r="B83" s="51">
        <v>0.59375</v>
      </c>
      <c r="C83" s="49" t="s">
        <v>158</v>
      </c>
      <c r="D83" s="57" t="s">
        <v>69</v>
      </c>
      <c r="E83" s="53" t="s">
        <v>71</v>
      </c>
      <c r="F83" s="9">
        <v>219.03297775918568</v>
      </c>
      <c r="G83" s="60" t="s">
        <v>73</v>
      </c>
      <c r="H83">
        <v>804.66330067500007</v>
      </c>
    </row>
    <row r="84" spans="1:8" x14ac:dyDescent="0.2">
      <c r="A84" s="50">
        <v>43200</v>
      </c>
      <c r="B84" s="51">
        <v>0.59375</v>
      </c>
      <c r="C84" s="49" t="s">
        <v>158</v>
      </c>
      <c r="D84" s="57" t="s">
        <v>102</v>
      </c>
      <c r="E84" s="53" t="s">
        <v>103</v>
      </c>
      <c r="F84" s="9">
        <v>109.51648887959284</v>
      </c>
      <c r="G84" s="60" t="s">
        <v>73</v>
      </c>
      <c r="H84">
        <v>91.131242719999989</v>
      </c>
    </row>
    <row r="85" spans="1:8" x14ac:dyDescent="0.2">
      <c r="A85" s="50">
        <v>43200</v>
      </c>
      <c r="B85" s="51">
        <v>0.59375</v>
      </c>
      <c r="C85" s="49" t="s">
        <v>158</v>
      </c>
      <c r="D85" s="57" t="s">
        <v>190</v>
      </c>
      <c r="E85" s="53" t="s">
        <v>191</v>
      </c>
      <c r="F85" s="9">
        <v>109.51648887959284</v>
      </c>
      <c r="G85" s="60" t="s">
        <v>73</v>
      </c>
      <c r="H85">
        <v>126.63250000000001</v>
      </c>
    </row>
    <row r="86" spans="1:8" x14ac:dyDescent="0.2">
      <c r="A86" s="50">
        <v>43200</v>
      </c>
      <c r="B86" s="51">
        <v>0.59375</v>
      </c>
      <c r="C86" s="49" t="s">
        <v>158</v>
      </c>
      <c r="D86" s="57" t="s">
        <v>86</v>
      </c>
      <c r="E86" s="53" t="s">
        <v>87</v>
      </c>
      <c r="F86" s="9">
        <v>2409.3627553510423</v>
      </c>
      <c r="G86" s="60" t="s">
        <v>73</v>
      </c>
      <c r="H86">
        <v>14.137154999999998</v>
      </c>
    </row>
    <row r="87" spans="1:8" x14ac:dyDescent="0.2">
      <c r="A87" s="50">
        <v>43200</v>
      </c>
      <c r="B87" s="51">
        <v>0.59375</v>
      </c>
      <c r="C87" s="49" t="s">
        <v>158</v>
      </c>
      <c r="D87" s="57" t="s">
        <v>206</v>
      </c>
      <c r="E87" s="53" t="s">
        <v>207</v>
      </c>
      <c r="F87" s="9">
        <v>109.51648887959284</v>
      </c>
      <c r="G87" s="60" t="s">
        <v>73</v>
      </c>
      <c r="H87">
        <v>26.521826378333333</v>
      </c>
    </row>
    <row r="88" spans="1:8" x14ac:dyDescent="0.2">
      <c r="A88" s="50">
        <v>43200</v>
      </c>
      <c r="B88" s="51">
        <v>0.59375</v>
      </c>
      <c r="C88" s="49" t="s">
        <v>158</v>
      </c>
      <c r="D88" s="58" t="s">
        <v>179</v>
      </c>
      <c r="E88" s="53" t="s">
        <v>180</v>
      </c>
      <c r="F88" s="9">
        <v>109.51648887959284</v>
      </c>
      <c r="G88" s="60" t="s">
        <v>73</v>
      </c>
      <c r="H88">
        <v>40.141142626666664</v>
      </c>
    </row>
    <row r="89" spans="1:8" x14ac:dyDescent="0.2">
      <c r="A89" s="50">
        <v>43200</v>
      </c>
      <c r="B89" s="51">
        <v>0.59375</v>
      </c>
      <c r="C89" s="49" t="s">
        <v>158</v>
      </c>
      <c r="D89" s="57" t="s">
        <v>88</v>
      </c>
      <c r="E89" s="53" t="s">
        <v>89</v>
      </c>
      <c r="F89" s="9">
        <v>328.54946663877848</v>
      </c>
      <c r="G89" s="60" t="s">
        <v>73</v>
      </c>
      <c r="H89">
        <v>397.71351303749998</v>
      </c>
    </row>
    <row r="90" spans="1:8" x14ac:dyDescent="0.2">
      <c r="A90" s="50">
        <v>43200</v>
      </c>
      <c r="B90" s="51">
        <v>0.59375</v>
      </c>
      <c r="C90" s="49" t="s">
        <v>158</v>
      </c>
      <c r="D90" s="57" t="s">
        <v>94</v>
      </c>
      <c r="E90" s="53" t="s">
        <v>95</v>
      </c>
      <c r="F90" s="9">
        <v>40740.133863208539</v>
      </c>
      <c r="G90" s="60" t="s">
        <v>97</v>
      </c>
      <c r="H90">
        <v>0.17999999999999997</v>
      </c>
    </row>
    <row r="91" spans="1:8" x14ac:dyDescent="0.2">
      <c r="A91" s="50">
        <v>43200</v>
      </c>
      <c r="B91" s="51">
        <v>0.59375</v>
      </c>
      <c r="C91" s="49" t="s">
        <v>158</v>
      </c>
      <c r="D91" s="57" t="s">
        <v>163</v>
      </c>
      <c r="E91" s="53" t="s">
        <v>95</v>
      </c>
      <c r="F91" s="9">
        <v>109.51648887959284</v>
      </c>
      <c r="G91" s="60" t="s">
        <v>73</v>
      </c>
      <c r="H91">
        <v>26.521826378333333</v>
      </c>
    </row>
    <row r="92" spans="1:8" x14ac:dyDescent="0.2">
      <c r="A92" s="74">
        <v>43200</v>
      </c>
      <c r="B92" s="75">
        <v>0.61319444444444404</v>
      </c>
      <c r="C92" s="69" t="s">
        <v>68</v>
      </c>
      <c r="D92" s="80" t="s">
        <v>102</v>
      </c>
      <c r="E92" s="69" t="s">
        <v>103</v>
      </c>
      <c r="F92" s="9">
        <v>328.54946663877848</v>
      </c>
      <c r="G92" s="60" t="s">
        <v>73</v>
      </c>
      <c r="H92">
        <v>61.490341069999992</v>
      </c>
    </row>
    <row r="93" spans="1:8" x14ac:dyDescent="0.2">
      <c r="A93" s="74">
        <v>43200</v>
      </c>
      <c r="B93" s="75">
        <v>0.61319444444444404</v>
      </c>
      <c r="C93" s="69" t="s">
        <v>68</v>
      </c>
      <c r="D93" s="80" t="s">
        <v>86</v>
      </c>
      <c r="E93" s="69" t="s">
        <v>87</v>
      </c>
      <c r="F93" s="9">
        <v>2299.8462664714493</v>
      </c>
      <c r="G93" s="60" t="s">
        <v>73</v>
      </c>
      <c r="H93">
        <v>14.137154999999998</v>
      </c>
    </row>
    <row r="94" spans="1:8" x14ac:dyDescent="0.2">
      <c r="A94" s="74">
        <v>43200</v>
      </c>
      <c r="B94" s="75">
        <v>0.61319444444444404</v>
      </c>
      <c r="C94" s="69" t="s">
        <v>68</v>
      </c>
      <c r="D94" s="80" t="s">
        <v>216</v>
      </c>
      <c r="E94" s="69" t="s">
        <v>217</v>
      </c>
      <c r="F94" s="9">
        <v>328.54946663877848</v>
      </c>
      <c r="G94" s="60" t="s">
        <v>97</v>
      </c>
      <c r="H94">
        <v>1.9509273899999997</v>
      </c>
    </row>
    <row r="95" spans="1:8" x14ac:dyDescent="0.2">
      <c r="A95" s="74">
        <v>43200</v>
      </c>
      <c r="B95" s="75">
        <v>0.61319444444444404</v>
      </c>
      <c r="C95" s="69" t="s">
        <v>68</v>
      </c>
      <c r="D95" s="80" t="s">
        <v>88</v>
      </c>
      <c r="E95" s="69" t="s">
        <v>89</v>
      </c>
      <c r="F95" s="9">
        <v>1642.7473331938927</v>
      </c>
      <c r="G95" s="60" t="s">
        <v>73</v>
      </c>
      <c r="H95">
        <v>376.88005895249989</v>
      </c>
    </row>
    <row r="96" spans="1:8" x14ac:dyDescent="0.2">
      <c r="A96" s="74">
        <v>43200</v>
      </c>
      <c r="B96" s="75">
        <v>0.61319444444444404</v>
      </c>
      <c r="C96" s="69" t="s">
        <v>68</v>
      </c>
      <c r="D96" s="80" t="s">
        <v>94</v>
      </c>
      <c r="E96" s="69" t="s">
        <v>95</v>
      </c>
      <c r="F96" s="9">
        <v>137662.22652164818</v>
      </c>
      <c r="G96" s="60" t="s">
        <v>97</v>
      </c>
      <c r="H96">
        <v>0.17999999999999997</v>
      </c>
    </row>
    <row r="97" spans="1:8" x14ac:dyDescent="0.2">
      <c r="A97" s="74">
        <v>43200</v>
      </c>
      <c r="B97" s="75">
        <v>0.63402777777777797</v>
      </c>
      <c r="C97" s="69" t="s">
        <v>108</v>
      </c>
      <c r="D97" s="80" t="s">
        <v>69</v>
      </c>
      <c r="E97" s="69" t="s">
        <v>71</v>
      </c>
      <c r="F97" s="9">
        <v>383.30771107857493</v>
      </c>
      <c r="G97" s="60" t="s">
        <v>73</v>
      </c>
      <c r="H97">
        <v>1113.91670789</v>
      </c>
    </row>
    <row r="98" spans="1:8" x14ac:dyDescent="0.2">
      <c r="A98" s="74">
        <v>43200</v>
      </c>
      <c r="B98" s="75">
        <v>0.63402777777777797</v>
      </c>
      <c r="C98" s="69" t="s">
        <v>108</v>
      </c>
      <c r="D98" s="80" t="s">
        <v>146</v>
      </c>
      <c r="E98" s="69" t="s">
        <v>147</v>
      </c>
      <c r="F98" s="9">
        <v>383.30771107857493</v>
      </c>
      <c r="G98" s="60" t="s">
        <v>73</v>
      </c>
      <c r="H98">
        <v>1145.64990848</v>
      </c>
    </row>
    <row r="99" spans="1:8" x14ac:dyDescent="0.2">
      <c r="A99" s="74">
        <v>43200</v>
      </c>
      <c r="B99" s="75">
        <v>0.63402777777777797</v>
      </c>
      <c r="C99" s="69" t="s">
        <v>108</v>
      </c>
      <c r="D99" s="80" t="s">
        <v>86</v>
      </c>
      <c r="E99" s="69" t="s">
        <v>87</v>
      </c>
      <c r="F99" s="9">
        <v>1533.2308443142997</v>
      </c>
      <c r="G99" s="60" t="s">
        <v>73</v>
      </c>
      <c r="H99">
        <v>11.494030613333329</v>
      </c>
    </row>
    <row r="100" spans="1:8" x14ac:dyDescent="0.2">
      <c r="A100" s="50">
        <v>43200</v>
      </c>
      <c r="B100" s="51">
        <v>0.63402777777777797</v>
      </c>
      <c r="C100" s="53" t="s">
        <v>108</v>
      </c>
      <c r="D100" s="57" t="s">
        <v>88</v>
      </c>
      <c r="E100" s="53" t="s">
        <v>89</v>
      </c>
      <c r="F100" s="9">
        <v>383.30771107857493</v>
      </c>
      <c r="G100" s="60" t="s">
        <v>73</v>
      </c>
      <c r="H100">
        <v>538.67979792749986</v>
      </c>
    </row>
    <row r="101" spans="1:8" x14ac:dyDescent="0.2">
      <c r="A101" s="50">
        <v>43200</v>
      </c>
      <c r="B101" s="51">
        <v>0.63402777777777797</v>
      </c>
      <c r="C101" s="53" t="s">
        <v>108</v>
      </c>
      <c r="D101" s="57" t="s">
        <v>121</v>
      </c>
      <c r="E101" s="53" t="s">
        <v>122</v>
      </c>
      <c r="F101" s="9">
        <v>383.30771107857493</v>
      </c>
      <c r="G101" s="60" t="s">
        <v>73</v>
      </c>
      <c r="H101">
        <v>596.74109351249979</v>
      </c>
    </row>
    <row r="102" spans="1:8" x14ac:dyDescent="0.2">
      <c r="A102" s="74">
        <v>43200</v>
      </c>
      <c r="B102" s="75">
        <v>0.63402777777777797</v>
      </c>
      <c r="C102" s="69" t="s">
        <v>108</v>
      </c>
      <c r="D102" s="80" t="s">
        <v>94</v>
      </c>
      <c r="E102" s="69" t="s">
        <v>95</v>
      </c>
      <c r="F102" s="9">
        <v>153706.39214250853</v>
      </c>
      <c r="G102" s="60" t="s">
        <v>97</v>
      </c>
      <c r="H102">
        <v>0.17999999999999997</v>
      </c>
    </row>
    <row r="103" spans="1:8" x14ac:dyDescent="0.2">
      <c r="A103" s="74">
        <v>43200</v>
      </c>
      <c r="B103" s="75">
        <v>0.65277777777777801</v>
      </c>
      <c r="C103" s="69" t="s">
        <v>113</v>
      </c>
      <c r="D103" s="80" t="s">
        <v>69</v>
      </c>
      <c r="E103" s="69" t="s">
        <v>71</v>
      </c>
      <c r="F103" s="9">
        <v>255.53847405238326</v>
      </c>
      <c r="G103" s="60" t="s">
        <v>73</v>
      </c>
      <c r="H103">
        <v>698.88596537499996</v>
      </c>
    </row>
    <row r="104" spans="1:8" x14ac:dyDescent="0.2">
      <c r="A104" s="74">
        <v>43200</v>
      </c>
      <c r="B104" s="75">
        <v>0.65277777777777801</v>
      </c>
      <c r="C104" s="69" t="s">
        <v>113</v>
      </c>
      <c r="D104" s="80" t="s">
        <v>190</v>
      </c>
      <c r="E104" s="69" t="s">
        <v>191</v>
      </c>
      <c r="F104" s="9">
        <v>255.53847405238326</v>
      </c>
      <c r="G104" s="60" t="s">
        <v>73</v>
      </c>
      <c r="H104">
        <v>139.63800000000001</v>
      </c>
    </row>
    <row r="105" spans="1:8" x14ac:dyDescent="0.2">
      <c r="A105" s="74">
        <v>43200</v>
      </c>
      <c r="B105" s="75">
        <v>0.65277777777777801</v>
      </c>
      <c r="C105" s="69" t="s">
        <v>113</v>
      </c>
      <c r="D105" s="80" t="s">
        <v>243</v>
      </c>
      <c r="E105" s="69" t="s">
        <v>87</v>
      </c>
      <c r="F105" s="9">
        <v>766.61542215714974</v>
      </c>
      <c r="G105" s="60" t="s">
        <v>73</v>
      </c>
      <c r="H105">
        <v>15.598517948333333</v>
      </c>
    </row>
    <row r="106" spans="1:8" x14ac:dyDescent="0.2">
      <c r="A106" s="74">
        <v>43200</v>
      </c>
      <c r="B106" s="75">
        <v>0.65277777777777801</v>
      </c>
      <c r="C106" s="69" t="s">
        <v>113</v>
      </c>
      <c r="D106" s="80" t="s">
        <v>206</v>
      </c>
      <c r="E106" s="69" t="s">
        <v>207</v>
      </c>
      <c r="F106" s="9">
        <v>255.53847405238326</v>
      </c>
      <c r="G106" s="60" t="s">
        <v>73</v>
      </c>
      <c r="H106">
        <v>15.188540453333331</v>
      </c>
    </row>
    <row r="107" spans="1:8" x14ac:dyDescent="0.2">
      <c r="A107" s="50">
        <v>43200</v>
      </c>
      <c r="B107" s="51">
        <v>0.65277777777777801</v>
      </c>
      <c r="C107" s="53" t="s">
        <v>113</v>
      </c>
      <c r="D107" s="57" t="s">
        <v>121</v>
      </c>
      <c r="E107" s="53" t="s">
        <v>122</v>
      </c>
      <c r="F107" s="9">
        <v>511.07694810476653</v>
      </c>
      <c r="G107" s="60" t="s">
        <v>73</v>
      </c>
      <c r="H107">
        <v>596.74109351249979</v>
      </c>
    </row>
    <row r="108" spans="1:8" x14ac:dyDescent="0.2">
      <c r="A108" s="74">
        <v>43200</v>
      </c>
      <c r="B108" s="75">
        <v>0.65277777777777801</v>
      </c>
      <c r="C108" s="69" t="s">
        <v>113</v>
      </c>
      <c r="D108" s="80" t="s">
        <v>94</v>
      </c>
      <c r="E108" s="69" t="s">
        <v>95</v>
      </c>
      <c r="F108" s="9">
        <v>110392.62079062956</v>
      </c>
      <c r="G108" s="60" t="s">
        <v>97</v>
      </c>
      <c r="H108">
        <v>0.17999999999999997</v>
      </c>
    </row>
    <row r="109" spans="1:8" x14ac:dyDescent="0.2">
      <c r="A109" s="50">
        <v>43200</v>
      </c>
      <c r="B109" s="51">
        <v>0.66111111111111098</v>
      </c>
      <c r="C109" s="49" t="s">
        <v>144</v>
      </c>
      <c r="D109" s="57" t="s">
        <v>102</v>
      </c>
      <c r="E109" s="53" t="s">
        <v>103</v>
      </c>
      <c r="F109" s="9">
        <v>328.54946663877848</v>
      </c>
      <c r="G109" s="60" t="s">
        <v>73</v>
      </c>
      <c r="H109">
        <v>137.92836735999995</v>
      </c>
    </row>
    <row r="110" spans="1:8" x14ac:dyDescent="0.2">
      <c r="A110" s="50">
        <v>43200</v>
      </c>
      <c r="B110" s="51">
        <v>0.66111111111111098</v>
      </c>
      <c r="C110" s="49" t="s">
        <v>144</v>
      </c>
      <c r="D110" s="57" t="s">
        <v>86</v>
      </c>
      <c r="E110" s="53" t="s">
        <v>87</v>
      </c>
      <c r="F110" s="9">
        <v>328.54946663877848</v>
      </c>
      <c r="G110" s="60" t="s">
        <v>73</v>
      </c>
      <c r="H110">
        <v>11.494030613333329</v>
      </c>
    </row>
    <row r="111" spans="1:8" x14ac:dyDescent="0.2">
      <c r="A111" s="50">
        <v>43200</v>
      </c>
      <c r="B111" s="51">
        <v>0.66111111111111098</v>
      </c>
      <c r="C111" s="49" t="s">
        <v>144</v>
      </c>
      <c r="D111" s="57" t="s">
        <v>360</v>
      </c>
      <c r="E111" s="53" t="s">
        <v>361</v>
      </c>
      <c r="F111" s="9">
        <v>328.54946663877848</v>
      </c>
      <c r="G111" s="60" t="s">
        <v>97</v>
      </c>
      <c r="H111">
        <v>15.188540453333331</v>
      </c>
    </row>
    <row r="112" spans="1:8" x14ac:dyDescent="0.2">
      <c r="A112" s="50">
        <v>43200</v>
      </c>
      <c r="B112" s="51">
        <v>0.66111111111111098</v>
      </c>
      <c r="C112" s="49" t="s">
        <v>144</v>
      </c>
      <c r="D112" s="58" t="s">
        <v>179</v>
      </c>
      <c r="E112" s="53" t="s">
        <v>180</v>
      </c>
      <c r="F112" s="9">
        <v>328.54946663877848</v>
      </c>
      <c r="G112" s="60" t="s">
        <v>73</v>
      </c>
      <c r="H112">
        <v>32.973081443333328</v>
      </c>
    </row>
    <row r="113" spans="1:8" x14ac:dyDescent="0.2">
      <c r="A113" s="50">
        <v>43200</v>
      </c>
      <c r="B113" s="51">
        <v>0.66111111111111098</v>
      </c>
      <c r="C113" s="49" t="s">
        <v>144</v>
      </c>
      <c r="D113" s="57" t="s">
        <v>94</v>
      </c>
      <c r="E113" s="53" t="s">
        <v>95</v>
      </c>
      <c r="F113" s="9">
        <v>133391.08345534408</v>
      </c>
      <c r="G113" s="60" t="s">
        <v>97</v>
      </c>
      <c r="H113">
        <v>0.17999999999999997</v>
      </c>
    </row>
    <row r="114" spans="1:8" x14ac:dyDescent="0.2">
      <c r="A114" s="50">
        <v>43206</v>
      </c>
      <c r="B114" s="51">
        <v>0.77708333333333302</v>
      </c>
      <c r="C114" s="49" t="s">
        <v>154</v>
      </c>
      <c r="D114" s="57" t="s">
        <v>69</v>
      </c>
      <c r="E114" s="53" t="s">
        <v>71</v>
      </c>
      <c r="F114" s="9">
        <v>1149.9231332357247</v>
      </c>
      <c r="G114" s="60" t="s">
        <v>73</v>
      </c>
      <c r="H114">
        <v>658.37673312000004</v>
      </c>
    </row>
    <row r="115" spans="1:8" x14ac:dyDescent="0.2">
      <c r="A115" s="50">
        <v>43206</v>
      </c>
      <c r="B115" s="51">
        <v>0.77708333333333302</v>
      </c>
      <c r="C115" s="49" t="s">
        <v>154</v>
      </c>
      <c r="D115" s="57" t="s">
        <v>86</v>
      </c>
      <c r="E115" s="53" t="s">
        <v>87</v>
      </c>
      <c r="F115" s="9">
        <v>766.61542215714985</v>
      </c>
      <c r="G115" s="60" t="s">
        <v>73</v>
      </c>
      <c r="H115">
        <v>11.494030613333329</v>
      </c>
    </row>
    <row r="116" spans="1:8" x14ac:dyDescent="0.2">
      <c r="A116" s="50">
        <v>43206</v>
      </c>
      <c r="B116" s="51">
        <v>0.77708333333333302</v>
      </c>
      <c r="C116" s="49" t="s">
        <v>154</v>
      </c>
      <c r="D116" s="57" t="s">
        <v>360</v>
      </c>
      <c r="E116" s="53" t="s">
        <v>361</v>
      </c>
      <c r="F116" s="9">
        <v>383.30771107857493</v>
      </c>
      <c r="G116" s="60" t="s">
        <v>97</v>
      </c>
      <c r="H116">
        <v>40.141142626666664</v>
      </c>
    </row>
    <row r="117" spans="1:8" x14ac:dyDescent="0.2">
      <c r="A117" s="50">
        <v>43206</v>
      </c>
      <c r="B117" s="51">
        <v>0.77708333333333302</v>
      </c>
      <c r="C117" s="49" t="s">
        <v>154</v>
      </c>
      <c r="D117" s="57" t="s">
        <v>94</v>
      </c>
      <c r="E117" s="53" t="s">
        <v>95</v>
      </c>
      <c r="F117" s="9">
        <v>151023.23816495851</v>
      </c>
      <c r="G117" s="60" t="s">
        <v>97</v>
      </c>
      <c r="H117">
        <v>0.17999999999999997</v>
      </c>
    </row>
    <row r="118" spans="1:8" x14ac:dyDescent="0.2">
      <c r="A118" s="50">
        <v>43206</v>
      </c>
      <c r="B118" s="51">
        <v>0.77708333333333302</v>
      </c>
      <c r="C118" s="49" t="s">
        <v>154</v>
      </c>
      <c r="D118" s="58" t="s">
        <v>301</v>
      </c>
      <c r="E118" s="53" t="s">
        <v>302</v>
      </c>
      <c r="F118" s="9">
        <v>383.30771107857493</v>
      </c>
      <c r="G118" s="60" t="s">
        <v>97</v>
      </c>
      <c r="H118">
        <v>0.26808234666666664</v>
      </c>
    </row>
    <row r="119" spans="1:8" x14ac:dyDescent="0.2">
      <c r="A119" s="50">
        <v>43206</v>
      </c>
      <c r="B119" s="51">
        <v>0.80208333333333304</v>
      </c>
      <c r="C119" s="49" t="s">
        <v>256</v>
      </c>
      <c r="D119" s="57" t="s">
        <v>86</v>
      </c>
      <c r="E119" s="53" t="s">
        <v>87</v>
      </c>
      <c r="F119" s="9">
        <v>1314.1978665551139</v>
      </c>
      <c r="G119" s="60" t="s">
        <v>73</v>
      </c>
      <c r="H119">
        <v>18.816553304999996</v>
      </c>
    </row>
    <row r="120" spans="1:8" x14ac:dyDescent="0.2">
      <c r="A120" s="50">
        <v>43206</v>
      </c>
      <c r="B120" s="51">
        <v>0.80208333333333304</v>
      </c>
      <c r="C120" s="49" t="s">
        <v>256</v>
      </c>
      <c r="D120" s="58" t="s">
        <v>375</v>
      </c>
      <c r="E120" s="53" t="s">
        <v>127</v>
      </c>
      <c r="F120" s="9">
        <v>328.54946663877848</v>
      </c>
      <c r="G120" s="60" t="s">
        <v>73</v>
      </c>
      <c r="H120">
        <v>24.572469783333329</v>
      </c>
    </row>
    <row r="121" spans="1:8" x14ac:dyDescent="0.2">
      <c r="A121" s="50">
        <v>43206</v>
      </c>
      <c r="B121" s="51">
        <v>0.80208333333333304</v>
      </c>
      <c r="C121" s="49" t="s">
        <v>256</v>
      </c>
      <c r="D121" s="57" t="s">
        <v>94</v>
      </c>
      <c r="E121" s="53" t="s">
        <v>95</v>
      </c>
      <c r="F121" s="9">
        <v>147847.25998745032</v>
      </c>
      <c r="G121" s="60" t="s">
        <v>97</v>
      </c>
      <c r="H121">
        <v>0.17999999999999997</v>
      </c>
    </row>
    <row r="122" spans="1:8" x14ac:dyDescent="0.2">
      <c r="A122" s="50">
        <v>43206</v>
      </c>
      <c r="B122" s="51">
        <v>0.80208333333333304</v>
      </c>
      <c r="C122" s="49" t="s">
        <v>256</v>
      </c>
      <c r="D122" s="58" t="s">
        <v>301</v>
      </c>
      <c r="E122" s="53" t="s">
        <v>302</v>
      </c>
      <c r="F122" s="9">
        <v>328.54946663877848</v>
      </c>
      <c r="G122" s="60" t="s">
        <v>97</v>
      </c>
      <c r="H122">
        <v>0.26808234666666664</v>
      </c>
    </row>
    <row r="123" spans="1:8" x14ac:dyDescent="0.2">
      <c r="A123" s="50">
        <v>43207</v>
      </c>
      <c r="B123" s="51">
        <v>0.8125</v>
      </c>
      <c r="C123" s="49" t="s">
        <v>141</v>
      </c>
      <c r="D123" s="58" t="s">
        <v>363</v>
      </c>
      <c r="E123" s="53" t="s">
        <v>110</v>
      </c>
      <c r="F123" s="9">
        <v>657.09893327755697</v>
      </c>
      <c r="G123" s="60" t="s">
        <v>73</v>
      </c>
      <c r="H123">
        <v>150.52928484999998</v>
      </c>
    </row>
    <row r="124" spans="1:8" x14ac:dyDescent="0.2">
      <c r="A124" s="50">
        <v>43207</v>
      </c>
      <c r="B124" s="51">
        <v>0.8125</v>
      </c>
      <c r="C124" s="49" t="s">
        <v>141</v>
      </c>
      <c r="D124" s="57" t="s">
        <v>367</v>
      </c>
      <c r="E124" s="53" t="s">
        <v>71</v>
      </c>
      <c r="F124" s="9">
        <v>328.54946663877848</v>
      </c>
      <c r="G124" s="60" t="s">
        <v>73</v>
      </c>
      <c r="H124">
        <v>180.63514182</v>
      </c>
    </row>
    <row r="125" spans="1:8" x14ac:dyDescent="0.2">
      <c r="A125" s="50">
        <v>43207</v>
      </c>
      <c r="B125" s="51">
        <v>0.8125</v>
      </c>
      <c r="C125" s="49" t="s">
        <v>141</v>
      </c>
      <c r="D125" s="57" t="s">
        <v>102</v>
      </c>
      <c r="E125" s="53" t="s">
        <v>103</v>
      </c>
      <c r="F125" s="9">
        <v>328.54946663877848</v>
      </c>
      <c r="G125" s="60" t="s">
        <v>73</v>
      </c>
      <c r="H125">
        <v>240.84685575999998</v>
      </c>
    </row>
    <row r="126" spans="1:8" x14ac:dyDescent="0.2">
      <c r="A126" s="50">
        <v>43207</v>
      </c>
      <c r="B126" s="51">
        <v>0.8125</v>
      </c>
      <c r="C126" s="49" t="s">
        <v>141</v>
      </c>
      <c r="D126" s="57" t="s">
        <v>368</v>
      </c>
      <c r="E126" s="53" t="s">
        <v>344</v>
      </c>
      <c r="F126" s="9">
        <v>328.54946663877848</v>
      </c>
      <c r="G126" s="60" t="s">
        <v>73</v>
      </c>
      <c r="H126">
        <v>303.70343033333324</v>
      </c>
    </row>
    <row r="127" spans="1:8" x14ac:dyDescent="0.2">
      <c r="A127" s="50">
        <v>43207</v>
      </c>
      <c r="B127" s="51">
        <v>0.8125</v>
      </c>
      <c r="C127" s="49" t="s">
        <v>141</v>
      </c>
      <c r="D127" s="57" t="s">
        <v>343</v>
      </c>
      <c r="E127" s="53" t="s">
        <v>344</v>
      </c>
      <c r="F127" s="9">
        <v>328.54946663877848</v>
      </c>
      <c r="G127" s="60" t="s">
        <v>73</v>
      </c>
      <c r="H127">
        <v>242.81942836666664</v>
      </c>
    </row>
    <row r="128" spans="1:8" x14ac:dyDescent="0.2">
      <c r="A128" s="50">
        <v>43207</v>
      </c>
      <c r="B128" s="51">
        <v>0.8125</v>
      </c>
      <c r="C128" s="49" t="s">
        <v>141</v>
      </c>
      <c r="D128" s="57" t="s">
        <v>86</v>
      </c>
      <c r="E128" s="53" t="s">
        <v>87</v>
      </c>
      <c r="F128" s="9">
        <v>1314.1978665551139</v>
      </c>
      <c r="G128" s="60" t="s">
        <v>73</v>
      </c>
      <c r="H128">
        <v>11.494030613333329</v>
      </c>
    </row>
    <row r="129" spans="1:8" x14ac:dyDescent="0.2">
      <c r="A129" s="50">
        <v>43207</v>
      </c>
      <c r="B129" s="51">
        <v>0.8125</v>
      </c>
      <c r="C129" s="49" t="s">
        <v>141</v>
      </c>
      <c r="D129" s="57" t="s">
        <v>94</v>
      </c>
      <c r="E129" s="53" t="s">
        <v>95</v>
      </c>
      <c r="F129" s="9">
        <v>142261.9190545911</v>
      </c>
      <c r="G129" s="60" t="s">
        <v>97</v>
      </c>
      <c r="H129">
        <v>0.17999999999999997</v>
      </c>
    </row>
    <row r="130" spans="1:8" x14ac:dyDescent="0.2">
      <c r="A130" s="50">
        <v>43207</v>
      </c>
      <c r="B130" s="51">
        <v>0.82291666666666696</v>
      </c>
      <c r="C130" s="49" t="s">
        <v>278</v>
      </c>
      <c r="D130" s="58" t="s">
        <v>381</v>
      </c>
      <c r="E130" s="53" t="s">
        <v>382</v>
      </c>
      <c r="F130" s="9">
        <v>328.54946663877848</v>
      </c>
      <c r="G130" s="60" t="s">
        <v>73</v>
      </c>
      <c r="H130">
        <v>124.317428685</v>
      </c>
    </row>
    <row r="131" spans="1:8" x14ac:dyDescent="0.2">
      <c r="A131" s="50">
        <v>43207</v>
      </c>
      <c r="B131" s="51">
        <v>0.82291666666666696</v>
      </c>
      <c r="C131" s="49" t="s">
        <v>278</v>
      </c>
      <c r="D131" s="58" t="s">
        <v>375</v>
      </c>
      <c r="E131" s="53" t="s">
        <v>127</v>
      </c>
      <c r="F131" s="9">
        <v>328.54946663877848</v>
      </c>
      <c r="G131" s="60" t="s">
        <v>73</v>
      </c>
      <c r="H131">
        <v>55.949623506666654</v>
      </c>
    </row>
    <row r="132" spans="1:8" x14ac:dyDescent="0.2">
      <c r="A132" s="50">
        <v>43207</v>
      </c>
      <c r="B132" s="51">
        <v>0.82291666666666696</v>
      </c>
      <c r="C132" s="49" t="s">
        <v>278</v>
      </c>
      <c r="D132" s="57" t="s">
        <v>94</v>
      </c>
      <c r="E132" s="53" t="s">
        <v>95</v>
      </c>
      <c r="F132" s="9">
        <v>152118.40305375445</v>
      </c>
      <c r="G132" s="60" t="s">
        <v>97</v>
      </c>
      <c r="H132">
        <v>0.17999999999999997</v>
      </c>
    </row>
    <row r="133" spans="1:8" x14ac:dyDescent="0.2">
      <c r="A133" s="50">
        <v>43207</v>
      </c>
      <c r="B133" s="51">
        <v>0.82291666666666696</v>
      </c>
      <c r="C133" s="49" t="s">
        <v>278</v>
      </c>
      <c r="D133" s="58" t="s">
        <v>301</v>
      </c>
      <c r="E133" s="53" t="s">
        <v>302</v>
      </c>
      <c r="F133" s="9">
        <v>328.54946663877848</v>
      </c>
      <c r="G133" s="60" t="s">
        <v>97</v>
      </c>
      <c r="H133">
        <v>0.26808234666666664</v>
      </c>
    </row>
    <row r="134" spans="1:8" x14ac:dyDescent="0.2">
      <c r="A134" s="25">
        <v>43227</v>
      </c>
      <c r="B134" s="26">
        <v>0.35416666666666702</v>
      </c>
      <c r="C134" s="5" t="s">
        <v>256</v>
      </c>
      <c r="D134" s="12" t="s">
        <v>102</v>
      </c>
      <c r="E134" s="9" t="s">
        <v>103</v>
      </c>
      <c r="F134" s="9">
        <v>328.54946663877848</v>
      </c>
      <c r="G134" s="19" t="s">
        <v>73</v>
      </c>
      <c r="H134">
        <v>46.533231079999993</v>
      </c>
    </row>
    <row r="135" spans="1:8" x14ac:dyDescent="0.2">
      <c r="A135" s="25">
        <v>43227</v>
      </c>
      <c r="B135" s="26">
        <v>0.35416666666666702</v>
      </c>
      <c r="C135" s="5" t="s">
        <v>256</v>
      </c>
      <c r="D135" s="12" t="s">
        <v>81</v>
      </c>
      <c r="E135" s="9" t="s">
        <v>83</v>
      </c>
      <c r="F135" s="9">
        <v>328.54946663877848</v>
      </c>
      <c r="G135" s="19" t="s">
        <v>73</v>
      </c>
      <c r="H135">
        <v>141.03644706666665</v>
      </c>
    </row>
    <row r="136" spans="1:8" x14ac:dyDescent="0.2">
      <c r="A136" s="25">
        <v>43227</v>
      </c>
      <c r="B136" s="26">
        <v>0.35416666666666702</v>
      </c>
      <c r="C136" s="5" t="s">
        <v>256</v>
      </c>
      <c r="D136" s="12" t="s">
        <v>86</v>
      </c>
      <c r="E136" s="9" t="s">
        <v>87</v>
      </c>
      <c r="F136" s="9">
        <v>1314.1978665551139</v>
      </c>
      <c r="G136" s="19" t="s">
        <v>73</v>
      </c>
      <c r="H136">
        <v>14.137154999999998</v>
      </c>
    </row>
    <row r="137" spans="1:8" x14ac:dyDescent="0.2">
      <c r="A137" s="25">
        <v>43227</v>
      </c>
      <c r="B137" s="26">
        <v>0.35416666666666702</v>
      </c>
      <c r="C137" s="5" t="s">
        <v>256</v>
      </c>
      <c r="D137" s="12" t="s">
        <v>92</v>
      </c>
      <c r="E137" s="9" t="s">
        <v>89</v>
      </c>
      <c r="F137" s="9">
        <v>328.54946663877848</v>
      </c>
      <c r="G137" s="19" t="s">
        <v>73</v>
      </c>
      <c r="H137">
        <v>76.353203359999995</v>
      </c>
    </row>
    <row r="138" spans="1:8" x14ac:dyDescent="0.2">
      <c r="A138" s="25">
        <v>43227</v>
      </c>
      <c r="B138" s="26">
        <v>0.35416666666666702</v>
      </c>
      <c r="C138" s="5" t="s">
        <v>256</v>
      </c>
      <c r="D138" s="12" t="s">
        <v>94</v>
      </c>
      <c r="E138" s="9" t="s">
        <v>95</v>
      </c>
      <c r="F138" s="9">
        <v>140619.1717213972</v>
      </c>
      <c r="G138" s="19" t="s">
        <v>97</v>
      </c>
      <c r="H138">
        <v>0.17999999999999997</v>
      </c>
    </row>
    <row r="139" spans="1:8" x14ac:dyDescent="0.2">
      <c r="A139" s="25">
        <v>43227</v>
      </c>
      <c r="B139" s="26">
        <v>0.36805555555555602</v>
      </c>
      <c r="C139" s="5" t="s">
        <v>154</v>
      </c>
      <c r="D139" s="12" t="s">
        <v>266</v>
      </c>
      <c r="E139" s="9" t="s">
        <v>110</v>
      </c>
      <c r="F139" s="9">
        <v>328.54946663877848</v>
      </c>
      <c r="G139" s="19" t="s">
        <v>73</v>
      </c>
      <c r="H139">
        <v>105.77733529999999</v>
      </c>
    </row>
    <row r="140" spans="1:8" x14ac:dyDescent="0.2">
      <c r="A140" s="25">
        <v>43227</v>
      </c>
      <c r="B140" s="26">
        <v>0.36805555555555602</v>
      </c>
      <c r="C140" s="5" t="s">
        <v>154</v>
      </c>
      <c r="D140" s="12" t="s">
        <v>69</v>
      </c>
      <c r="E140" s="9" t="s">
        <v>71</v>
      </c>
      <c r="F140" s="9">
        <v>2628.3957331102279</v>
      </c>
      <c r="G140" s="19" t="s">
        <v>73</v>
      </c>
      <c r="H140">
        <v>339.16919798999999</v>
      </c>
    </row>
    <row r="141" spans="1:8" x14ac:dyDescent="0.2">
      <c r="A141" s="25">
        <v>43227</v>
      </c>
      <c r="B141" s="26">
        <v>0.36805555555555602</v>
      </c>
      <c r="C141" s="5" t="s">
        <v>154</v>
      </c>
      <c r="D141" s="12" t="s">
        <v>86</v>
      </c>
      <c r="E141" s="9" t="s">
        <v>87</v>
      </c>
      <c r="F141" s="9">
        <v>1642.7473331938927</v>
      </c>
      <c r="G141" s="19" t="s">
        <v>73</v>
      </c>
      <c r="H141">
        <v>17.157270186666665</v>
      </c>
    </row>
    <row r="142" spans="1:8" x14ac:dyDescent="0.2">
      <c r="A142" s="25">
        <v>43227</v>
      </c>
      <c r="B142" s="26">
        <v>0.36805555555555602</v>
      </c>
      <c r="C142" s="5" t="s">
        <v>154</v>
      </c>
      <c r="D142" s="12" t="s">
        <v>216</v>
      </c>
      <c r="E142" s="9" t="s">
        <v>217</v>
      </c>
      <c r="F142" s="9">
        <v>328.54946663877848</v>
      </c>
      <c r="G142" s="19" t="s">
        <v>97</v>
      </c>
      <c r="H142">
        <v>6.9937029383333318</v>
      </c>
    </row>
    <row r="143" spans="1:8" x14ac:dyDescent="0.2">
      <c r="A143" s="25">
        <v>43227</v>
      </c>
      <c r="B143" s="26">
        <v>0.36805555555555602</v>
      </c>
      <c r="C143" s="5" t="s">
        <v>154</v>
      </c>
      <c r="D143" s="12" t="s">
        <v>206</v>
      </c>
      <c r="E143" s="9" t="s">
        <v>207</v>
      </c>
      <c r="F143" s="9">
        <v>328.54946663877848</v>
      </c>
      <c r="G143" s="19" t="s">
        <v>73</v>
      </c>
      <c r="H143">
        <v>11.494030613333329</v>
      </c>
    </row>
    <row r="144" spans="1:8" x14ac:dyDescent="0.2">
      <c r="A144" s="25">
        <v>43227</v>
      </c>
      <c r="B144" s="26">
        <v>0.36805555555555602</v>
      </c>
      <c r="C144" s="5" t="s">
        <v>154</v>
      </c>
      <c r="D144" s="12" t="s">
        <v>94</v>
      </c>
      <c r="E144" s="9" t="s">
        <v>95</v>
      </c>
      <c r="F144" s="9">
        <v>124848.79732273583</v>
      </c>
      <c r="G144" s="19" t="s">
        <v>97</v>
      </c>
      <c r="H144">
        <v>0.17999999999999997</v>
      </c>
    </row>
    <row r="145" spans="1:8" x14ac:dyDescent="0.2">
      <c r="A145" s="25">
        <v>43227</v>
      </c>
      <c r="B145" s="26">
        <v>0.36805555555555602</v>
      </c>
      <c r="C145" s="5" t="s">
        <v>154</v>
      </c>
      <c r="D145" s="12" t="s">
        <v>130</v>
      </c>
      <c r="E145" s="9" t="s">
        <v>95</v>
      </c>
      <c r="F145" s="9">
        <v>1642.7473331938927</v>
      </c>
      <c r="G145" s="19" t="s">
        <v>73</v>
      </c>
      <c r="H145">
        <v>57.905786879999994</v>
      </c>
    </row>
    <row r="146" spans="1:8" x14ac:dyDescent="0.2">
      <c r="A146" s="25">
        <v>43227</v>
      </c>
      <c r="B146" s="26">
        <v>0.43055555555555602</v>
      </c>
      <c r="C146" s="5" t="s">
        <v>141</v>
      </c>
      <c r="D146" s="12" t="s">
        <v>69</v>
      </c>
      <c r="E146" s="9" t="s">
        <v>71</v>
      </c>
      <c r="F146" s="9">
        <v>287.48078330893117</v>
      </c>
      <c r="G146" s="19" t="s">
        <v>73</v>
      </c>
      <c r="H146">
        <v>317.33200589999996</v>
      </c>
    </row>
    <row r="147" spans="1:8" x14ac:dyDescent="0.2">
      <c r="A147" s="25">
        <v>43227</v>
      </c>
      <c r="B147" s="26">
        <v>0.43055555555555602</v>
      </c>
      <c r="C147" s="5" t="s">
        <v>141</v>
      </c>
      <c r="D147" s="12" t="s">
        <v>86</v>
      </c>
      <c r="E147" s="9" t="s">
        <v>87</v>
      </c>
      <c r="F147" s="9">
        <v>574.96156661786233</v>
      </c>
      <c r="G147" s="19" t="s">
        <v>73</v>
      </c>
      <c r="H147">
        <v>7.2382233599999992</v>
      </c>
    </row>
    <row r="148" spans="1:8" x14ac:dyDescent="0.2">
      <c r="A148" s="25">
        <v>43227</v>
      </c>
      <c r="B148" s="26">
        <v>0.43055555555555602</v>
      </c>
      <c r="C148" s="5" t="s">
        <v>141</v>
      </c>
      <c r="D148" s="12" t="s">
        <v>232</v>
      </c>
      <c r="E148" s="9" t="s">
        <v>233</v>
      </c>
      <c r="F148" s="9">
        <v>287.48078330893117</v>
      </c>
      <c r="G148" s="19" t="s">
        <v>73</v>
      </c>
      <c r="H148">
        <v>199.27210089666667</v>
      </c>
    </row>
    <row r="149" spans="1:8" x14ac:dyDescent="0.2">
      <c r="A149" s="25">
        <v>43227</v>
      </c>
      <c r="B149" s="26">
        <v>0.43055555555555602</v>
      </c>
      <c r="C149" s="5" t="s">
        <v>141</v>
      </c>
      <c r="D149" s="12" t="s">
        <v>94</v>
      </c>
      <c r="E149" s="9" t="s">
        <v>95</v>
      </c>
      <c r="F149" s="9">
        <v>124766.65995607612</v>
      </c>
      <c r="G149" s="19" t="s">
        <v>97</v>
      </c>
      <c r="H149">
        <v>0.17999999999999997</v>
      </c>
    </row>
    <row r="150" spans="1:8" x14ac:dyDescent="0.2">
      <c r="A150" s="25">
        <v>43227</v>
      </c>
      <c r="B150" s="26">
        <v>0.44791666666666702</v>
      </c>
      <c r="C150" s="5" t="s">
        <v>219</v>
      </c>
      <c r="D150" s="12" t="s">
        <v>86</v>
      </c>
      <c r="E150" s="9" t="s">
        <v>87</v>
      </c>
      <c r="F150" s="9">
        <v>383.30771107857493</v>
      </c>
      <c r="G150" s="19" t="s">
        <v>73</v>
      </c>
      <c r="H150">
        <v>3.5913609683333325</v>
      </c>
    </row>
    <row r="151" spans="1:8" x14ac:dyDescent="0.2">
      <c r="A151" s="25">
        <v>43227</v>
      </c>
      <c r="B151" s="26">
        <v>0.44791666666666702</v>
      </c>
      <c r="C151" s="5" t="s">
        <v>219</v>
      </c>
      <c r="D151" s="12" t="s">
        <v>206</v>
      </c>
      <c r="E151" s="9" t="s">
        <v>207</v>
      </c>
      <c r="F151" s="9">
        <v>1149.9231332357247</v>
      </c>
      <c r="G151" s="19" t="s">
        <v>73</v>
      </c>
      <c r="H151">
        <v>12.108211458333333</v>
      </c>
    </row>
    <row r="152" spans="1:8" x14ac:dyDescent="0.2">
      <c r="A152" s="25">
        <v>43227</v>
      </c>
      <c r="B152" s="26">
        <v>0.44791666666666702</v>
      </c>
      <c r="C152" s="5" t="s">
        <v>219</v>
      </c>
      <c r="D152" s="12" t="s">
        <v>92</v>
      </c>
      <c r="E152" s="9" t="s">
        <v>89</v>
      </c>
      <c r="F152" s="9">
        <v>1149.9231332357247</v>
      </c>
      <c r="G152" s="19" t="s">
        <v>73</v>
      </c>
      <c r="H152">
        <v>76.353203359999995</v>
      </c>
    </row>
    <row r="153" spans="1:8" x14ac:dyDescent="0.2">
      <c r="A153" s="25">
        <v>43227</v>
      </c>
      <c r="B153" s="26">
        <v>0.44791666666666702</v>
      </c>
      <c r="C153" s="5" t="s">
        <v>219</v>
      </c>
      <c r="D153" s="12" t="s">
        <v>94</v>
      </c>
      <c r="E153" s="9" t="s">
        <v>95</v>
      </c>
      <c r="F153" s="9">
        <v>167122.16203025865</v>
      </c>
      <c r="G153" s="19" t="s">
        <v>97</v>
      </c>
      <c r="H153">
        <v>0.17999999999999997</v>
      </c>
    </row>
    <row r="154" spans="1:8" x14ac:dyDescent="0.2">
      <c r="A154" s="25">
        <v>43227</v>
      </c>
      <c r="B154" s="26">
        <v>0.48958333333333298</v>
      </c>
      <c r="C154" s="5" t="s">
        <v>124</v>
      </c>
      <c r="D154" s="12" t="s">
        <v>109</v>
      </c>
      <c r="E154" s="9" t="s">
        <v>110</v>
      </c>
      <c r="F154" s="9">
        <v>383.30771107857493</v>
      </c>
      <c r="G154" s="19" t="s">
        <v>73</v>
      </c>
      <c r="H154">
        <v>57.26490252</v>
      </c>
    </row>
    <row r="155" spans="1:8" x14ac:dyDescent="0.2">
      <c r="A155" s="25">
        <v>43227</v>
      </c>
      <c r="B155" s="26">
        <v>0.48958333333333298</v>
      </c>
      <c r="C155" s="5" t="s">
        <v>124</v>
      </c>
      <c r="D155" s="12" t="s">
        <v>69</v>
      </c>
      <c r="E155" s="9" t="s">
        <v>71</v>
      </c>
      <c r="F155" s="9">
        <v>3449.7693997071742</v>
      </c>
      <c r="G155" s="19" t="s">
        <v>73</v>
      </c>
      <c r="H155">
        <v>441.48921349499994</v>
      </c>
    </row>
    <row r="156" spans="1:8" x14ac:dyDescent="0.2">
      <c r="A156" s="25">
        <v>43227</v>
      </c>
      <c r="B156" s="26">
        <v>0.48958333333333298</v>
      </c>
      <c r="C156" s="5" t="s">
        <v>124</v>
      </c>
      <c r="D156" s="12" t="s">
        <v>251</v>
      </c>
      <c r="E156" s="9" t="s">
        <v>252</v>
      </c>
      <c r="F156" s="9">
        <v>383.30771107857493</v>
      </c>
      <c r="G156" s="19" t="s">
        <v>73</v>
      </c>
      <c r="H156">
        <v>8.5565130637499998</v>
      </c>
    </row>
    <row r="157" spans="1:8" x14ac:dyDescent="0.2">
      <c r="A157" s="25">
        <v>43227</v>
      </c>
      <c r="B157" s="26">
        <v>0.48958333333333298</v>
      </c>
      <c r="C157" s="5" t="s">
        <v>124</v>
      </c>
      <c r="D157" s="12" t="s">
        <v>86</v>
      </c>
      <c r="E157" s="9" t="s">
        <v>87</v>
      </c>
      <c r="F157" s="9">
        <v>2683.1539775500241</v>
      </c>
      <c r="G157" s="19" t="s">
        <v>73</v>
      </c>
      <c r="H157">
        <v>4.8490441650000005</v>
      </c>
    </row>
    <row r="158" spans="1:8" x14ac:dyDescent="0.2">
      <c r="A158" s="25">
        <v>43227</v>
      </c>
      <c r="B158" s="26">
        <v>0.48958333333333298</v>
      </c>
      <c r="C158" s="5" t="s">
        <v>124</v>
      </c>
      <c r="D158" s="12" t="s">
        <v>92</v>
      </c>
      <c r="E158" s="9" t="s">
        <v>89</v>
      </c>
      <c r="F158" s="9">
        <v>383.30771107857493</v>
      </c>
      <c r="G158" s="19" t="s">
        <v>73</v>
      </c>
      <c r="H158">
        <v>76.353203359999995</v>
      </c>
    </row>
    <row r="159" spans="1:8" x14ac:dyDescent="0.2">
      <c r="A159" s="25">
        <v>43227</v>
      </c>
      <c r="B159" s="26">
        <v>0.48958333333333298</v>
      </c>
      <c r="C159" s="5" t="s">
        <v>124</v>
      </c>
      <c r="D159" s="12" t="s">
        <v>94</v>
      </c>
      <c r="E159" s="9" t="s">
        <v>95</v>
      </c>
      <c r="F159" s="9">
        <v>150256.62274280135</v>
      </c>
      <c r="G159" s="19" t="s">
        <v>97</v>
      </c>
      <c r="H159">
        <v>0.17999999999999997</v>
      </c>
    </row>
    <row r="160" spans="1:8" x14ac:dyDescent="0.2">
      <c r="A160" s="25">
        <v>43227</v>
      </c>
      <c r="B160" s="26">
        <v>0.48958333333333298</v>
      </c>
      <c r="C160" s="5" t="s">
        <v>124</v>
      </c>
      <c r="D160" s="12" t="s">
        <v>98</v>
      </c>
      <c r="E160" s="9" t="s">
        <v>95</v>
      </c>
      <c r="F160" s="9">
        <v>383.30771107857493</v>
      </c>
      <c r="G160" s="19" t="s">
        <v>97</v>
      </c>
      <c r="H160">
        <v>3.5913609683333325</v>
      </c>
    </row>
    <row r="161" spans="1:8" x14ac:dyDescent="0.2">
      <c r="A161" s="25">
        <v>43227</v>
      </c>
      <c r="B161" s="26">
        <v>0.51041666666666696</v>
      </c>
      <c r="C161" s="25" t="s">
        <v>247</v>
      </c>
      <c r="D161" s="12" t="s">
        <v>81</v>
      </c>
      <c r="E161" s="9" t="s">
        <v>83</v>
      </c>
      <c r="F161" s="9">
        <v>164.27473331938924</v>
      </c>
      <c r="G161" s="19" t="s">
        <v>73</v>
      </c>
      <c r="H161">
        <v>62.044308106666655</v>
      </c>
    </row>
    <row r="162" spans="1:8" x14ac:dyDescent="0.2">
      <c r="A162" s="25">
        <v>43227</v>
      </c>
      <c r="B162" s="26">
        <v>0.51041666666666696</v>
      </c>
      <c r="C162" s="25" t="s">
        <v>247</v>
      </c>
      <c r="D162" s="12" t="s">
        <v>86</v>
      </c>
      <c r="E162" s="9" t="s">
        <v>87</v>
      </c>
      <c r="F162" s="9">
        <v>5092.5167329010674</v>
      </c>
      <c r="G162" s="19" t="s">
        <v>73</v>
      </c>
      <c r="H162">
        <v>4.8490441650000005</v>
      </c>
    </row>
    <row r="163" spans="1:8" x14ac:dyDescent="0.2">
      <c r="A163" s="25">
        <v>43227</v>
      </c>
      <c r="B163" s="26">
        <v>0.51041666666666696</v>
      </c>
      <c r="C163" s="25" t="s">
        <v>247</v>
      </c>
      <c r="D163" s="12" t="s">
        <v>88</v>
      </c>
      <c r="E163" s="9" t="s">
        <v>89</v>
      </c>
      <c r="F163" s="9">
        <v>164.27473331938924</v>
      </c>
      <c r="G163" s="19" t="s">
        <v>73</v>
      </c>
      <c r="H163">
        <v>76.353203359999995</v>
      </c>
    </row>
    <row r="164" spans="1:8" x14ac:dyDescent="0.2">
      <c r="A164" s="25">
        <v>43227</v>
      </c>
      <c r="B164" s="26">
        <v>0.51041666666666696</v>
      </c>
      <c r="C164" s="25" t="s">
        <v>247</v>
      </c>
      <c r="D164" s="12" t="s">
        <v>94</v>
      </c>
      <c r="E164" s="9" t="s">
        <v>95</v>
      </c>
      <c r="F164" s="9">
        <v>60453.101861535251</v>
      </c>
      <c r="G164" s="19" t="s">
        <v>97</v>
      </c>
      <c r="H164">
        <v>0.17999999999999997</v>
      </c>
    </row>
    <row r="165" spans="1:8" x14ac:dyDescent="0.2">
      <c r="A165" s="25">
        <v>43227</v>
      </c>
      <c r="B165" s="26">
        <v>0.52430555555555602</v>
      </c>
      <c r="C165" s="5" t="s">
        <v>135</v>
      </c>
      <c r="D165" s="12" t="s">
        <v>243</v>
      </c>
      <c r="E165" s="9" t="s">
        <v>87</v>
      </c>
      <c r="F165" s="9">
        <v>1314.1978665551139</v>
      </c>
      <c r="G165" s="19" t="s">
        <v>73</v>
      </c>
      <c r="H165">
        <v>9.2027643066666673</v>
      </c>
    </row>
    <row r="166" spans="1:8" x14ac:dyDescent="0.2">
      <c r="A166" s="25">
        <v>43227</v>
      </c>
      <c r="B166" s="26">
        <v>0.52430555555555602</v>
      </c>
      <c r="C166" s="5" t="s">
        <v>135</v>
      </c>
      <c r="D166" s="12" t="s">
        <v>92</v>
      </c>
      <c r="E166" s="9" t="s">
        <v>89</v>
      </c>
      <c r="F166" s="9">
        <v>328.54946663877848</v>
      </c>
      <c r="G166" s="19" t="s">
        <v>73</v>
      </c>
      <c r="H166">
        <v>68.964183679999977</v>
      </c>
    </row>
    <row r="167" spans="1:8" x14ac:dyDescent="0.2">
      <c r="A167" s="25">
        <v>43227</v>
      </c>
      <c r="B167" s="26">
        <v>0.52430555555555602</v>
      </c>
      <c r="C167" s="5" t="s">
        <v>135</v>
      </c>
      <c r="D167" s="12" t="s">
        <v>94</v>
      </c>
      <c r="E167" s="9" t="s">
        <v>95</v>
      </c>
      <c r="F167" s="9">
        <v>131748.33612215018</v>
      </c>
      <c r="G167" s="19" t="s">
        <v>97</v>
      </c>
      <c r="H167">
        <v>0.17999999999999997</v>
      </c>
    </row>
    <row r="168" spans="1:8" x14ac:dyDescent="0.2">
      <c r="A168" s="25">
        <v>43227</v>
      </c>
      <c r="B168" s="26">
        <v>0.54513888888888895</v>
      </c>
      <c r="C168" s="5" t="s">
        <v>245</v>
      </c>
      <c r="D168" s="12" t="s">
        <v>109</v>
      </c>
      <c r="E168" s="9" t="s">
        <v>110</v>
      </c>
      <c r="F168" s="9">
        <v>164.27473331938924</v>
      </c>
      <c r="G168" s="19" t="s">
        <v>73</v>
      </c>
      <c r="H168">
        <v>90.317570909999986</v>
      </c>
    </row>
    <row r="169" spans="1:8" x14ac:dyDescent="0.2">
      <c r="A169" s="25">
        <v>43227</v>
      </c>
      <c r="B169" s="26">
        <v>0.54513888888888895</v>
      </c>
      <c r="C169" s="5" t="s">
        <v>245</v>
      </c>
      <c r="D169" s="12" t="s">
        <v>69</v>
      </c>
      <c r="E169" s="9" t="s">
        <v>71</v>
      </c>
      <c r="F169" s="9">
        <v>164.27473331938924</v>
      </c>
      <c r="G169" s="19" t="s">
        <v>73</v>
      </c>
      <c r="H169">
        <v>774.15060779999999</v>
      </c>
    </row>
    <row r="170" spans="1:8" x14ac:dyDescent="0.2">
      <c r="A170" s="25">
        <v>43227</v>
      </c>
      <c r="B170" s="26">
        <v>0.54513888888888895</v>
      </c>
      <c r="C170" s="5" t="s">
        <v>245</v>
      </c>
      <c r="D170" s="12" t="s">
        <v>81</v>
      </c>
      <c r="E170" s="9" t="s">
        <v>83</v>
      </c>
      <c r="F170" s="9">
        <v>164.27473331938924</v>
      </c>
      <c r="G170" s="19" t="s">
        <v>73</v>
      </c>
      <c r="H170">
        <v>75.532201173333306</v>
      </c>
    </row>
    <row r="171" spans="1:8" x14ac:dyDescent="0.2">
      <c r="A171" s="25">
        <v>43227</v>
      </c>
      <c r="B171" s="26">
        <v>0.54513888888888895</v>
      </c>
      <c r="C171" s="5" t="s">
        <v>245</v>
      </c>
      <c r="D171" s="12" t="s">
        <v>86</v>
      </c>
      <c r="E171" s="9" t="s">
        <v>87</v>
      </c>
      <c r="F171" s="9">
        <v>3449.7693997071742</v>
      </c>
      <c r="G171" s="19" t="s">
        <v>73</v>
      </c>
      <c r="H171">
        <v>7.2382233599999992</v>
      </c>
    </row>
    <row r="172" spans="1:8" x14ac:dyDescent="0.2">
      <c r="A172" s="25">
        <v>43227</v>
      </c>
      <c r="B172" s="26">
        <v>0.54513888888888895</v>
      </c>
      <c r="C172" s="5" t="s">
        <v>245</v>
      </c>
      <c r="D172" s="12" t="s">
        <v>118</v>
      </c>
      <c r="E172" s="9" t="s">
        <v>119</v>
      </c>
      <c r="F172" s="9">
        <v>164.27473331938924</v>
      </c>
      <c r="G172" s="19" t="s">
        <v>73</v>
      </c>
      <c r="H172">
        <v>1007.7906560999998</v>
      </c>
    </row>
    <row r="173" spans="1:8" x14ac:dyDescent="0.2">
      <c r="A173" s="25">
        <v>43227</v>
      </c>
      <c r="B173" s="26">
        <v>0.54513888888888895</v>
      </c>
      <c r="C173" s="5" t="s">
        <v>245</v>
      </c>
      <c r="D173" s="12" t="s">
        <v>88</v>
      </c>
      <c r="E173" s="9" t="s">
        <v>89</v>
      </c>
      <c r="F173" s="9">
        <v>164.27473331938924</v>
      </c>
      <c r="G173" s="19" t="s">
        <v>73</v>
      </c>
      <c r="H173">
        <v>538.67979792749986</v>
      </c>
    </row>
    <row r="174" spans="1:8" x14ac:dyDescent="0.2">
      <c r="A174" s="25">
        <v>43227</v>
      </c>
      <c r="B174" s="26">
        <v>0.54513888888888895</v>
      </c>
      <c r="C174" s="5" t="s">
        <v>245</v>
      </c>
      <c r="D174" s="12" t="s">
        <v>92</v>
      </c>
      <c r="E174" s="9" t="s">
        <v>89</v>
      </c>
      <c r="F174" s="9">
        <v>492.82419995816775</v>
      </c>
      <c r="G174" s="19" t="s">
        <v>73</v>
      </c>
      <c r="H174">
        <v>102.64831165999999</v>
      </c>
    </row>
    <row r="175" spans="1:8" x14ac:dyDescent="0.2">
      <c r="A175" s="25">
        <v>43227</v>
      </c>
      <c r="B175" s="26">
        <v>0.54513888888888895</v>
      </c>
      <c r="C175" s="5" t="s">
        <v>245</v>
      </c>
      <c r="D175" s="12" t="s">
        <v>94</v>
      </c>
      <c r="E175" s="9" t="s">
        <v>95</v>
      </c>
      <c r="F175" s="9">
        <v>64888.519661158753</v>
      </c>
      <c r="G175" s="19" t="s">
        <v>97</v>
      </c>
      <c r="H175">
        <v>0.17999999999999997</v>
      </c>
    </row>
    <row r="176" spans="1:8" x14ac:dyDescent="0.2">
      <c r="A176" s="50">
        <v>43228</v>
      </c>
      <c r="B176" s="51">
        <v>0.48125000000000001</v>
      </c>
      <c r="C176" s="49" t="s">
        <v>68</v>
      </c>
      <c r="D176" s="57" t="s">
        <v>102</v>
      </c>
      <c r="E176" s="53" t="s">
        <v>103</v>
      </c>
      <c r="F176" s="9">
        <v>209.07693331558633</v>
      </c>
      <c r="G176" s="60" t="s">
        <v>73</v>
      </c>
      <c r="H176">
        <v>30.105856969999998</v>
      </c>
    </row>
    <row r="177" spans="1:8" x14ac:dyDescent="0.2">
      <c r="A177" s="50">
        <v>43228</v>
      </c>
      <c r="B177" s="51">
        <v>0.48125000000000001</v>
      </c>
      <c r="C177" s="49" t="s">
        <v>68</v>
      </c>
      <c r="D177" s="57" t="s">
        <v>296</v>
      </c>
      <c r="E177" s="53" t="s">
        <v>103</v>
      </c>
      <c r="F177" s="9">
        <v>209.07693331558633</v>
      </c>
      <c r="G177" s="60" t="s">
        <v>73</v>
      </c>
      <c r="H177">
        <v>137.92836735999995</v>
      </c>
    </row>
    <row r="178" spans="1:8" x14ac:dyDescent="0.2">
      <c r="A178" s="50">
        <v>43228</v>
      </c>
      <c r="B178" s="51">
        <v>0.48125000000000001</v>
      </c>
      <c r="C178" s="49" t="s">
        <v>68</v>
      </c>
      <c r="D178" s="57" t="s">
        <v>190</v>
      </c>
      <c r="E178" s="53" t="s">
        <v>191</v>
      </c>
      <c r="F178" s="9">
        <v>209.07693331558633</v>
      </c>
      <c r="G178" s="60" t="s">
        <v>73</v>
      </c>
      <c r="H178">
        <v>75.979500000000002</v>
      </c>
    </row>
    <row r="179" spans="1:8" x14ac:dyDescent="0.2">
      <c r="A179" s="50">
        <v>43228</v>
      </c>
      <c r="B179" s="51">
        <v>0.48125000000000001</v>
      </c>
      <c r="C179" s="49" t="s">
        <v>68</v>
      </c>
      <c r="D179" s="57" t="s">
        <v>86</v>
      </c>
      <c r="E179" s="53" t="s">
        <v>87</v>
      </c>
      <c r="F179" s="9">
        <v>2299.8462664714493</v>
      </c>
      <c r="G179" s="60" t="s">
        <v>73</v>
      </c>
      <c r="H179">
        <v>4.8490441650000005</v>
      </c>
    </row>
    <row r="180" spans="1:8" x14ac:dyDescent="0.2">
      <c r="A180" s="50">
        <v>43228</v>
      </c>
      <c r="B180" s="51">
        <v>0.48125000000000001</v>
      </c>
      <c r="C180" s="49" t="s">
        <v>68</v>
      </c>
      <c r="D180" s="57" t="s">
        <v>88</v>
      </c>
      <c r="E180" s="53" t="s">
        <v>89</v>
      </c>
      <c r="F180" s="9">
        <v>627.23079994675891</v>
      </c>
      <c r="G180" s="60" t="s">
        <v>73</v>
      </c>
      <c r="H180">
        <v>366.73665023999996</v>
      </c>
    </row>
    <row r="181" spans="1:8" x14ac:dyDescent="0.2">
      <c r="A181" s="50">
        <v>43228</v>
      </c>
      <c r="B181" s="51">
        <v>0.48125000000000001</v>
      </c>
      <c r="C181" s="49" t="s">
        <v>68</v>
      </c>
      <c r="D181" s="57" t="s">
        <v>94</v>
      </c>
      <c r="E181" s="53" t="s">
        <v>95</v>
      </c>
      <c r="F181" s="9">
        <v>86557.850392652734</v>
      </c>
      <c r="G181" s="60" t="s">
        <v>97</v>
      </c>
      <c r="H181">
        <v>0.17999999999999997</v>
      </c>
    </row>
    <row r="182" spans="1:8" x14ac:dyDescent="0.2">
      <c r="A182" s="50">
        <v>43228</v>
      </c>
      <c r="B182" s="51">
        <v>0.53125</v>
      </c>
      <c r="C182" s="49" t="s">
        <v>108</v>
      </c>
      <c r="D182" s="57" t="s">
        <v>86</v>
      </c>
      <c r="E182" s="53" t="s">
        <v>87</v>
      </c>
      <c r="F182" s="9">
        <v>2508.9231997870356</v>
      </c>
      <c r="G182" s="60" t="s">
        <v>73</v>
      </c>
      <c r="H182">
        <v>6.3706209216666645</v>
      </c>
    </row>
    <row r="183" spans="1:8" x14ac:dyDescent="0.2">
      <c r="A183" s="50">
        <v>43228</v>
      </c>
      <c r="B183" s="51">
        <v>0.53125</v>
      </c>
      <c r="C183" s="49" t="s">
        <v>108</v>
      </c>
      <c r="D183" s="57" t="s">
        <v>126</v>
      </c>
      <c r="E183" s="53" t="s">
        <v>127</v>
      </c>
      <c r="F183" s="9">
        <v>209.07693331558633</v>
      </c>
      <c r="G183" s="60" t="s">
        <v>73</v>
      </c>
      <c r="H183">
        <v>5.5134904499999999</v>
      </c>
    </row>
    <row r="184" spans="1:8" x14ac:dyDescent="0.2">
      <c r="A184" s="50">
        <v>43228</v>
      </c>
      <c r="B184" s="51">
        <v>0.53125</v>
      </c>
      <c r="C184" s="49" t="s">
        <v>108</v>
      </c>
      <c r="D184" s="57" t="s">
        <v>88</v>
      </c>
      <c r="E184" s="53" t="s">
        <v>89</v>
      </c>
      <c r="F184" s="9">
        <v>418.15386663117266</v>
      </c>
      <c r="G184" s="60" t="s">
        <v>73</v>
      </c>
      <c r="H184">
        <v>326.05934291999995</v>
      </c>
    </row>
    <row r="185" spans="1:8" x14ac:dyDescent="0.2">
      <c r="A185" s="50">
        <v>43228</v>
      </c>
      <c r="B185" s="51">
        <v>0.53125</v>
      </c>
      <c r="C185" s="49" t="s">
        <v>108</v>
      </c>
      <c r="D185" s="57" t="s">
        <v>94</v>
      </c>
      <c r="E185" s="53" t="s">
        <v>95</v>
      </c>
      <c r="F185" s="9">
        <v>85094.311859443638</v>
      </c>
      <c r="G185" s="60" t="s">
        <v>97</v>
      </c>
      <c r="H185">
        <v>0.17999999999999997</v>
      </c>
    </row>
    <row r="186" spans="1:8" x14ac:dyDescent="0.2">
      <c r="A186" s="50">
        <v>43228</v>
      </c>
      <c r="B186" s="51">
        <v>0.55763888888888902</v>
      </c>
      <c r="C186" s="49" t="s">
        <v>113</v>
      </c>
      <c r="D186" s="57" t="s">
        <v>69</v>
      </c>
      <c r="E186" s="53" t="s">
        <v>71</v>
      </c>
      <c r="F186" s="9">
        <v>229.98462664714492</v>
      </c>
      <c r="G186" s="60" t="s">
        <v>73</v>
      </c>
      <c r="H186">
        <v>499.97226753750004</v>
      </c>
    </row>
    <row r="187" spans="1:8" x14ac:dyDescent="0.2">
      <c r="A187" s="50">
        <v>43228</v>
      </c>
      <c r="B187" s="51">
        <v>0.55763888888888902</v>
      </c>
      <c r="C187" s="49" t="s">
        <v>113</v>
      </c>
      <c r="D187" s="57" t="s">
        <v>102</v>
      </c>
      <c r="E187" s="53" t="s">
        <v>103</v>
      </c>
      <c r="F187" s="9">
        <v>229.98462664714492</v>
      </c>
      <c r="G187" s="60" t="s">
        <v>73</v>
      </c>
      <c r="H187">
        <v>380.40256674</v>
      </c>
    </row>
    <row r="188" spans="1:8" x14ac:dyDescent="0.2">
      <c r="A188" s="50">
        <v>43228</v>
      </c>
      <c r="B188" s="51">
        <v>0.55763888888888902</v>
      </c>
      <c r="C188" s="49" t="s">
        <v>113</v>
      </c>
      <c r="D188" s="57" t="s">
        <v>146</v>
      </c>
      <c r="E188" s="53" t="s">
        <v>147</v>
      </c>
      <c r="F188" s="9">
        <v>229.98462664714492</v>
      </c>
      <c r="G188" s="60" t="s">
        <v>73</v>
      </c>
      <c r="H188">
        <v>223.23667301499998</v>
      </c>
    </row>
    <row r="189" spans="1:8" x14ac:dyDescent="0.2">
      <c r="A189" s="50">
        <v>43228</v>
      </c>
      <c r="B189" s="51">
        <v>0.55763888888888902</v>
      </c>
      <c r="C189" s="49" t="s">
        <v>113</v>
      </c>
      <c r="D189" s="57" t="s">
        <v>86</v>
      </c>
      <c r="E189" s="53" t="s">
        <v>87</v>
      </c>
      <c r="F189" s="9">
        <v>4139.7232796486087</v>
      </c>
      <c r="G189" s="60" t="s">
        <v>73</v>
      </c>
      <c r="H189">
        <v>4.8490441650000005</v>
      </c>
    </row>
    <row r="190" spans="1:8" x14ac:dyDescent="0.2">
      <c r="A190" s="50">
        <v>43228</v>
      </c>
      <c r="B190" s="51">
        <v>0.55763888888888902</v>
      </c>
      <c r="C190" s="49" t="s">
        <v>113</v>
      </c>
      <c r="D190" s="57" t="s">
        <v>88</v>
      </c>
      <c r="E190" s="53" t="s">
        <v>89</v>
      </c>
      <c r="F190" s="9">
        <v>229.98462664714492</v>
      </c>
      <c r="G190" s="60" t="s">
        <v>73</v>
      </c>
      <c r="H190">
        <v>538.67979792749986</v>
      </c>
    </row>
    <row r="191" spans="1:8" x14ac:dyDescent="0.2">
      <c r="A191" s="50">
        <v>43228</v>
      </c>
      <c r="B191" s="51">
        <v>0.55763888888888902</v>
      </c>
      <c r="C191" s="49" t="s">
        <v>113</v>
      </c>
      <c r="D191" s="57" t="s">
        <v>92</v>
      </c>
      <c r="E191" s="53" t="s">
        <v>89</v>
      </c>
      <c r="F191" s="9">
        <v>229.98462664714492</v>
      </c>
      <c r="G191" s="60" t="s">
        <v>73</v>
      </c>
      <c r="H191">
        <v>45.979264043333323</v>
      </c>
    </row>
    <row r="192" spans="1:8" x14ac:dyDescent="0.2">
      <c r="A192" s="50">
        <v>43228</v>
      </c>
      <c r="B192" s="51">
        <v>0.55763888888888902</v>
      </c>
      <c r="C192" s="49" t="s">
        <v>113</v>
      </c>
      <c r="D192" s="57" t="s">
        <v>94</v>
      </c>
      <c r="E192" s="53" t="s">
        <v>95</v>
      </c>
      <c r="F192" s="9">
        <v>87394.15812591507</v>
      </c>
      <c r="G192" s="60" t="s">
        <v>97</v>
      </c>
      <c r="H192">
        <v>0.17999999999999997</v>
      </c>
    </row>
    <row r="193" spans="1:8" x14ac:dyDescent="0.2">
      <c r="A193" s="50">
        <v>43228</v>
      </c>
      <c r="B193" s="51">
        <v>0.56944444444444398</v>
      </c>
      <c r="C193" s="49" t="s">
        <v>144</v>
      </c>
      <c r="D193" s="57" t="s">
        <v>69</v>
      </c>
      <c r="E193" s="53" t="s">
        <v>71</v>
      </c>
      <c r="F193" s="9">
        <v>511.07694810476653</v>
      </c>
      <c r="G193" s="60" t="s">
        <v>73</v>
      </c>
      <c r="H193">
        <v>928.98072935999994</v>
      </c>
    </row>
    <row r="194" spans="1:8" x14ac:dyDescent="0.2">
      <c r="A194" s="50">
        <v>43228</v>
      </c>
      <c r="B194" s="51">
        <v>0.56944444444444398</v>
      </c>
      <c r="C194" s="49" t="s">
        <v>144</v>
      </c>
      <c r="D194" s="57" t="s">
        <v>81</v>
      </c>
      <c r="E194" s="53" t="s">
        <v>83</v>
      </c>
      <c r="F194" s="9">
        <v>511.07694810476653</v>
      </c>
      <c r="G194" s="60" t="s">
        <v>73</v>
      </c>
      <c r="H194">
        <v>47.105000459999992</v>
      </c>
    </row>
    <row r="195" spans="1:8" x14ac:dyDescent="0.2">
      <c r="A195" s="50">
        <v>43228</v>
      </c>
      <c r="B195" s="51">
        <v>0.56944444444444398</v>
      </c>
      <c r="C195" s="49" t="s">
        <v>144</v>
      </c>
      <c r="D195" s="57" t="s">
        <v>86</v>
      </c>
      <c r="E195" s="53" t="s">
        <v>87</v>
      </c>
      <c r="F195" s="9">
        <v>2299.8462664714493</v>
      </c>
      <c r="G195" s="60" t="s">
        <v>73</v>
      </c>
      <c r="H195">
        <v>11.494030613333329</v>
      </c>
    </row>
    <row r="196" spans="1:8" x14ac:dyDescent="0.2">
      <c r="A196" s="50">
        <v>43228</v>
      </c>
      <c r="B196" s="51">
        <v>0.56944444444444398</v>
      </c>
      <c r="C196" s="49" t="s">
        <v>144</v>
      </c>
      <c r="D196" s="57" t="s">
        <v>206</v>
      </c>
      <c r="E196" s="53" t="s">
        <v>207</v>
      </c>
      <c r="F196" s="9">
        <v>255.53847405238326</v>
      </c>
      <c r="G196" s="60" t="s">
        <v>73</v>
      </c>
      <c r="H196">
        <v>26.521826378333333</v>
      </c>
    </row>
    <row r="197" spans="1:8" x14ac:dyDescent="0.2">
      <c r="A197" s="50">
        <v>43228</v>
      </c>
      <c r="B197" s="51">
        <v>0.56944444444444398</v>
      </c>
      <c r="C197" s="49" t="s">
        <v>144</v>
      </c>
      <c r="D197" s="58" t="s">
        <v>179</v>
      </c>
      <c r="E197" s="53" t="s">
        <v>180</v>
      </c>
      <c r="F197" s="9">
        <v>255.53847405238326</v>
      </c>
      <c r="G197" s="60" t="s">
        <v>73</v>
      </c>
      <c r="H197">
        <v>81.987121426666647</v>
      </c>
    </row>
    <row r="198" spans="1:8" x14ac:dyDescent="0.2">
      <c r="A198" s="50">
        <v>43228</v>
      </c>
      <c r="B198" s="51">
        <v>0.56944444444444398</v>
      </c>
      <c r="C198" s="49" t="s">
        <v>144</v>
      </c>
      <c r="D198" s="57" t="s">
        <v>88</v>
      </c>
      <c r="E198" s="53" t="s">
        <v>89</v>
      </c>
      <c r="F198" s="9">
        <v>255.53847405238326</v>
      </c>
      <c r="G198" s="60" t="s">
        <v>73</v>
      </c>
      <c r="H198">
        <v>337.38084788249995</v>
      </c>
    </row>
    <row r="199" spans="1:8" x14ac:dyDescent="0.2">
      <c r="A199" s="50">
        <v>43228</v>
      </c>
      <c r="B199" s="51">
        <v>0.56944444444444398</v>
      </c>
      <c r="C199" s="49" t="s">
        <v>144</v>
      </c>
      <c r="D199" s="57" t="s">
        <v>92</v>
      </c>
      <c r="E199" s="53" t="s">
        <v>89</v>
      </c>
      <c r="F199" s="9">
        <v>1022.1538962095331</v>
      </c>
      <c r="G199" s="60" t="s">
        <v>73</v>
      </c>
      <c r="H199">
        <v>76.353203359999995</v>
      </c>
    </row>
    <row r="200" spans="1:8" x14ac:dyDescent="0.2">
      <c r="A200" s="50">
        <v>43228</v>
      </c>
      <c r="B200" s="51">
        <v>0.56944444444444398</v>
      </c>
      <c r="C200" s="49" t="s">
        <v>144</v>
      </c>
      <c r="D200" s="57" t="s">
        <v>94</v>
      </c>
      <c r="E200" s="53" t="s">
        <v>95</v>
      </c>
      <c r="F200" s="9">
        <v>97104.620139905644</v>
      </c>
      <c r="G200" s="60" t="s">
        <v>97</v>
      </c>
      <c r="H200">
        <v>0.17999999999999997</v>
      </c>
    </row>
    <row r="201" spans="1:8" x14ac:dyDescent="0.2">
      <c r="A201" s="50">
        <v>43228</v>
      </c>
      <c r="B201" s="51">
        <v>0.58958333333333302</v>
      </c>
      <c r="C201" s="49" t="s">
        <v>173</v>
      </c>
      <c r="D201" s="57" t="s">
        <v>69</v>
      </c>
      <c r="E201" s="53" t="s">
        <v>71</v>
      </c>
      <c r="F201" s="9">
        <v>278.76924442078177</v>
      </c>
      <c r="G201" s="60" t="s">
        <v>73</v>
      </c>
      <c r="H201">
        <v>555.33101032499997</v>
      </c>
    </row>
    <row r="202" spans="1:8" x14ac:dyDescent="0.2">
      <c r="A202" s="50">
        <v>43228</v>
      </c>
      <c r="B202" s="51">
        <v>0.58958333333333302</v>
      </c>
      <c r="C202" s="49" t="s">
        <v>173</v>
      </c>
      <c r="D202" s="57" t="s">
        <v>81</v>
      </c>
      <c r="E202" s="53" t="s">
        <v>83</v>
      </c>
      <c r="F202" s="9">
        <v>139.38462221039089</v>
      </c>
      <c r="G202" s="60" t="s">
        <v>73</v>
      </c>
      <c r="H202">
        <v>87.671304933333303</v>
      </c>
    </row>
    <row r="203" spans="1:8" x14ac:dyDescent="0.2">
      <c r="A203" s="50">
        <v>43228</v>
      </c>
      <c r="B203" s="51">
        <v>0.58958333333333302</v>
      </c>
      <c r="C203" s="49" t="s">
        <v>173</v>
      </c>
      <c r="D203" s="57" t="s">
        <v>243</v>
      </c>
      <c r="E203" s="53" t="s">
        <v>87</v>
      </c>
      <c r="F203" s="9">
        <v>2090.7693331558635</v>
      </c>
      <c r="G203" s="60" t="s">
        <v>73</v>
      </c>
      <c r="H203">
        <v>9.2027643066666673</v>
      </c>
    </row>
    <row r="204" spans="1:8" x14ac:dyDescent="0.2">
      <c r="A204" s="50">
        <v>43228</v>
      </c>
      <c r="B204" s="51">
        <v>0.58958333333333302</v>
      </c>
      <c r="C204" s="49" t="s">
        <v>173</v>
      </c>
      <c r="D204" s="57" t="s">
        <v>94</v>
      </c>
      <c r="E204" s="53" t="s">
        <v>95</v>
      </c>
      <c r="F204" s="9">
        <v>53244.925684369322</v>
      </c>
      <c r="G204" s="60" t="s">
        <v>97</v>
      </c>
      <c r="H204">
        <v>0.17999999999999997</v>
      </c>
    </row>
    <row r="205" spans="1:8" x14ac:dyDescent="0.2">
      <c r="A205" s="50">
        <v>43228</v>
      </c>
      <c r="B205" s="51">
        <v>0.59791666666666698</v>
      </c>
      <c r="C205" s="49" t="s">
        <v>209</v>
      </c>
      <c r="D205" s="57" t="s">
        <v>102</v>
      </c>
      <c r="E205" s="53" t="s">
        <v>103</v>
      </c>
      <c r="F205" s="9">
        <v>383.30771107857493</v>
      </c>
      <c r="G205" s="60" t="s">
        <v>73</v>
      </c>
      <c r="H205">
        <v>91.131242719999989</v>
      </c>
    </row>
    <row r="206" spans="1:8" x14ac:dyDescent="0.2">
      <c r="A206" s="50">
        <v>43228</v>
      </c>
      <c r="B206" s="51">
        <v>0.59791666666666698</v>
      </c>
      <c r="C206" s="49" t="s">
        <v>209</v>
      </c>
      <c r="D206" s="57" t="s">
        <v>86</v>
      </c>
      <c r="E206" s="53" t="s">
        <v>87</v>
      </c>
      <c r="F206" s="9">
        <v>6899.5387994143484</v>
      </c>
      <c r="G206" s="60" t="s">
        <v>73</v>
      </c>
      <c r="H206">
        <v>11.494030613333329</v>
      </c>
    </row>
    <row r="207" spans="1:8" x14ac:dyDescent="0.2">
      <c r="A207" s="50">
        <v>43228</v>
      </c>
      <c r="B207" s="51">
        <v>0.59791666666666698</v>
      </c>
      <c r="C207" s="49" t="s">
        <v>209</v>
      </c>
      <c r="D207" s="57" t="s">
        <v>94</v>
      </c>
      <c r="E207" s="53" t="s">
        <v>95</v>
      </c>
      <c r="F207" s="9">
        <v>152939.77672035139</v>
      </c>
      <c r="G207" s="60" t="s">
        <v>97</v>
      </c>
      <c r="H207">
        <v>0.17999999999999997</v>
      </c>
    </row>
    <row r="208" spans="1:8" x14ac:dyDescent="0.2">
      <c r="A208" s="50">
        <v>43228</v>
      </c>
      <c r="B208" s="51">
        <v>0.60069444444444398</v>
      </c>
      <c r="C208" s="49" t="s">
        <v>158</v>
      </c>
      <c r="D208" s="57" t="s">
        <v>343</v>
      </c>
      <c r="E208" s="53" t="s">
        <v>344</v>
      </c>
      <c r="F208" s="9">
        <v>229.98462664714492</v>
      </c>
      <c r="G208" s="60" t="s">
        <v>73</v>
      </c>
      <c r="H208">
        <v>117.17553316166666</v>
      </c>
    </row>
    <row r="209" spans="1:8" x14ac:dyDescent="0.2">
      <c r="A209" s="50">
        <v>43228</v>
      </c>
      <c r="B209" s="51">
        <v>0.60069444444444398</v>
      </c>
      <c r="C209" s="49" t="s">
        <v>158</v>
      </c>
      <c r="D209" s="57" t="s">
        <v>81</v>
      </c>
      <c r="E209" s="53" t="s">
        <v>83</v>
      </c>
      <c r="F209" s="9">
        <v>229.98462664714492</v>
      </c>
      <c r="G209" s="60" t="s">
        <v>73</v>
      </c>
      <c r="H209">
        <v>62.044308106666655</v>
      </c>
    </row>
    <row r="210" spans="1:8" x14ac:dyDescent="0.2">
      <c r="A210" s="50">
        <v>43228</v>
      </c>
      <c r="B210" s="51">
        <v>0.60069444444444398</v>
      </c>
      <c r="C210" s="49" t="s">
        <v>158</v>
      </c>
      <c r="D210" s="57" t="s">
        <v>86</v>
      </c>
      <c r="E210" s="53" t="s">
        <v>87</v>
      </c>
      <c r="F210" s="9">
        <v>1839.8770131771594</v>
      </c>
      <c r="G210" s="60" t="s">
        <v>73</v>
      </c>
      <c r="H210">
        <v>6.3706209216666645</v>
      </c>
    </row>
    <row r="211" spans="1:8" x14ac:dyDescent="0.2">
      <c r="A211" s="50">
        <v>43228</v>
      </c>
      <c r="B211" s="51">
        <v>0.60069444444444398</v>
      </c>
      <c r="C211" s="49" t="s">
        <v>158</v>
      </c>
      <c r="D211" s="57" t="s">
        <v>88</v>
      </c>
      <c r="E211" s="53" t="s">
        <v>89</v>
      </c>
      <c r="F211" s="9">
        <v>229.98462664714492</v>
      </c>
      <c r="G211" s="60" t="s">
        <v>73</v>
      </c>
      <c r="H211">
        <v>337.38084788249995</v>
      </c>
    </row>
    <row r="212" spans="1:8" x14ac:dyDescent="0.2">
      <c r="A212" s="50">
        <v>43228</v>
      </c>
      <c r="B212" s="51">
        <v>0.60069444444444398</v>
      </c>
      <c r="C212" s="49" t="s">
        <v>158</v>
      </c>
      <c r="D212" s="57" t="s">
        <v>92</v>
      </c>
      <c r="E212" s="53" t="s">
        <v>89</v>
      </c>
      <c r="F212" s="9">
        <v>229.98462664714492</v>
      </c>
      <c r="G212" s="60" t="s">
        <v>73</v>
      </c>
      <c r="H212">
        <v>83.742223039999971</v>
      </c>
    </row>
    <row r="213" spans="1:8" x14ac:dyDescent="0.2">
      <c r="A213" s="50">
        <v>43228</v>
      </c>
      <c r="B213" s="51">
        <v>0.60069444444444398</v>
      </c>
      <c r="C213" s="49" t="s">
        <v>158</v>
      </c>
      <c r="D213" s="57" t="s">
        <v>94</v>
      </c>
      <c r="E213" s="53" t="s">
        <v>95</v>
      </c>
      <c r="F213" s="9">
        <v>95673.604685212296</v>
      </c>
      <c r="G213" s="60" t="s">
        <v>97</v>
      </c>
      <c r="H213">
        <v>0.17999999999999997</v>
      </c>
    </row>
    <row r="214" spans="1:8" x14ac:dyDescent="0.2">
      <c r="A214" s="50">
        <v>43228</v>
      </c>
      <c r="B214" s="51">
        <v>0.62013888888888902</v>
      </c>
      <c r="C214" s="49" t="s">
        <v>170</v>
      </c>
      <c r="D214" s="57" t="s">
        <v>86</v>
      </c>
      <c r="E214" s="53" t="s">
        <v>87</v>
      </c>
      <c r="F214" s="9">
        <v>1341.5769887750121</v>
      </c>
      <c r="G214" s="60" t="s">
        <v>73</v>
      </c>
      <c r="H214">
        <v>9.2027643066666673</v>
      </c>
    </row>
    <row r="215" spans="1:8" x14ac:dyDescent="0.2">
      <c r="A215" s="50">
        <v>43228</v>
      </c>
      <c r="B215" s="51">
        <v>0.62013888888888902</v>
      </c>
      <c r="C215" s="49" t="s">
        <v>170</v>
      </c>
      <c r="D215" s="57" t="s">
        <v>94</v>
      </c>
      <c r="E215" s="53" t="s">
        <v>95</v>
      </c>
      <c r="F215" s="9">
        <v>76469.888360175697</v>
      </c>
      <c r="G215" s="60" t="s">
        <v>97</v>
      </c>
      <c r="H215">
        <v>0.17999999999999997</v>
      </c>
    </row>
    <row r="216" spans="1:8" x14ac:dyDescent="0.2">
      <c r="A216" s="50">
        <v>43256</v>
      </c>
      <c r="B216" s="51">
        <v>0.37152777777777801</v>
      </c>
      <c r="C216" s="49" t="s">
        <v>226</v>
      </c>
      <c r="D216" s="57" t="s">
        <v>69</v>
      </c>
      <c r="E216" s="53" t="s">
        <v>71</v>
      </c>
      <c r="F216" s="9">
        <v>985.64839991633551</v>
      </c>
      <c r="G216" s="60" t="s">
        <v>73</v>
      </c>
      <c r="H216">
        <v>577.38732831749996</v>
      </c>
    </row>
    <row r="217" spans="1:8" x14ac:dyDescent="0.2">
      <c r="A217" s="50">
        <v>43256</v>
      </c>
      <c r="B217" s="51">
        <v>0.37152777777777801</v>
      </c>
      <c r="C217" s="49" t="s">
        <v>226</v>
      </c>
      <c r="D217" s="57" t="s">
        <v>102</v>
      </c>
      <c r="E217" s="53" t="s">
        <v>103</v>
      </c>
      <c r="F217" s="9">
        <v>328.54946663877848</v>
      </c>
      <c r="G217" s="60" t="s">
        <v>73</v>
      </c>
      <c r="H217">
        <v>61.490341069999992</v>
      </c>
    </row>
    <row r="218" spans="1:8" x14ac:dyDescent="0.2">
      <c r="A218" s="50">
        <v>43256</v>
      </c>
      <c r="B218" s="51">
        <v>0.37152777777777801</v>
      </c>
      <c r="C218" s="49" t="s">
        <v>226</v>
      </c>
      <c r="D218" s="57" t="s">
        <v>172</v>
      </c>
      <c r="E218" s="53" t="s">
        <v>83</v>
      </c>
      <c r="F218" s="9">
        <v>328.54946663877848</v>
      </c>
      <c r="G218" s="60" t="s">
        <v>73</v>
      </c>
      <c r="H218">
        <v>87.671304933333303</v>
      </c>
    </row>
    <row r="219" spans="1:8" x14ac:dyDescent="0.2">
      <c r="A219" s="50">
        <v>43256</v>
      </c>
      <c r="B219" s="51">
        <v>0.37152777777777801</v>
      </c>
      <c r="C219" s="49" t="s">
        <v>226</v>
      </c>
      <c r="D219" s="57" t="s">
        <v>86</v>
      </c>
      <c r="E219" s="53" t="s">
        <v>87</v>
      </c>
      <c r="F219" s="9">
        <v>3285.4946663877854</v>
      </c>
      <c r="G219" s="60" t="s">
        <v>73</v>
      </c>
      <c r="H219">
        <v>9.2027643066666673</v>
      </c>
    </row>
    <row r="220" spans="1:8" x14ac:dyDescent="0.2">
      <c r="A220" s="50">
        <v>43256</v>
      </c>
      <c r="B220" s="51">
        <v>0.37152777777777801</v>
      </c>
      <c r="C220" s="49" t="s">
        <v>226</v>
      </c>
      <c r="D220" s="57" t="s">
        <v>94</v>
      </c>
      <c r="E220" s="53" t="s">
        <v>95</v>
      </c>
      <c r="F220" s="9">
        <v>132405.43505542772</v>
      </c>
      <c r="G220" s="60" t="s">
        <v>97</v>
      </c>
      <c r="H220">
        <v>0.17999999999999997</v>
      </c>
    </row>
    <row r="221" spans="1:8" x14ac:dyDescent="0.2">
      <c r="A221" s="50">
        <v>43256</v>
      </c>
      <c r="B221" s="51">
        <v>0.40277777777777801</v>
      </c>
      <c r="C221" s="49" t="s">
        <v>222</v>
      </c>
      <c r="D221" s="57" t="s">
        <v>69</v>
      </c>
      <c r="E221" s="53" t="s">
        <v>71</v>
      </c>
      <c r="F221" s="9">
        <v>287.48078330893117</v>
      </c>
      <c r="G221" s="60" t="s">
        <v>73</v>
      </c>
      <c r="H221">
        <v>331.97809847999991</v>
      </c>
    </row>
    <row r="222" spans="1:8" x14ac:dyDescent="0.2">
      <c r="A222" s="50">
        <v>43256</v>
      </c>
      <c r="B222" s="51">
        <v>0.40277777777777801</v>
      </c>
      <c r="C222" s="49" t="s">
        <v>222</v>
      </c>
      <c r="D222" s="57" t="s">
        <v>296</v>
      </c>
      <c r="E222" s="53" t="s">
        <v>103</v>
      </c>
      <c r="F222" s="9">
        <v>287.48078330893117</v>
      </c>
      <c r="G222" s="60" t="s">
        <v>73</v>
      </c>
      <c r="H222">
        <v>380.40256674</v>
      </c>
    </row>
    <row r="223" spans="1:8" x14ac:dyDescent="0.2">
      <c r="A223" s="50">
        <v>43256</v>
      </c>
      <c r="B223" s="51">
        <v>0.40277777777777801</v>
      </c>
      <c r="C223" s="49" t="s">
        <v>222</v>
      </c>
      <c r="D223" s="57" t="s">
        <v>190</v>
      </c>
      <c r="E223" s="53" t="s">
        <v>191</v>
      </c>
      <c r="F223" s="9">
        <v>287.48078330893117</v>
      </c>
      <c r="G223" s="60" t="s">
        <v>73</v>
      </c>
      <c r="H223">
        <v>126.63250000000001</v>
      </c>
    </row>
    <row r="224" spans="1:8" x14ac:dyDescent="0.2">
      <c r="A224" s="50">
        <v>43256</v>
      </c>
      <c r="B224" s="51">
        <v>0.40277777777777801</v>
      </c>
      <c r="C224" s="49" t="s">
        <v>222</v>
      </c>
      <c r="D224" s="57" t="s">
        <v>86</v>
      </c>
      <c r="E224" s="53" t="s">
        <v>87</v>
      </c>
      <c r="F224" s="9">
        <v>3737.2501830161054</v>
      </c>
      <c r="G224" s="60" t="s">
        <v>73</v>
      </c>
      <c r="H224">
        <v>7.2382233599999992</v>
      </c>
    </row>
    <row r="225" spans="1:8" x14ac:dyDescent="0.2">
      <c r="A225" s="50">
        <v>43256</v>
      </c>
      <c r="B225" s="51">
        <v>0.40277777777777801</v>
      </c>
      <c r="C225" s="49" t="s">
        <v>222</v>
      </c>
      <c r="D225" s="58" t="s">
        <v>282</v>
      </c>
      <c r="E225" s="53" t="s">
        <v>127</v>
      </c>
      <c r="F225" s="9">
        <v>287.48078330893117</v>
      </c>
      <c r="G225" s="60" t="s">
        <v>73</v>
      </c>
      <c r="H225">
        <v>17.578766844999997</v>
      </c>
    </row>
    <row r="226" spans="1:8" x14ac:dyDescent="0.2">
      <c r="A226" s="50">
        <v>43256</v>
      </c>
      <c r="B226" s="51">
        <v>0.40277777777777801</v>
      </c>
      <c r="C226" s="49" t="s">
        <v>222</v>
      </c>
      <c r="D226" s="57" t="s">
        <v>304</v>
      </c>
      <c r="E226" s="53" t="s">
        <v>89</v>
      </c>
      <c r="F226" s="9">
        <v>574.96156661786233</v>
      </c>
      <c r="G226" s="60" t="s">
        <v>73</v>
      </c>
      <c r="H226">
        <v>76.353203359999995</v>
      </c>
    </row>
    <row r="227" spans="1:8" x14ac:dyDescent="0.2">
      <c r="A227" s="50">
        <v>43256</v>
      </c>
      <c r="B227" s="51">
        <v>0.40277777777777801</v>
      </c>
      <c r="C227" s="49" t="s">
        <v>222</v>
      </c>
      <c r="D227" s="57" t="s">
        <v>94</v>
      </c>
      <c r="E227" s="53" t="s">
        <v>95</v>
      </c>
      <c r="F227" s="9">
        <v>125629.10230600294</v>
      </c>
      <c r="G227" s="60" t="s">
        <v>97</v>
      </c>
      <c r="H227">
        <v>0.17999999999999997</v>
      </c>
    </row>
    <row r="228" spans="1:8" x14ac:dyDescent="0.2">
      <c r="A228" s="50">
        <v>43256</v>
      </c>
      <c r="B228" s="51">
        <v>0.40277777777777801</v>
      </c>
      <c r="C228" s="49" t="s">
        <v>222</v>
      </c>
      <c r="D228" s="58" t="s">
        <v>301</v>
      </c>
      <c r="E228" s="53" t="s">
        <v>302</v>
      </c>
      <c r="F228" s="9">
        <v>287.48078330893117</v>
      </c>
      <c r="G228" s="60" t="s">
        <v>97</v>
      </c>
      <c r="H228">
        <v>0.381703185</v>
      </c>
    </row>
    <row r="229" spans="1:8" x14ac:dyDescent="0.2">
      <c r="A229" s="50">
        <v>43256</v>
      </c>
      <c r="B229" s="51">
        <v>0.42708333333333298</v>
      </c>
      <c r="C229" s="49" t="s">
        <v>219</v>
      </c>
      <c r="D229" s="57" t="s">
        <v>86</v>
      </c>
      <c r="E229" s="53" t="s">
        <v>87</v>
      </c>
      <c r="F229" s="9">
        <v>5519.6310395314786</v>
      </c>
      <c r="G229" s="60" t="s">
        <v>73</v>
      </c>
      <c r="H229">
        <v>6.3706209216666645</v>
      </c>
    </row>
    <row r="230" spans="1:8" x14ac:dyDescent="0.2">
      <c r="A230" s="50">
        <v>43256</v>
      </c>
      <c r="B230" s="51">
        <v>0.42708333333333298</v>
      </c>
      <c r="C230" s="49" t="s">
        <v>219</v>
      </c>
      <c r="D230" s="58" t="s">
        <v>282</v>
      </c>
      <c r="E230" s="53" t="s">
        <v>127</v>
      </c>
      <c r="F230" s="9">
        <v>1379.9077598828696</v>
      </c>
      <c r="G230" s="60" t="s">
        <v>73</v>
      </c>
      <c r="H230">
        <v>22.807943399999999</v>
      </c>
    </row>
    <row r="231" spans="1:8" x14ac:dyDescent="0.2">
      <c r="A231" s="50">
        <v>43256</v>
      </c>
      <c r="B231" s="51">
        <v>0.42708333333333298</v>
      </c>
      <c r="C231" s="49" t="s">
        <v>219</v>
      </c>
      <c r="D231" s="57" t="s">
        <v>92</v>
      </c>
      <c r="E231" s="53" t="s">
        <v>89</v>
      </c>
      <c r="F231" s="9">
        <v>919.93850658857968</v>
      </c>
      <c r="G231" s="60" t="s">
        <v>73</v>
      </c>
      <c r="H231">
        <v>91.570541721666629</v>
      </c>
    </row>
    <row r="232" spans="1:8" x14ac:dyDescent="0.2">
      <c r="A232" s="50">
        <v>43256</v>
      </c>
      <c r="B232" s="51">
        <v>0.42708333333333298</v>
      </c>
      <c r="C232" s="49" t="s">
        <v>219</v>
      </c>
      <c r="D232" s="57" t="s">
        <v>94</v>
      </c>
      <c r="E232" s="53" t="s">
        <v>95</v>
      </c>
      <c r="F232" s="9">
        <v>194107.02489019031</v>
      </c>
      <c r="G232" s="60" t="s">
        <v>97</v>
      </c>
      <c r="H232">
        <v>0.17999999999999997</v>
      </c>
    </row>
    <row r="233" spans="1:8" x14ac:dyDescent="0.2">
      <c r="A233" s="50">
        <v>43256</v>
      </c>
      <c r="B233" s="51">
        <v>0.43472222222222201</v>
      </c>
      <c r="C233" s="49" t="s">
        <v>247</v>
      </c>
      <c r="D233" s="57" t="s">
        <v>102</v>
      </c>
      <c r="E233" s="53" t="s">
        <v>103</v>
      </c>
      <c r="F233" s="9">
        <v>209.07693331558633</v>
      </c>
      <c r="G233" s="60" t="s">
        <v>73</v>
      </c>
      <c r="H233">
        <v>380.40256674</v>
      </c>
    </row>
    <row r="234" spans="1:8" x14ac:dyDescent="0.2">
      <c r="A234" s="50">
        <v>43256</v>
      </c>
      <c r="B234" s="51">
        <v>0.43472222222222201</v>
      </c>
      <c r="C234" s="49" t="s">
        <v>247</v>
      </c>
      <c r="D234" s="58" t="s">
        <v>229</v>
      </c>
      <c r="E234" s="53" t="s">
        <v>138</v>
      </c>
      <c r="F234" s="9">
        <v>209.07693331558633</v>
      </c>
      <c r="G234" s="60" t="s">
        <v>73</v>
      </c>
      <c r="H234">
        <v>34.482091839999988</v>
      </c>
    </row>
    <row r="235" spans="1:8" x14ac:dyDescent="0.2">
      <c r="A235" s="50">
        <v>43256</v>
      </c>
      <c r="B235" s="51">
        <v>0.43472222222222201</v>
      </c>
      <c r="C235" s="49" t="s">
        <v>247</v>
      </c>
      <c r="D235" s="57" t="s">
        <v>81</v>
      </c>
      <c r="E235" s="53" t="s">
        <v>83</v>
      </c>
      <c r="F235" s="9">
        <v>209.07693331558633</v>
      </c>
      <c r="G235" s="60" t="s">
        <v>73</v>
      </c>
      <c r="H235">
        <v>87.671304933333303</v>
      </c>
    </row>
    <row r="236" spans="1:8" x14ac:dyDescent="0.2">
      <c r="A236" s="50">
        <v>43256</v>
      </c>
      <c r="B236" s="51">
        <v>0.43472222222222201</v>
      </c>
      <c r="C236" s="49" t="s">
        <v>247</v>
      </c>
      <c r="D236" s="57" t="s">
        <v>86</v>
      </c>
      <c r="E236" s="53" t="s">
        <v>87</v>
      </c>
      <c r="F236" s="9">
        <v>6272.30799946759</v>
      </c>
      <c r="G236" s="60" t="s">
        <v>73</v>
      </c>
      <c r="H236">
        <v>11.494030613333329</v>
      </c>
    </row>
    <row r="237" spans="1:8" x14ac:dyDescent="0.2">
      <c r="A237" s="50">
        <v>43256</v>
      </c>
      <c r="B237" s="51">
        <v>0.43472222222222201</v>
      </c>
      <c r="C237" s="49" t="s">
        <v>247</v>
      </c>
      <c r="D237" s="57" t="s">
        <v>287</v>
      </c>
      <c r="E237" s="53" t="s">
        <v>288</v>
      </c>
      <c r="F237" s="9">
        <v>209.07693331558633</v>
      </c>
      <c r="G237" s="60" t="s">
        <v>73</v>
      </c>
      <c r="H237">
        <v>3.21266847375</v>
      </c>
    </row>
    <row r="238" spans="1:8" x14ac:dyDescent="0.2">
      <c r="A238" s="50">
        <v>43256</v>
      </c>
      <c r="B238" s="51">
        <v>0.43472222222222201</v>
      </c>
      <c r="C238" s="49" t="s">
        <v>247</v>
      </c>
      <c r="D238" s="58" t="s">
        <v>197</v>
      </c>
      <c r="E238" s="53" t="s">
        <v>198</v>
      </c>
      <c r="F238" s="9">
        <v>209.07693331558633</v>
      </c>
      <c r="G238" s="60" t="s">
        <v>73</v>
      </c>
      <c r="H238">
        <v>15.188540453333331</v>
      </c>
    </row>
    <row r="239" spans="1:8" x14ac:dyDescent="0.2">
      <c r="A239" s="50">
        <v>43256</v>
      </c>
      <c r="B239" s="51">
        <v>0.43472222222222201</v>
      </c>
      <c r="C239" s="49" t="s">
        <v>247</v>
      </c>
      <c r="D239" s="58" t="s">
        <v>282</v>
      </c>
      <c r="E239" s="53" t="s">
        <v>127</v>
      </c>
      <c r="F239" s="9">
        <v>209.07693331558633</v>
      </c>
      <c r="G239" s="60" t="s">
        <v>73</v>
      </c>
      <c r="H239">
        <v>17.578766844999997</v>
      </c>
    </row>
    <row r="240" spans="1:8" x14ac:dyDescent="0.2">
      <c r="A240" s="50">
        <v>43256</v>
      </c>
      <c r="B240" s="51">
        <v>0.43472222222222201</v>
      </c>
      <c r="C240" s="49" t="s">
        <v>247</v>
      </c>
      <c r="D240" s="57" t="s">
        <v>206</v>
      </c>
      <c r="E240" s="53" t="s">
        <v>207</v>
      </c>
      <c r="F240" s="9">
        <v>209.07693331558633</v>
      </c>
      <c r="G240" s="60" t="s">
        <v>73</v>
      </c>
      <c r="H240">
        <v>32.973081443333328</v>
      </c>
    </row>
    <row r="241" spans="1:8" x14ac:dyDescent="0.2">
      <c r="A241" s="50">
        <v>43256</v>
      </c>
      <c r="B241" s="51">
        <v>0.43472222222222201</v>
      </c>
      <c r="C241" s="49" t="s">
        <v>247</v>
      </c>
      <c r="D241" s="57" t="s">
        <v>94</v>
      </c>
      <c r="E241" s="53" t="s">
        <v>95</v>
      </c>
      <c r="F241" s="9">
        <v>77358.465326766935</v>
      </c>
      <c r="G241" s="60" t="s">
        <v>97</v>
      </c>
      <c r="H241">
        <v>0.17999999999999997</v>
      </c>
    </row>
    <row r="242" spans="1:8" x14ac:dyDescent="0.2">
      <c r="A242" s="50">
        <v>43256</v>
      </c>
      <c r="B242" s="51">
        <v>0.43472222222222201</v>
      </c>
      <c r="C242" s="49" t="s">
        <v>247</v>
      </c>
      <c r="D242" s="58" t="s">
        <v>301</v>
      </c>
      <c r="E242" s="53" t="s">
        <v>302</v>
      </c>
      <c r="F242" s="9">
        <v>209.07693331558633</v>
      </c>
      <c r="G242" s="60" t="s">
        <v>97</v>
      </c>
      <c r="H242">
        <v>0.381703185</v>
      </c>
    </row>
    <row r="243" spans="1:8" x14ac:dyDescent="0.2">
      <c r="A243" s="50">
        <v>43256</v>
      </c>
      <c r="B243" s="51">
        <v>0.43541666666666701</v>
      </c>
      <c r="C243" s="49" t="s">
        <v>224</v>
      </c>
      <c r="D243" s="57" t="s">
        <v>69</v>
      </c>
      <c r="E243" s="53" t="s">
        <v>71</v>
      </c>
      <c r="F243" s="9">
        <v>574.96156661786233</v>
      </c>
      <c r="G243" s="60" t="s">
        <v>73</v>
      </c>
      <c r="H243">
        <v>438.17169445499997</v>
      </c>
    </row>
    <row r="244" spans="1:8" x14ac:dyDescent="0.2">
      <c r="A244" s="50">
        <v>43256</v>
      </c>
      <c r="B244" s="51">
        <v>0.43541666666666701</v>
      </c>
      <c r="C244" s="49" t="s">
        <v>224</v>
      </c>
      <c r="D244" s="57" t="s">
        <v>102</v>
      </c>
      <c r="E244" s="53" t="s">
        <v>103</v>
      </c>
      <c r="F244" s="9">
        <v>574.96156661786233</v>
      </c>
      <c r="G244" s="60" t="s">
        <v>73</v>
      </c>
      <c r="H244">
        <v>57.253121557500002</v>
      </c>
    </row>
    <row r="245" spans="1:8" x14ac:dyDescent="0.2">
      <c r="A245" s="50">
        <v>43256</v>
      </c>
      <c r="B245" s="51">
        <v>0.43541666666666701</v>
      </c>
      <c r="C245" s="49" t="s">
        <v>224</v>
      </c>
      <c r="D245" s="57" t="s">
        <v>146</v>
      </c>
      <c r="E245" s="53" t="s">
        <v>147</v>
      </c>
      <c r="F245" s="9">
        <v>287.48078330893117</v>
      </c>
      <c r="G245" s="60" t="s">
        <v>73</v>
      </c>
      <c r="H245">
        <v>211.55467059999998</v>
      </c>
    </row>
    <row r="246" spans="1:8" x14ac:dyDescent="0.2">
      <c r="A246" s="50">
        <v>43256</v>
      </c>
      <c r="B246" s="51">
        <v>0.43541666666666701</v>
      </c>
      <c r="C246" s="49" t="s">
        <v>224</v>
      </c>
      <c r="D246" s="57" t="s">
        <v>86</v>
      </c>
      <c r="E246" s="53" t="s">
        <v>87</v>
      </c>
      <c r="F246" s="9">
        <v>2012.3654831625181</v>
      </c>
      <c r="G246" s="60" t="s">
        <v>73</v>
      </c>
      <c r="H246">
        <v>11.494030613333329</v>
      </c>
    </row>
    <row r="247" spans="1:8" x14ac:dyDescent="0.2">
      <c r="A247" s="50">
        <v>43256</v>
      </c>
      <c r="B247" s="51">
        <v>0.43541666666666701</v>
      </c>
      <c r="C247" s="49" t="s">
        <v>224</v>
      </c>
      <c r="D247" s="57" t="s">
        <v>304</v>
      </c>
      <c r="E247" s="53" t="s">
        <v>89</v>
      </c>
      <c r="F247" s="9">
        <v>287.48078330893117</v>
      </c>
      <c r="G247" s="60" t="s">
        <v>73</v>
      </c>
      <c r="H247">
        <v>68.964183679999977</v>
      </c>
    </row>
    <row r="248" spans="1:8" x14ac:dyDescent="0.2">
      <c r="A248" s="50">
        <v>43256</v>
      </c>
      <c r="B248" s="51">
        <v>0.43541666666666701</v>
      </c>
      <c r="C248" s="49" t="s">
        <v>224</v>
      </c>
      <c r="D248" s="57" t="s">
        <v>94</v>
      </c>
      <c r="E248" s="53" t="s">
        <v>95</v>
      </c>
      <c r="F248" s="9">
        <v>113267.42862371888</v>
      </c>
      <c r="G248" s="60" t="s">
        <v>97</v>
      </c>
      <c r="H248">
        <v>0.17999999999999997</v>
      </c>
    </row>
    <row r="249" spans="1:8" x14ac:dyDescent="0.2">
      <c r="A249" s="50">
        <v>43256</v>
      </c>
      <c r="B249" s="51">
        <v>0.48958333333333298</v>
      </c>
      <c r="C249" s="49" t="s">
        <v>236</v>
      </c>
      <c r="D249" s="57" t="s">
        <v>69</v>
      </c>
      <c r="E249" s="53" t="s">
        <v>71</v>
      </c>
      <c r="F249" s="9">
        <v>209.07693331558633</v>
      </c>
      <c r="G249" s="60" t="s">
        <v>73</v>
      </c>
      <c r="H249">
        <v>770.66344289999984</v>
      </c>
    </row>
    <row r="250" spans="1:8" x14ac:dyDescent="0.2">
      <c r="A250" s="50">
        <v>43256</v>
      </c>
      <c r="B250" s="51">
        <v>0.48958333333333298</v>
      </c>
      <c r="C250" s="49" t="s">
        <v>236</v>
      </c>
      <c r="D250" s="57" t="s">
        <v>296</v>
      </c>
      <c r="E250" s="53" t="s">
        <v>103</v>
      </c>
      <c r="F250" s="9">
        <v>209.07693331558633</v>
      </c>
      <c r="G250" s="60" t="s">
        <v>73</v>
      </c>
      <c r="H250">
        <v>91.131242719999989</v>
      </c>
    </row>
    <row r="251" spans="1:8" x14ac:dyDescent="0.2">
      <c r="A251" s="50">
        <v>43256</v>
      </c>
      <c r="B251" s="51">
        <v>0.48958333333333298</v>
      </c>
      <c r="C251" s="49" t="s">
        <v>236</v>
      </c>
      <c r="D251" s="57" t="s">
        <v>86</v>
      </c>
      <c r="E251" s="53" t="s">
        <v>87</v>
      </c>
      <c r="F251" s="9">
        <v>3763.3847996805539</v>
      </c>
      <c r="G251" s="60" t="s">
        <v>73</v>
      </c>
      <c r="H251">
        <v>6.3706209216666645</v>
      </c>
    </row>
    <row r="252" spans="1:8" x14ac:dyDescent="0.2">
      <c r="A252" s="50">
        <v>43256</v>
      </c>
      <c r="B252" s="51">
        <v>0.48958333333333298</v>
      </c>
      <c r="C252" s="49" t="s">
        <v>236</v>
      </c>
      <c r="D252" s="58" t="s">
        <v>282</v>
      </c>
      <c r="E252" s="53" t="s">
        <v>127</v>
      </c>
      <c r="F252" s="9">
        <v>418.15386663117266</v>
      </c>
      <c r="G252" s="60" t="s">
        <v>73</v>
      </c>
      <c r="H252">
        <v>17.578766844999997</v>
      </c>
    </row>
    <row r="253" spans="1:8" x14ac:dyDescent="0.2">
      <c r="A253" s="50">
        <v>43256</v>
      </c>
      <c r="B253" s="51">
        <v>0.48958333333333298</v>
      </c>
      <c r="C253" s="49" t="s">
        <v>236</v>
      </c>
      <c r="D253" s="57" t="s">
        <v>94</v>
      </c>
      <c r="E253" s="53" t="s">
        <v>95</v>
      </c>
      <c r="F253" s="9">
        <v>79449.234659922804</v>
      </c>
      <c r="G253" s="60" t="s">
        <v>97</v>
      </c>
      <c r="H253">
        <v>0.17999999999999997</v>
      </c>
    </row>
    <row r="254" spans="1:8" x14ac:dyDescent="0.2">
      <c r="A254" s="50">
        <v>43256</v>
      </c>
      <c r="B254" s="51">
        <v>0.48958333333333298</v>
      </c>
      <c r="C254" s="49" t="s">
        <v>236</v>
      </c>
      <c r="D254" s="57" t="s">
        <v>318</v>
      </c>
      <c r="E254" s="53" t="s">
        <v>319</v>
      </c>
      <c r="F254" s="9">
        <v>209.07693331558633</v>
      </c>
      <c r="G254" s="60" t="s">
        <v>97</v>
      </c>
      <c r="H254">
        <v>6.8589999999999991</v>
      </c>
    </row>
    <row r="255" spans="1:8" x14ac:dyDescent="0.2">
      <c r="A255" s="50">
        <v>43256</v>
      </c>
      <c r="B255" s="51">
        <v>0.48958333333333298</v>
      </c>
      <c r="C255" s="49" t="s">
        <v>236</v>
      </c>
      <c r="D255" s="58" t="s">
        <v>301</v>
      </c>
      <c r="E255" s="53" t="s">
        <v>302</v>
      </c>
      <c r="F255" s="9">
        <v>209.07693331558633</v>
      </c>
      <c r="G255" s="60" t="s">
        <v>97</v>
      </c>
      <c r="H255">
        <v>0.381703185</v>
      </c>
    </row>
    <row r="256" spans="1:8" x14ac:dyDescent="0.2">
      <c r="A256" s="50">
        <v>43256</v>
      </c>
      <c r="B256" s="51">
        <v>0.51458333333333295</v>
      </c>
      <c r="C256" s="49" t="s">
        <v>245</v>
      </c>
      <c r="D256" s="57" t="s">
        <v>69</v>
      </c>
      <c r="E256" s="53" t="s">
        <v>71</v>
      </c>
      <c r="F256" s="9">
        <v>255.53847405238326</v>
      </c>
      <c r="G256" s="60" t="s">
        <v>73</v>
      </c>
      <c r="H256">
        <v>567.71044572000005</v>
      </c>
    </row>
    <row r="257" spans="1:8" x14ac:dyDescent="0.2">
      <c r="A257" s="50">
        <v>43256</v>
      </c>
      <c r="B257" s="51">
        <v>0.51458333333333295</v>
      </c>
      <c r="C257" s="49" t="s">
        <v>245</v>
      </c>
      <c r="D257" s="57" t="s">
        <v>102</v>
      </c>
      <c r="E257" s="53" t="s">
        <v>103</v>
      </c>
      <c r="F257" s="9">
        <v>766.61542215714974</v>
      </c>
      <c r="G257" s="60" t="s">
        <v>73</v>
      </c>
      <c r="H257">
        <v>129.81992357000001</v>
      </c>
    </row>
    <row r="258" spans="1:8" x14ac:dyDescent="0.2">
      <c r="A258" s="50">
        <v>43256</v>
      </c>
      <c r="B258" s="51">
        <v>0.51458333333333295</v>
      </c>
      <c r="C258" s="49" t="s">
        <v>245</v>
      </c>
      <c r="D258" s="57" t="s">
        <v>81</v>
      </c>
      <c r="E258" s="53" t="s">
        <v>83</v>
      </c>
      <c r="F258" s="9">
        <v>766.61542215714974</v>
      </c>
      <c r="G258" s="60" t="s">
        <v>73</v>
      </c>
      <c r="H258">
        <v>64.910485383333324</v>
      </c>
    </row>
    <row r="259" spans="1:8" x14ac:dyDescent="0.2">
      <c r="A259" s="50">
        <v>43256</v>
      </c>
      <c r="B259" s="51">
        <v>0.51458333333333295</v>
      </c>
      <c r="C259" s="49" t="s">
        <v>245</v>
      </c>
      <c r="D259" s="57" t="s">
        <v>86</v>
      </c>
      <c r="E259" s="53" t="s">
        <v>87</v>
      </c>
      <c r="F259" s="9">
        <v>7155.0772734667307</v>
      </c>
      <c r="G259" s="60" t="s">
        <v>73</v>
      </c>
      <c r="H259">
        <v>11.494030613333329</v>
      </c>
    </row>
    <row r="260" spans="1:8" x14ac:dyDescent="0.2">
      <c r="A260" s="50">
        <v>43256</v>
      </c>
      <c r="B260" s="51">
        <v>0.51458333333333295</v>
      </c>
      <c r="C260" s="49" t="s">
        <v>245</v>
      </c>
      <c r="D260" s="57" t="s">
        <v>126</v>
      </c>
      <c r="E260" s="53" t="s">
        <v>127</v>
      </c>
      <c r="F260" s="9">
        <v>1277.6923702619165</v>
      </c>
      <c r="G260" s="60" t="s">
        <v>73</v>
      </c>
      <c r="H260">
        <v>25.13952677833333</v>
      </c>
    </row>
    <row r="261" spans="1:8" x14ac:dyDescent="0.2">
      <c r="A261" s="50">
        <v>43256</v>
      </c>
      <c r="B261" s="51">
        <v>0.51458333333333295</v>
      </c>
      <c r="C261" s="49" t="s">
        <v>245</v>
      </c>
      <c r="D261" s="57" t="s">
        <v>88</v>
      </c>
      <c r="E261" s="53" t="s">
        <v>89</v>
      </c>
      <c r="F261" s="9">
        <v>255.53847405238326</v>
      </c>
      <c r="G261" s="60" t="s">
        <v>73</v>
      </c>
      <c r="H261">
        <v>337.38084788249995</v>
      </c>
    </row>
    <row r="262" spans="1:8" x14ac:dyDescent="0.2">
      <c r="A262" s="50">
        <v>43256</v>
      </c>
      <c r="B262" s="51">
        <v>0.51458333333333295</v>
      </c>
      <c r="C262" s="49" t="s">
        <v>245</v>
      </c>
      <c r="D262" s="57" t="s">
        <v>94</v>
      </c>
      <c r="E262" s="53" t="s">
        <v>95</v>
      </c>
      <c r="F262" s="9">
        <v>97615.697088010405</v>
      </c>
      <c r="G262" s="60" t="s">
        <v>97</v>
      </c>
      <c r="H262">
        <v>0.17999999999999997</v>
      </c>
    </row>
    <row r="263" spans="1:8" x14ac:dyDescent="0.2">
      <c r="A263" s="50">
        <v>43256</v>
      </c>
      <c r="B263" s="51">
        <v>0.52847222222222201</v>
      </c>
      <c r="C263" s="49" t="s">
        <v>306</v>
      </c>
      <c r="D263" s="57" t="s">
        <v>69</v>
      </c>
      <c r="E263" s="53" t="s">
        <v>71</v>
      </c>
      <c r="F263" s="9">
        <v>242.08908068120519</v>
      </c>
      <c r="G263" s="60" t="s">
        <v>73</v>
      </c>
      <c r="H263">
        <v>770.66344289999984</v>
      </c>
    </row>
    <row r="264" spans="1:8" x14ac:dyDescent="0.2">
      <c r="A264" s="50">
        <v>43256</v>
      </c>
      <c r="B264" s="51">
        <v>0.52847222222222201</v>
      </c>
      <c r="C264" s="49" t="s">
        <v>306</v>
      </c>
      <c r="D264" s="57" t="s">
        <v>86</v>
      </c>
      <c r="E264" s="53" t="s">
        <v>87</v>
      </c>
      <c r="F264" s="9">
        <v>3873.425290899283</v>
      </c>
      <c r="G264" s="60" t="s">
        <v>73</v>
      </c>
      <c r="H264">
        <v>14.137154999999998</v>
      </c>
    </row>
    <row r="265" spans="1:8" x14ac:dyDescent="0.2">
      <c r="A265" s="50">
        <v>43256</v>
      </c>
      <c r="B265" s="51">
        <v>0.52847222222222201</v>
      </c>
      <c r="C265" s="49" t="s">
        <v>306</v>
      </c>
      <c r="D265" s="57" t="s">
        <v>287</v>
      </c>
      <c r="E265" s="53" t="s">
        <v>288</v>
      </c>
      <c r="F265" s="9">
        <v>242.08908068120519</v>
      </c>
      <c r="G265" s="60" t="s">
        <v>73</v>
      </c>
      <c r="H265">
        <v>3.5625630599999996</v>
      </c>
    </row>
    <row r="266" spans="1:8" x14ac:dyDescent="0.2">
      <c r="A266" s="50">
        <v>43256</v>
      </c>
      <c r="B266" s="51">
        <v>0.52847222222222201</v>
      </c>
      <c r="C266" s="49" t="s">
        <v>306</v>
      </c>
      <c r="D266" s="57" t="s">
        <v>126</v>
      </c>
      <c r="E266" s="53" t="s">
        <v>127</v>
      </c>
      <c r="F266" s="9">
        <v>726.26724204361551</v>
      </c>
      <c r="G266" s="60" t="s">
        <v>73</v>
      </c>
      <c r="H266">
        <v>31.424277573333335</v>
      </c>
    </row>
    <row r="267" spans="1:8" x14ac:dyDescent="0.2">
      <c r="A267" s="50">
        <v>43256</v>
      </c>
      <c r="B267" s="51">
        <v>0.52847222222222201</v>
      </c>
      <c r="C267" s="49" t="s">
        <v>306</v>
      </c>
      <c r="D267" s="57" t="s">
        <v>94</v>
      </c>
      <c r="E267" s="53" t="s">
        <v>95</v>
      </c>
      <c r="F267" s="9">
        <v>91751.761578176767</v>
      </c>
      <c r="G267" s="60" t="s">
        <v>97</v>
      </c>
      <c r="H267">
        <v>0.17999999999999997</v>
      </c>
    </row>
    <row r="268" spans="1:8" x14ac:dyDescent="0.2">
      <c r="A268" s="50">
        <v>43256</v>
      </c>
      <c r="B268" s="51">
        <v>0.52847222222222201</v>
      </c>
      <c r="C268" s="49" t="s">
        <v>306</v>
      </c>
      <c r="D268" s="57" t="s">
        <v>163</v>
      </c>
      <c r="E268" s="53" t="s">
        <v>95</v>
      </c>
      <c r="F268" s="9">
        <v>1210.4454034060261</v>
      </c>
      <c r="G268" s="60" t="s">
        <v>97</v>
      </c>
      <c r="H268">
        <v>57.905786879999994</v>
      </c>
    </row>
    <row r="269" spans="1:8" x14ac:dyDescent="0.2">
      <c r="A269" s="50">
        <v>43257</v>
      </c>
      <c r="B269" s="51">
        <v>0.43402777777777801</v>
      </c>
      <c r="C269" s="49" t="s">
        <v>187</v>
      </c>
      <c r="D269" s="57" t="s">
        <v>102</v>
      </c>
      <c r="E269" s="53" t="s">
        <v>103</v>
      </c>
      <c r="F269" s="9">
        <v>229.98462664714492</v>
      </c>
      <c r="G269" s="60" t="s">
        <v>73</v>
      </c>
      <c r="H269">
        <v>91.131242719999989</v>
      </c>
    </row>
    <row r="270" spans="1:8" x14ac:dyDescent="0.2">
      <c r="A270" s="50">
        <v>43257</v>
      </c>
      <c r="B270" s="51">
        <v>0.43402777777777801</v>
      </c>
      <c r="C270" s="49" t="s">
        <v>187</v>
      </c>
      <c r="D270" s="57" t="s">
        <v>86</v>
      </c>
      <c r="E270" s="53" t="s">
        <v>87</v>
      </c>
      <c r="F270" s="9">
        <v>4369.7079062957537</v>
      </c>
      <c r="G270" s="60" t="s">
        <v>73</v>
      </c>
      <c r="H270">
        <v>7.2382233599999992</v>
      </c>
    </row>
    <row r="271" spans="1:8" x14ac:dyDescent="0.2">
      <c r="A271" s="50">
        <v>43257</v>
      </c>
      <c r="B271" s="51">
        <v>0.43402777777777801</v>
      </c>
      <c r="C271" s="49" t="s">
        <v>187</v>
      </c>
      <c r="D271" s="57" t="s">
        <v>94</v>
      </c>
      <c r="E271" s="53" t="s">
        <v>95</v>
      </c>
      <c r="F271" s="9">
        <v>90383.95827232796</v>
      </c>
      <c r="G271" s="60" t="s">
        <v>97</v>
      </c>
      <c r="H271">
        <v>0.17999999999999997</v>
      </c>
    </row>
    <row r="272" spans="1:8" x14ac:dyDescent="0.2">
      <c r="A272" s="50">
        <v>43257</v>
      </c>
      <c r="B272" s="51">
        <v>0.43402777777777801</v>
      </c>
      <c r="C272" s="49" t="s">
        <v>187</v>
      </c>
      <c r="D272" s="57" t="s">
        <v>163</v>
      </c>
      <c r="E272" s="53" t="s">
        <v>95</v>
      </c>
      <c r="F272" s="9">
        <v>229.98462664714492</v>
      </c>
      <c r="G272" s="60" t="s">
        <v>97</v>
      </c>
      <c r="H272">
        <v>3.5913609683333325</v>
      </c>
    </row>
    <row r="273" spans="1:8" x14ac:dyDescent="0.2">
      <c r="A273" s="50">
        <v>43257</v>
      </c>
      <c r="B273" s="51">
        <v>0.43402777777777801</v>
      </c>
      <c r="C273" s="49" t="s">
        <v>187</v>
      </c>
      <c r="D273" s="58" t="s">
        <v>301</v>
      </c>
      <c r="E273" s="53" t="s">
        <v>302</v>
      </c>
      <c r="F273" s="9">
        <v>229.98462664714492</v>
      </c>
      <c r="G273" s="60" t="s">
        <v>97</v>
      </c>
      <c r="H273">
        <v>0.381703185</v>
      </c>
    </row>
    <row r="274" spans="1:8" x14ac:dyDescent="0.2">
      <c r="A274" s="50">
        <v>43257</v>
      </c>
      <c r="B274" s="51">
        <v>0.45972222222222198</v>
      </c>
      <c r="C274" s="49" t="s">
        <v>108</v>
      </c>
      <c r="D274" s="57" t="s">
        <v>69</v>
      </c>
      <c r="E274" s="53" t="s">
        <v>71</v>
      </c>
      <c r="F274" s="9">
        <v>229.98462664714492</v>
      </c>
      <c r="G274" s="60" t="s">
        <v>73</v>
      </c>
      <c r="H274">
        <v>211.55467059999998</v>
      </c>
    </row>
    <row r="275" spans="1:8" x14ac:dyDescent="0.2">
      <c r="A275" s="50">
        <v>43257</v>
      </c>
      <c r="B275" s="51">
        <v>0.45972222222222198</v>
      </c>
      <c r="C275" s="49" t="s">
        <v>108</v>
      </c>
      <c r="D275" s="57" t="s">
        <v>81</v>
      </c>
      <c r="E275" s="53" t="s">
        <v>83</v>
      </c>
      <c r="F275" s="9">
        <v>229.98462664714492</v>
      </c>
      <c r="G275" s="60" t="s">
        <v>73</v>
      </c>
      <c r="H275">
        <v>75.532201173333306</v>
      </c>
    </row>
    <row r="276" spans="1:8" x14ac:dyDescent="0.2">
      <c r="A276" s="50">
        <v>43257</v>
      </c>
      <c r="B276" s="51">
        <v>0.45972222222222198</v>
      </c>
      <c r="C276" s="49" t="s">
        <v>108</v>
      </c>
      <c r="D276" s="57" t="s">
        <v>86</v>
      </c>
      <c r="E276" s="53" t="s">
        <v>87</v>
      </c>
      <c r="F276" s="9">
        <v>4599.6925329428987</v>
      </c>
      <c r="G276" s="60" t="s">
        <v>73</v>
      </c>
      <c r="H276">
        <v>9.2027643066666673</v>
      </c>
    </row>
    <row r="277" spans="1:8" x14ac:dyDescent="0.2">
      <c r="A277" s="50">
        <v>43257</v>
      </c>
      <c r="B277" s="51">
        <v>0.45972222222222198</v>
      </c>
      <c r="C277" s="49" t="s">
        <v>108</v>
      </c>
      <c r="D277" s="58" t="s">
        <v>282</v>
      </c>
      <c r="E277" s="53" t="s">
        <v>127</v>
      </c>
      <c r="F277" s="9">
        <v>229.98462664714492</v>
      </c>
      <c r="G277" s="60" t="s">
        <v>73</v>
      </c>
      <c r="H277">
        <v>13.987405876666664</v>
      </c>
    </row>
    <row r="278" spans="1:8" x14ac:dyDescent="0.2">
      <c r="A278" s="50">
        <v>43257</v>
      </c>
      <c r="B278" s="51">
        <v>0.45972222222222198</v>
      </c>
      <c r="C278" s="49" t="s">
        <v>108</v>
      </c>
      <c r="D278" s="57" t="s">
        <v>92</v>
      </c>
      <c r="E278" s="53" t="s">
        <v>89</v>
      </c>
      <c r="F278" s="9">
        <v>459.96925329428984</v>
      </c>
      <c r="G278" s="60" t="s">
        <v>73</v>
      </c>
      <c r="H278">
        <v>117.24675679166666</v>
      </c>
    </row>
    <row r="279" spans="1:8" x14ac:dyDescent="0.2">
      <c r="A279" s="50">
        <v>43257</v>
      </c>
      <c r="B279" s="51">
        <v>0.45972222222222198</v>
      </c>
      <c r="C279" s="49" t="s">
        <v>108</v>
      </c>
      <c r="D279" s="57" t="s">
        <v>94</v>
      </c>
      <c r="E279" s="53" t="s">
        <v>95</v>
      </c>
      <c r="F279" s="9">
        <v>91073.912152269389</v>
      </c>
      <c r="G279" s="60" t="s">
        <v>97</v>
      </c>
      <c r="H279">
        <v>0.17999999999999997</v>
      </c>
    </row>
    <row r="280" spans="1:8" x14ac:dyDescent="0.2">
      <c r="A280" s="50">
        <v>43257</v>
      </c>
      <c r="B280" s="51">
        <v>0.47222222222222199</v>
      </c>
      <c r="C280" s="49" t="s">
        <v>181</v>
      </c>
      <c r="D280" s="57" t="s">
        <v>69</v>
      </c>
      <c r="E280" s="53" t="s">
        <v>71</v>
      </c>
      <c r="F280" s="9">
        <v>287.48078330893117</v>
      </c>
      <c r="G280" s="60" t="s">
        <v>73</v>
      </c>
      <c r="H280">
        <v>596.7410935124999</v>
      </c>
    </row>
    <row r="281" spans="1:8" x14ac:dyDescent="0.2">
      <c r="A281" s="50">
        <v>43257</v>
      </c>
      <c r="B281" s="51">
        <v>0.47222222222222199</v>
      </c>
      <c r="C281" s="49" t="s">
        <v>181</v>
      </c>
      <c r="D281" s="57" t="s">
        <v>102</v>
      </c>
      <c r="E281" s="53" t="s">
        <v>103</v>
      </c>
      <c r="F281" s="9">
        <v>862.44234992679355</v>
      </c>
      <c r="G281" s="60" t="s">
        <v>73</v>
      </c>
      <c r="H281">
        <v>98.520262399999979</v>
      </c>
    </row>
    <row r="282" spans="1:8" x14ac:dyDescent="0.2">
      <c r="A282" s="50">
        <v>43257</v>
      </c>
      <c r="B282" s="51">
        <v>0.47222222222222199</v>
      </c>
      <c r="C282" s="49" t="s">
        <v>181</v>
      </c>
      <c r="D282" s="57" t="s">
        <v>86</v>
      </c>
      <c r="E282" s="53" t="s">
        <v>87</v>
      </c>
      <c r="F282" s="9">
        <v>5174.6540995607611</v>
      </c>
      <c r="G282" s="60" t="s">
        <v>73</v>
      </c>
      <c r="H282">
        <v>11.494030613333329</v>
      </c>
    </row>
    <row r="283" spans="1:8" x14ac:dyDescent="0.2">
      <c r="A283" s="50">
        <v>43257</v>
      </c>
      <c r="B283" s="51">
        <v>0.47222222222222199</v>
      </c>
      <c r="C283" s="49" t="s">
        <v>181</v>
      </c>
      <c r="D283" s="58" t="s">
        <v>282</v>
      </c>
      <c r="E283" s="53" t="s">
        <v>127</v>
      </c>
      <c r="F283" s="9">
        <v>287.48078330893117</v>
      </c>
      <c r="G283" s="60" t="s">
        <v>73</v>
      </c>
      <c r="H283">
        <v>17.578766844999997</v>
      </c>
    </row>
    <row r="284" spans="1:8" x14ac:dyDescent="0.2">
      <c r="A284" s="50">
        <v>43257</v>
      </c>
      <c r="B284" s="51">
        <v>0.47222222222222199</v>
      </c>
      <c r="C284" s="49" t="s">
        <v>181</v>
      </c>
      <c r="D284" s="57" t="s">
        <v>92</v>
      </c>
      <c r="E284" s="53" t="s">
        <v>89</v>
      </c>
      <c r="F284" s="9">
        <v>574.96156661786233</v>
      </c>
      <c r="G284" s="60" t="s">
        <v>73</v>
      </c>
      <c r="H284">
        <v>118.35285827083332</v>
      </c>
    </row>
    <row r="285" spans="1:8" x14ac:dyDescent="0.2">
      <c r="A285" s="50">
        <v>43257</v>
      </c>
      <c r="B285" s="51">
        <v>0.47222222222222199</v>
      </c>
      <c r="C285" s="49" t="s">
        <v>181</v>
      </c>
      <c r="D285" s="57" t="s">
        <v>94</v>
      </c>
      <c r="E285" s="53" t="s">
        <v>95</v>
      </c>
      <c r="F285" s="9">
        <v>124191.69838945827</v>
      </c>
      <c r="G285" s="60" t="s">
        <v>97</v>
      </c>
      <c r="H285">
        <v>0.17999999999999997</v>
      </c>
    </row>
    <row r="286" spans="1:8" x14ac:dyDescent="0.2">
      <c r="A286" s="50">
        <v>43257</v>
      </c>
      <c r="B286" s="51">
        <v>0.47916666666666702</v>
      </c>
      <c r="C286" s="49" t="s">
        <v>144</v>
      </c>
      <c r="D286" s="57" t="s">
        <v>69</v>
      </c>
      <c r="E286" s="53" t="s">
        <v>71</v>
      </c>
      <c r="F286" s="9">
        <v>287.48078330893117</v>
      </c>
      <c r="G286" s="60" t="s">
        <v>73</v>
      </c>
      <c r="H286">
        <v>596.7410935124999</v>
      </c>
    </row>
    <row r="287" spans="1:8" x14ac:dyDescent="0.2">
      <c r="A287" s="50">
        <v>43257</v>
      </c>
      <c r="B287" s="51">
        <v>0.47916666666666702</v>
      </c>
      <c r="C287" s="49" t="s">
        <v>144</v>
      </c>
      <c r="D287" s="57" t="s">
        <v>86</v>
      </c>
      <c r="E287" s="53" t="s">
        <v>87</v>
      </c>
      <c r="F287" s="9">
        <v>3449.7693997071742</v>
      </c>
      <c r="G287" s="60" t="s">
        <v>73</v>
      </c>
      <c r="H287">
        <v>7.2382233599999992</v>
      </c>
    </row>
    <row r="288" spans="1:8" x14ac:dyDescent="0.2">
      <c r="A288" s="50">
        <v>43257</v>
      </c>
      <c r="B288" s="51">
        <v>0.47916666666666702</v>
      </c>
      <c r="C288" s="49" t="s">
        <v>144</v>
      </c>
      <c r="D288" s="57" t="s">
        <v>92</v>
      </c>
      <c r="E288" s="53" t="s">
        <v>89</v>
      </c>
      <c r="F288" s="9">
        <v>574.96156661786233</v>
      </c>
      <c r="G288" s="60" t="s">
        <v>73</v>
      </c>
      <c r="H288">
        <v>75.532201173333306</v>
      </c>
    </row>
    <row r="289" spans="1:8" x14ac:dyDescent="0.2">
      <c r="A289" s="50">
        <v>43257</v>
      </c>
      <c r="B289" s="51">
        <v>0.47916666666666702</v>
      </c>
      <c r="C289" s="49" t="s">
        <v>144</v>
      </c>
      <c r="D289" s="57" t="s">
        <v>94</v>
      </c>
      <c r="E289" s="53" t="s">
        <v>95</v>
      </c>
      <c r="F289" s="9">
        <v>127066.50622254757</v>
      </c>
      <c r="G289" s="60" t="s">
        <v>97</v>
      </c>
      <c r="H289">
        <v>0.17999999999999997</v>
      </c>
    </row>
    <row r="290" spans="1:8" x14ac:dyDescent="0.2">
      <c r="A290" s="50">
        <v>43257</v>
      </c>
      <c r="B290" s="51">
        <v>0.51041666666666696</v>
      </c>
      <c r="C290" s="49" t="s">
        <v>170</v>
      </c>
      <c r="D290" s="57" t="s">
        <v>86</v>
      </c>
      <c r="E290" s="53" t="s">
        <v>87</v>
      </c>
      <c r="F290" s="9">
        <v>6132.9233772571988</v>
      </c>
      <c r="G290" s="60" t="s">
        <v>73</v>
      </c>
      <c r="H290">
        <v>7.2382233599999992</v>
      </c>
    </row>
    <row r="291" spans="1:8" x14ac:dyDescent="0.2">
      <c r="A291" s="50">
        <v>43257</v>
      </c>
      <c r="B291" s="51">
        <v>0.51041666666666696</v>
      </c>
      <c r="C291" s="49" t="s">
        <v>170</v>
      </c>
      <c r="D291" s="57" t="s">
        <v>126</v>
      </c>
      <c r="E291" s="53" t="s">
        <v>127</v>
      </c>
      <c r="F291" s="9">
        <v>383.30771107857493</v>
      </c>
      <c r="G291" s="60" t="s">
        <v>73</v>
      </c>
      <c r="H291">
        <v>20.981108814999995</v>
      </c>
    </row>
    <row r="292" spans="1:8" x14ac:dyDescent="0.2">
      <c r="A292" s="50">
        <v>43257</v>
      </c>
      <c r="B292" s="51">
        <v>0.51041666666666696</v>
      </c>
      <c r="C292" s="49" t="s">
        <v>170</v>
      </c>
      <c r="D292" s="57" t="s">
        <v>94</v>
      </c>
      <c r="E292" s="53" t="s">
        <v>95</v>
      </c>
      <c r="F292" s="9">
        <v>150639.93045387993</v>
      </c>
      <c r="G292" s="60" t="s">
        <v>97</v>
      </c>
      <c r="H292">
        <v>0.17999999999999997</v>
      </c>
    </row>
    <row r="293" spans="1:8" x14ac:dyDescent="0.2">
      <c r="A293" s="50">
        <v>43257</v>
      </c>
      <c r="B293" s="51">
        <v>0.52222222222222203</v>
      </c>
      <c r="C293" s="49" t="s">
        <v>173</v>
      </c>
      <c r="D293" s="57" t="s">
        <v>69</v>
      </c>
      <c r="E293" s="53" t="s">
        <v>71</v>
      </c>
      <c r="F293" s="9">
        <v>209.07693331558633</v>
      </c>
      <c r="G293" s="60" t="s">
        <v>73</v>
      </c>
      <c r="H293">
        <v>954.78574961999993</v>
      </c>
    </row>
    <row r="294" spans="1:8" x14ac:dyDescent="0.2">
      <c r="A294" s="50">
        <v>43257</v>
      </c>
      <c r="B294" s="51">
        <v>0.52222222222222203</v>
      </c>
      <c r="C294" s="49" t="s">
        <v>173</v>
      </c>
      <c r="D294" s="57" t="s">
        <v>190</v>
      </c>
      <c r="E294" s="53" t="s">
        <v>191</v>
      </c>
      <c r="F294" s="9">
        <v>209.07693331558633</v>
      </c>
      <c r="G294" s="60" t="s">
        <v>73</v>
      </c>
      <c r="H294">
        <v>79.967999999999975</v>
      </c>
    </row>
    <row r="295" spans="1:8" x14ac:dyDescent="0.2">
      <c r="A295" s="50">
        <v>43257</v>
      </c>
      <c r="B295" s="51">
        <v>0.52222222222222203</v>
      </c>
      <c r="C295" s="49" t="s">
        <v>173</v>
      </c>
      <c r="D295" s="57" t="s">
        <v>86</v>
      </c>
      <c r="E295" s="53" t="s">
        <v>87</v>
      </c>
      <c r="F295" s="9">
        <v>5436.0002662052448</v>
      </c>
      <c r="G295" s="60" t="s">
        <v>73</v>
      </c>
      <c r="H295">
        <v>6.3706209216666645</v>
      </c>
    </row>
    <row r="296" spans="1:8" x14ac:dyDescent="0.2">
      <c r="A296" s="50">
        <v>43257</v>
      </c>
      <c r="B296" s="51">
        <v>0.52222222222222203</v>
      </c>
      <c r="C296" s="49" t="s">
        <v>173</v>
      </c>
      <c r="D296" s="58" t="s">
        <v>197</v>
      </c>
      <c r="E296" s="53" t="s">
        <v>198</v>
      </c>
      <c r="F296" s="9">
        <v>209.07693331558633</v>
      </c>
      <c r="G296" s="60" t="s">
        <v>73</v>
      </c>
      <c r="H296">
        <v>30.377080906666663</v>
      </c>
    </row>
    <row r="297" spans="1:8" x14ac:dyDescent="0.2">
      <c r="A297" s="50">
        <v>43257</v>
      </c>
      <c r="B297" s="51">
        <v>0.52222222222222203</v>
      </c>
      <c r="C297" s="49" t="s">
        <v>173</v>
      </c>
      <c r="D297" s="57" t="s">
        <v>94</v>
      </c>
      <c r="E297" s="53" t="s">
        <v>95</v>
      </c>
      <c r="F297" s="9">
        <v>78822.003859976045</v>
      </c>
      <c r="G297" s="60" t="s">
        <v>97</v>
      </c>
      <c r="H297">
        <v>0.17999999999999997</v>
      </c>
    </row>
    <row r="298" spans="1:8" x14ac:dyDescent="0.2">
      <c r="A298" s="50">
        <v>43257</v>
      </c>
      <c r="B298" s="51">
        <v>0.530555555555556</v>
      </c>
      <c r="C298" s="51" t="s">
        <v>194</v>
      </c>
      <c r="D298" s="57" t="s">
        <v>69</v>
      </c>
      <c r="E298" s="53" t="s">
        <v>71</v>
      </c>
      <c r="F298" s="9">
        <v>353.82250253406914</v>
      </c>
      <c r="G298" s="60" t="s">
        <v>73</v>
      </c>
      <c r="H298">
        <v>1467.86394524</v>
      </c>
    </row>
    <row r="299" spans="1:8" x14ac:dyDescent="0.2">
      <c r="A299" s="50">
        <v>43257</v>
      </c>
      <c r="B299" s="51">
        <v>0.530555555555556</v>
      </c>
      <c r="C299" s="51" t="s">
        <v>194</v>
      </c>
      <c r="D299" s="57" t="s">
        <v>190</v>
      </c>
      <c r="E299" s="53" t="s">
        <v>191</v>
      </c>
      <c r="F299" s="9">
        <v>176.91125126703457</v>
      </c>
      <c r="G299" s="60" t="s">
        <v>73</v>
      </c>
      <c r="H299">
        <v>65.463999999999999</v>
      </c>
    </row>
    <row r="300" spans="1:8" x14ac:dyDescent="0.2">
      <c r="A300" s="50">
        <v>43257</v>
      </c>
      <c r="B300" s="51">
        <v>0.530555555555556</v>
      </c>
      <c r="C300" s="51" t="s">
        <v>194</v>
      </c>
      <c r="D300" s="57" t="s">
        <v>86</v>
      </c>
      <c r="E300" s="53" t="s">
        <v>87</v>
      </c>
      <c r="F300" s="9">
        <v>4953.5150354769676</v>
      </c>
      <c r="G300" s="60" t="s">
        <v>73</v>
      </c>
      <c r="H300">
        <v>14.137154999999998</v>
      </c>
    </row>
    <row r="301" spans="1:8" x14ac:dyDescent="0.2">
      <c r="A301" s="50">
        <v>43257</v>
      </c>
      <c r="B301" s="51">
        <v>0.530555555555556</v>
      </c>
      <c r="C301" s="51" t="s">
        <v>194</v>
      </c>
      <c r="D301" s="57" t="s">
        <v>206</v>
      </c>
      <c r="E301" s="53" t="s">
        <v>207</v>
      </c>
      <c r="F301" s="9">
        <v>353.82250253406914</v>
      </c>
      <c r="G301" s="60" t="s">
        <v>73</v>
      </c>
      <c r="H301">
        <v>30.105856970000001</v>
      </c>
    </row>
    <row r="302" spans="1:8" x14ac:dyDescent="0.2">
      <c r="A302" s="50">
        <v>43257</v>
      </c>
      <c r="B302" s="51">
        <v>0.530555555555556</v>
      </c>
      <c r="C302" s="51" t="s">
        <v>194</v>
      </c>
      <c r="D302" s="57" t="s">
        <v>92</v>
      </c>
      <c r="E302" s="53" t="s">
        <v>89</v>
      </c>
      <c r="F302" s="9">
        <v>353.82250253406914</v>
      </c>
      <c r="G302" s="60" t="s">
        <v>73</v>
      </c>
      <c r="H302">
        <v>137.2613030833333</v>
      </c>
    </row>
    <row r="303" spans="1:8" x14ac:dyDescent="0.2">
      <c r="A303" s="50">
        <v>43257</v>
      </c>
      <c r="B303" s="51">
        <v>0.530555555555556</v>
      </c>
      <c r="C303" s="51" t="s">
        <v>194</v>
      </c>
      <c r="D303" s="57" t="s">
        <v>94</v>
      </c>
      <c r="E303" s="53" t="s">
        <v>95</v>
      </c>
      <c r="F303" s="9">
        <v>66164.807973870935</v>
      </c>
      <c r="G303" s="60" t="s">
        <v>97</v>
      </c>
      <c r="H303">
        <v>0.17999999999999997</v>
      </c>
    </row>
    <row r="304" spans="1:8" x14ac:dyDescent="0.2">
      <c r="A304" s="50">
        <v>43257</v>
      </c>
      <c r="B304" s="51">
        <v>0.530555555555556</v>
      </c>
      <c r="C304" s="51" t="s">
        <v>194</v>
      </c>
      <c r="D304" s="58" t="s">
        <v>301</v>
      </c>
      <c r="E304" s="53" t="s">
        <v>302</v>
      </c>
      <c r="F304" s="9">
        <v>176.91125126703457</v>
      </c>
      <c r="G304" s="60" t="s">
        <v>97</v>
      </c>
      <c r="H304">
        <v>0.26808234666666664</v>
      </c>
    </row>
    <row r="305" spans="1:8" x14ac:dyDescent="0.2">
      <c r="A305" s="50">
        <v>43257</v>
      </c>
      <c r="B305" s="51">
        <v>0.59791666666666698</v>
      </c>
      <c r="C305" s="49" t="s">
        <v>189</v>
      </c>
      <c r="D305" s="57" t="s">
        <v>109</v>
      </c>
      <c r="E305" s="53" t="s">
        <v>110</v>
      </c>
      <c r="F305" s="9">
        <v>287.48078330893117</v>
      </c>
      <c r="G305" s="60" t="s">
        <v>73</v>
      </c>
      <c r="H305">
        <v>90.317570909999986</v>
      </c>
    </row>
    <row r="306" spans="1:8" x14ac:dyDescent="0.2">
      <c r="A306" s="50">
        <v>43257</v>
      </c>
      <c r="B306" s="51">
        <v>0.59791666666666698</v>
      </c>
      <c r="C306" s="49" t="s">
        <v>189</v>
      </c>
      <c r="D306" s="57" t="s">
        <v>86</v>
      </c>
      <c r="E306" s="53" t="s">
        <v>87</v>
      </c>
      <c r="F306" s="9">
        <v>3162.288616398243</v>
      </c>
      <c r="G306" s="60" t="s">
        <v>73</v>
      </c>
      <c r="H306">
        <v>7.2382233599999992</v>
      </c>
    </row>
    <row r="307" spans="1:8" x14ac:dyDescent="0.2">
      <c r="A307" s="50">
        <v>43257</v>
      </c>
      <c r="B307" s="51">
        <v>0.59791666666666698</v>
      </c>
      <c r="C307" s="49" t="s">
        <v>189</v>
      </c>
      <c r="D307" s="57" t="s">
        <v>92</v>
      </c>
      <c r="E307" s="53" t="s">
        <v>89</v>
      </c>
      <c r="F307" s="9">
        <v>862.44234992679355</v>
      </c>
      <c r="G307" s="60" t="s">
        <v>73</v>
      </c>
      <c r="H307">
        <v>99.629243670000008</v>
      </c>
    </row>
    <row r="308" spans="1:8" x14ac:dyDescent="0.2">
      <c r="A308" s="50">
        <v>43257</v>
      </c>
      <c r="B308" s="51">
        <v>0.59791666666666698</v>
      </c>
      <c r="C308" s="49" t="s">
        <v>189</v>
      </c>
      <c r="D308" s="57" t="s">
        <v>94</v>
      </c>
      <c r="E308" s="53" t="s">
        <v>95</v>
      </c>
      <c r="F308" s="9">
        <v>114417.35175695461</v>
      </c>
      <c r="G308" s="60" t="s">
        <v>97</v>
      </c>
      <c r="H308">
        <v>0.17999999999999997</v>
      </c>
    </row>
    <row r="309" spans="1:8" x14ac:dyDescent="0.2">
      <c r="A309" s="50">
        <v>43286</v>
      </c>
      <c r="B309" s="51">
        <v>0.44583333333333303</v>
      </c>
      <c r="C309" s="49" t="s">
        <v>68</v>
      </c>
      <c r="D309" s="57" t="s">
        <v>102</v>
      </c>
      <c r="E309" s="53" t="s">
        <v>103</v>
      </c>
      <c r="F309" s="9">
        <v>511.07694810476653</v>
      </c>
      <c r="G309" s="60" t="s">
        <v>73</v>
      </c>
      <c r="H309">
        <v>152.64200412499997</v>
      </c>
    </row>
    <row r="310" spans="1:8" x14ac:dyDescent="0.2">
      <c r="A310" s="50">
        <v>43286</v>
      </c>
      <c r="B310" s="51">
        <v>0.44583333333333303</v>
      </c>
      <c r="C310" s="49" t="s">
        <v>68</v>
      </c>
      <c r="D310" s="57" t="s">
        <v>86</v>
      </c>
      <c r="E310" s="53" t="s">
        <v>87</v>
      </c>
      <c r="F310" s="9">
        <v>9199.3850658857973</v>
      </c>
      <c r="G310" s="60" t="s">
        <v>73</v>
      </c>
      <c r="H310">
        <v>11.494030613333329</v>
      </c>
    </row>
    <row r="311" spans="1:8" x14ac:dyDescent="0.2">
      <c r="A311" s="50">
        <v>43286</v>
      </c>
      <c r="B311" s="51">
        <v>0.44583333333333303</v>
      </c>
      <c r="C311" s="49" t="s">
        <v>68</v>
      </c>
      <c r="D311" s="57" t="s">
        <v>88</v>
      </c>
      <c r="E311" s="53" t="s">
        <v>89</v>
      </c>
      <c r="F311" s="9">
        <v>511.07694810476653</v>
      </c>
      <c r="G311" s="60" t="s">
        <v>73</v>
      </c>
      <c r="H311">
        <v>337.38084788249995</v>
      </c>
    </row>
    <row r="312" spans="1:8" x14ac:dyDescent="0.2">
      <c r="A312" s="50">
        <v>43286</v>
      </c>
      <c r="B312" s="51">
        <v>0.44583333333333303</v>
      </c>
      <c r="C312" s="49" t="s">
        <v>68</v>
      </c>
      <c r="D312" s="57" t="s">
        <v>94</v>
      </c>
      <c r="E312" s="53" t="s">
        <v>95</v>
      </c>
      <c r="F312" s="9">
        <v>208519.39482674474</v>
      </c>
      <c r="G312" s="60" t="s">
        <v>97</v>
      </c>
      <c r="H312">
        <v>0.17999999999999997</v>
      </c>
    </row>
    <row r="313" spans="1:8" x14ac:dyDescent="0.2">
      <c r="A313" s="50">
        <v>43286</v>
      </c>
      <c r="B313" s="51">
        <v>0.44583333333333303</v>
      </c>
      <c r="C313" s="49" t="s">
        <v>68</v>
      </c>
      <c r="D313" s="57" t="s">
        <v>163</v>
      </c>
      <c r="E313" s="53" t="s">
        <v>95</v>
      </c>
      <c r="F313" s="9">
        <v>511.07694810476653</v>
      </c>
      <c r="G313" s="60" t="s">
        <v>97</v>
      </c>
      <c r="H313">
        <v>1.7671443749999998</v>
      </c>
    </row>
    <row r="314" spans="1:8" x14ac:dyDescent="0.2">
      <c r="A314" s="25">
        <v>43286</v>
      </c>
      <c r="B314" s="26">
        <v>0.46875</v>
      </c>
      <c r="C314" s="5" t="s">
        <v>108</v>
      </c>
      <c r="D314" s="12" t="s">
        <v>109</v>
      </c>
      <c r="E314" s="9" t="s">
        <v>110</v>
      </c>
      <c r="F314" s="9">
        <v>418.15386663117266</v>
      </c>
      <c r="G314" s="19" t="s">
        <v>73</v>
      </c>
      <c r="H314">
        <v>97.640617199999994</v>
      </c>
    </row>
    <row r="315" spans="1:8" x14ac:dyDescent="0.2">
      <c r="A315" s="25">
        <v>43286</v>
      </c>
      <c r="B315" s="26">
        <v>0.46875</v>
      </c>
      <c r="C315" s="5" t="s">
        <v>108</v>
      </c>
      <c r="D315" s="12" t="s">
        <v>102</v>
      </c>
      <c r="E315" s="9" t="s">
        <v>103</v>
      </c>
      <c r="F315" s="9">
        <v>418.15386663117266</v>
      </c>
      <c r="G315" s="19" t="s">
        <v>73</v>
      </c>
      <c r="H315">
        <v>91.131242719999989</v>
      </c>
    </row>
    <row r="316" spans="1:8" x14ac:dyDescent="0.2">
      <c r="A316" s="25">
        <v>43286</v>
      </c>
      <c r="B316" s="26">
        <v>0.46875</v>
      </c>
      <c r="C316" s="5" t="s">
        <v>108</v>
      </c>
      <c r="D316" s="12" t="s">
        <v>86</v>
      </c>
      <c r="E316" s="9" t="s">
        <v>87</v>
      </c>
      <c r="F316" s="9">
        <v>11708.308265672833</v>
      </c>
      <c r="G316" s="19" t="s">
        <v>73</v>
      </c>
      <c r="H316">
        <v>9.2027643066666673</v>
      </c>
    </row>
    <row r="317" spans="1:8" x14ac:dyDescent="0.2">
      <c r="A317" s="25">
        <v>43286</v>
      </c>
      <c r="B317" s="26">
        <v>0.46875</v>
      </c>
      <c r="C317" s="5" t="s">
        <v>108</v>
      </c>
      <c r="D317" s="12" t="s">
        <v>287</v>
      </c>
      <c r="E317" s="9" t="s">
        <v>288</v>
      </c>
      <c r="F317" s="9">
        <v>418.15386663117266</v>
      </c>
      <c r="G317" s="19" t="s">
        <v>73</v>
      </c>
      <c r="H317">
        <v>3.8488404487499999</v>
      </c>
    </row>
    <row r="318" spans="1:8" x14ac:dyDescent="0.2">
      <c r="A318" s="25">
        <v>43286</v>
      </c>
      <c r="B318" s="26">
        <v>0.46875</v>
      </c>
      <c r="C318" s="5" t="s">
        <v>108</v>
      </c>
      <c r="D318" s="8" t="s">
        <v>282</v>
      </c>
      <c r="E318" s="9" t="s">
        <v>127</v>
      </c>
      <c r="F318" s="9">
        <v>418.15386663117266</v>
      </c>
      <c r="G318" s="19" t="s">
        <v>73</v>
      </c>
      <c r="H318">
        <v>17.578766844999997</v>
      </c>
    </row>
    <row r="319" spans="1:8" x14ac:dyDescent="0.2">
      <c r="A319" s="25">
        <v>43286</v>
      </c>
      <c r="B319" s="26">
        <v>0.46875</v>
      </c>
      <c r="C319" s="5" t="s">
        <v>108</v>
      </c>
      <c r="D319" s="12" t="s">
        <v>216</v>
      </c>
      <c r="E319" s="9" t="s">
        <v>217</v>
      </c>
      <c r="F319" s="9">
        <v>836.30773326234532</v>
      </c>
      <c r="G319" s="19" t="s">
        <v>97</v>
      </c>
      <c r="H319">
        <v>9.6399689149999972</v>
      </c>
    </row>
    <row r="320" spans="1:8" x14ac:dyDescent="0.2">
      <c r="A320" s="25">
        <v>43286</v>
      </c>
      <c r="B320" s="26">
        <v>0.46875</v>
      </c>
      <c r="C320" s="5" t="s">
        <v>108</v>
      </c>
      <c r="D320" s="12" t="s">
        <v>88</v>
      </c>
      <c r="E320" s="9" t="s">
        <v>89</v>
      </c>
      <c r="F320" s="9">
        <v>836.30773326234532</v>
      </c>
      <c r="G320" s="19" t="s">
        <v>73</v>
      </c>
      <c r="H320">
        <v>430.35384773999982</v>
      </c>
    </row>
    <row r="321" spans="1:8" x14ac:dyDescent="0.2">
      <c r="A321" s="25">
        <v>43286</v>
      </c>
      <c r="B321" s="26">
        <v>0.46875</v>
      </c>
      <c r="C321" s="5" t="s">
        <v>108</v>
      </c>
      <c r="D321" s="12" t="s">
        <v>94</v>
      </c>
      <c r="E321" s="9" t="s">
        <v>95</v>
      </c>
      <c r="F321" s="9">
        <v>155135.08452016505</v>
      </c>
      <c r="G321" s="19" t="s">
        <v>97</v>
      </c>
      <c r="H321">
        <v>0.17999999999999997</v>
      </c>
    </row>
    <row r="322" spans="1:8" x14ac:dyDescent="0.2">
      <c r="A322" s="25">
        <v>43286</v>
      </c>
      <c r="B322" s="26">
        <v>0.46875</v>
      </c>
      <c r="C322" s="5" t="s">
        <v>108</v>
      </c>
      <c r="D322" s="12" t="s">
        <v>130</v>
      </c>
      <c r="E322" s="9" t="s">
        <v>95</v>
      </c>
      <c r="F322" s="9">
        <v>418.15386663117266</v>
      </c>
      <c r="G322" s="19" t="s">
        <v>97</v>
      </c>
      <c r="H322">
        <v>91.952244906666635</v>
      </c>
    </row>
    <row r="323" spans="1:8" x14ac:dyDescent="0.2">
      <c r="A323" s="25">
        <v>43286</v>
      </c>
      <c r="B323" s="26">
        <v>0.46875</v>
      </c>
      <c r="C323" s="5" t="s">
        <v>108</v>
      </c>
      <c r="D323" s="12" t="s">
        <v>163</v>
      </c>
      <c r="E323" s="9" t="s">
        <v>95</v>
      </c>
      <c r="F323" s="9">
        <v>836.30773326234532</v>
      </c>
      <c r="G323" s="19" t="s">
        <v>97</v>
      </c>
      <c r="H323">
        <v>14.137154999999998</v>
      </c>
    </row>
    <row r="324" spans="1:8" x14ac:dyDescent="0.2">
      <c r="A324" s="25">
        <v>43286</v>
      </c>
      <c r="B324" s="26">
        <v>0.484027777777778</v>
      </c>
      <c r="C324" s="5" t="s">
        <v>144</v>
      </c>
      <c r="D324" s="12" t="s">
        <v>109</v>
      </c>
      <c r="E324" s="9" t="s">
        <v>110</v>
      </c>
      <c r="F324" s="9">
        <v>459.96925329428984</v>
      </c>
      <c r="G324" s="19" t="s">
        <v>73</v>
      </c>
      <c r="H324">
        <v>99.994453507500012</v>
      </c>
    </row>
    <row r="325" spans="1:8" x14ac:dyDescent="0.2">
      <c r="A325" s="25">
        <v>43286</v>
      </c>
      <c r="B325" s="26">
        <v>0.484027777777778</v>
      </c>
      <c r="C325" s="5" t="s">
        <v>144</v>
      </c>
      <c r="D325" s="12" t="s">
        <v>69</v>
      </c>
      <c r="E325" s="9" t="s">
        <v>71</v>
      </c>
      <c r="F325" s="9">
        <v>459.96925329428984</v>
      </c>
      <c r="G325" s="19" t="s">
        <v>73</v>
      </c>
      <c r="H325">
        <v>302.68591332</v>
      </c>
    </row>
    <row r="326" spans="1:8" x14ac:dyDescent="0.2">
      <c r="A326" s="25">
        <v>43286</v>
      </c>
      <c r="B326" s="26">
        <v>0.484027777777778</v>
      </c>
      <c r="C326" s="5" t="s">
        <v>144</v>
      </c>
      <c r="D326" s="12" t="s">
        <v>81</v>
      </c>
      <c r="E326" s="9" t="s">
        <v>83</v>
      </c>
      <c r="F326" s="9">
        <v>919.93850658857968</v>
      </c>
      <c r="G326" s="19" t="s">
        <v>73</v>
      </c>
      <c r="H326">
        <v>50.964967373333316</v>
      </c>
    </row>
    <row r="327" spans="1:8" x14ac:dyDescent="0.2">
      <c r="A327" s="25">
        <v>43286</v>
      </c>
      <c r="B327" s="26">
        <v>0.484027777777778</v>
      </c>
      <c r="C327" s="5" t="s">
        <v>144</v>
      </c>
      <c r="D327" s="12" t="s">
        <v>86</v>
      </c>
      <c r="E327" s="9" t="s">
        <v>87</v>
      </c>
      <c r="F327" s="9">
        <v>7359.5080527086375</v>
      </c>
      <c r="G327" s="19" t="s">
        <v>73</v>
      </c>
      <c r="H327">
        <v>7.2382233599999992</v>
      </c>
    </row>
    <row r="328" spans="1:8" x14ac:dyDescent="0.2">
      <c r="A328" s="25">
        <v>43286</v>
      </c>
      <c r="B328" s="26">
        <v>0.484027777777778</v>
      </c>
      <c r="C328" s="5" t="s">
        <v>144</v>
      </c>
      <c r="D328" s="12" t="s">
        <v>94</v>
      </c>
      <c r="E328" s="9" t="s">
        <v>95</v>
      </c>
      <c r="F328" s="9">
        <v>184447.67057101021</v>
      </c>
      <c r="G328" s="19" t="s">
        <v>97</v>
      </c>
      <c r="H328">
        <v>0.17999999999999997</v>
      </c>
    </row>
    <row r="329" spans="1:8" x14ac:dyDescent="0.2">
      <c r="A329" s="25">
        <v>43286</v>
      </c>
      <c r="B329" s="26">
        <v>0.484027777777778</v>
      </c>
      <c r="C329" s="5" t="s">
        <v>144</v>
      </c>
      <c r="D329" s="12" t="s">
        <v>163</v>
      </c>
      <c r="E329" s="9" t="s">
        <v>95</v>
      </c>
      <c r="F329" s="9">
        <v>459.96925329428984</v>
      </c>
      <c r="G329" s="19" t="s">
        <v>97</v>
      </c>
      <c r="H329">
        <v>11.494030613333329</v>
      </c>
    </row>
    <row r="330" spans="1:8" x14ac:dyDescent="0.2">
      <c r="A330" s="50">
        <v>43286</v>
      </c>
      <c r="B330" s="51">
        <v>0.49791666666666701</v>
      </c>
      <c r="C330" s="49" t="s">
        <v>113</v>
      </c>
      <c r="D330" s="57" t="s">
        <v>109</v>
      </c>
      <c r="E330" s="53" t="s">
        <v>110</v>
      </c>
      <c r="F330" s="9">
        <v>511.07694810476653</v>
      </c>
      <c r="G330" s="60" t="s">
        <v>73</v>
      </c>
      <c r="H330">
        <v>90.317570909999986</v>
      </c>
    </row>
    <row r="331" spans="1:8" x14ac:dyDescent="0.2">
      <c r="A331" s="50">
        <v>43286</v>
      </c>
      <c r="B331" s="51">
        <v>0.49791666666666701</v>
      </c>
      <c r="C331" s="49" t="s">
        <v>113</v>
      </c>
      <c r="D331" s="57" t="s">
        <v>69</v>
      </c>
      <c r="E331" s="53" t="s">
        <v>71</v>
      </c>
      <c r="F331" s="9">
        <v>511.07694810476653</v>
      </c>
      <c r="G331" s="60" t="s">
        <v>73</v>
      </c>
      <c r="H331">
        <v>954.78574961999993</v>
      </c>
    </row>
    <row r="332" spans="1:8" x14ac:dyDescent="0.2">
      <c r="A332" s="50">
        <v>43286</v>
      </c>
      <c r="B332" s="51">
        <v>0.49791666666666701</v>
      </c>
      <c r="C332" s="49" t="s">
        <v>113</v>
      </c>
      <c r="D332" s="57" t="s">
        <v>86</v>
      </c>
      <c r="E332" s="53" t="s">
        <v>87</v>
      </c>
      <c r="F332" s="9">
        <v>6644.0003253619652</v>
      </c>
      <c r="G332" s="60" t="s">
        <v>73</v>
      </c>
      <c r="H332">
        <v>7.2382233599999992</v>
      </c>
    </row>
    <row r="333" spans="1:8" x14ac:dyDescent="0.2">
      <c r="A333" s="50">
        <v>43286</v>
      </c>
      <c r="B333" s="51">
        <v>0.49791666666666701</v>
      </c>
      <c r="C333" s="49" t="s">
        <v>113</v>
      </c>
      <c r="D333" s="58" t="s">
        <v>179</v>
      </c>
      <c r="E333" s="53" t="s">
        <v>180</v>
      </c>
      <c r="F333" s="9">
        <v>511.07694810476653</v>
      </c>
      <c r="G333" s="60" t="s">
        <v>73</v>
      </c>
      <c r="H333">
        <v>121.50832362666665</v>
      </c>
    </row>
    <row r="334" spans="1:8" x14ac:dyDescent="0.2">
      <c r="A334" s="50">
        <v>43286</v>
      </c>
      <c r="B334" s="51">
        <v>0.49791666666666701</v>
      </c>
      <c r="C334" s="49" t="s">
        <v>113</v>
      </c>
      <c r="D334" s="57" t="s">
        <v>88</v>
      </c>
      <c r="E334" s="53" t="s">
        <v>89</v>
      </c>
      <c r="F334" s="9">
        <v>511.07694810476653</v>
      </c>
      <c r="G334" s="60" t="s">
        <v>73</v>
      </c>
      <c r="H334">
        <v>314.73783795749995</v>
      </c>
    </row>
    <row r="335" spans="1:8" x14ac:dyDescent="0.2">
      <c r="A335" s="50">
        <v>43286</v>
      </c>
      <c r="B335" s="51">
        <v>0.49791666666666701</v>
      </c>
      <c r="C335" s="49" t="s">
        <v>113</v>
      </c>
      <c r="D335" s="57" t="s">
        <v>94</v>
      </c>
      <c r="E335" s="53" t="s">
        <v>95</v>
      </c>
      <c r="F335" s="9">
        <v>203919.70229380182</v>
      </c>
      <c r="G335" s="60" t="s">
        <v>97</v>
      </c>
      <c r="H335">
        <v>0.17999999999999997</v>
      </c>
    </row>
    <row r="336" spans="1:8" x14ac:dyDescent="0.2">
      <c r="A336" s="25">
        <v>43286</v>
      </c>
      <c r="B336" s="26">
        <v>0.51041666666666696</v>
      </c>
      <c r="C336" s="5" t="s">
        <v>209</v>
      </c>
      <c r="D336" s="12" t="s">
        <v>190</v>
      </c>
      <c r="E336" s="9" t="s">
        <v>191</v>
      </c>
      <c r="F336" s="9">
        <v>229.98462664714492</v>
      </c>
      <c r="G336" s="19" t="s">
        <v>73</v>
      </c>
      <c r="H336">
        <v>67.34</v>
      </c>
    </row>
    <row r="337" spans="1:8" x14ac:dyDescent="0.2">
      <c r="A337" s="25">
        <v>43286</v>
      </c>
      <c r="B337" s="26">
        <v>0.51041666666666696</v>
      </c>
      <c r="C337" s="5" t="s">
        <v>209</v>
      </c>
      <c r="D337" s="12" t="s">
        <v>81</v>
      </c>
      <c r="E337" s="9" t="s">
        <v>83</v>
      </c>
      <c r="F337" s="9">
        <v>229.98462664714492</v>
      </c>
      <c r="G337" s="19" t="s">
        <v>73</v>
      </c>
      <c r="H337">
        <v>62.044308106666655</v>
      </c>
    </row>
    <row r="338" spans="1:8" x14ac:dyDescent="0.2">
      <c r="A338" s="25">
        <v>43286</v>
      </c>
      <c r="B338" s="26">
        <v>0.51041666666666696</v>
      </c>
      <c r="C338" s="5" t="s">
        <v>209</v>
      </c>
      <c r="D338" s="12" t="s">
        <v>86</v>
      </c>
      <c r="E338" s="9" t="s">
        <v>87</v>
      </c>
      <c r="F338" s="9">
        <v>5289.6464128843336</v>
      </c>
      <c r="G338" s="19" t="s">
        <v>73</v>
      </c>
      <c r="H338">
        <v>9.2027643066666673</v>
      </c>
    </row>
    <row r="339" spans="1:8" x14ac:dyDescent="0.2">
      <c r="A339" s="25">
        <v>43286</v>
      </c>
      <c r="B339" s="26">
        <v>0.51041666666666696</v>
      </c>
      <c r="C339" s="5" t="s">
        <v>209</v>
      </c>
      <c r="D339" s="12" t="s">
        <v>88</v>
      </c>
      <c r="E339" s="9" t="s">
        <v>89</v>
      </c>
      <c r="F339" s="9">
        <v>459.96925329428984</v>
      </c>
      <c r="G339" s="19" t="s">
        <v>73</v>
      </c>
      <c r="H339">
        <v>326.05934291999995</v>
      </c>
    </row>
    <row r="340" spans="1:8" x14ac:dyDescent="0.2">
      <c r="A340" s="25">
        <v>43286</v>
      </c>
      <c r="B340" s="26">
        <v>0.51041666666666696</v>
      </c>
      <c r="C340" s="5" t="s">
        <v>209</v>
      </c>
      <c r="D340" s="12" t="s">
        <v>92</v>
      </c>
      <c r="E340" s="9" t="s">
        <v>89</v>
      </c>
      <c r="F340" s="9">
        <v>229.98462664714492</v>
      </c>
      <c r="G340" s="19" t="s">
        <v>73</v>
      </c>
      <c r="H340">
        <v>76.353203359999995</v>
      </c>
    </row>
    <row r="341" spans="1:8" x14ac:dyDescent="0.2">
      <c r="A341" s="25">
        <v>43286</v>
      </c>
      <c r="B341" s="26">
        <v>0.51041666666666696</v>
      </c>
      <c r="C341" s="5" t="s">
        <v>209</v>
      </c>
      <c r="D341" s="12" t="s">
        <v>94</v>
      </c>
      <c r="E341" s="9" t="s">
        <v>95</v>
      </c>
      <c r="F341" s="9">
        <v>95443.620058565153</v>
      </c>
      <c r="G341" s="19" t="s">
        <v>97</v>
      </c>
      <c r="H341">
        <v>0.17999999999999997</v>
      </c>
    </row>
    <row r="342" spans="1:8" x14ac:dyDescent="0.2">
      <c r="A342" s="50">
        <v>43286</v>
      </c>
      <c r="B342" s="51">
        <v>0.53888888888888897</v>
      </c>
      <c r="C342" s="49" t="s">
        <v>170</v>
      </c>
      <c r="D342" s="57" t="s">
        <v>86</v>
      </c>
      <c r="E342" s="53" t="s">
        <v>87</v>
      </c>
      <c r="F342" s="9">
        <v>4808.7694662584854</v>
      </c>
      <c r="G342" s="60" t="s">
        <v>73</v>
      </c>
      <c r="H342">
        <v>11.494030613333329</v>
      </c>
    </row>
    <row r="343" spans="1:8" x14ac:dyDescent="0.2">
      <c r="A343" s="50">
        <v>43286</v>
      </c>
      <c r="B343" s="51">
        <v>0.53888888888888897</v>
      </c>
      <c r="C343" s="49" t="s">
        <v>170</v>
      </c>
      <c r="D343" s="57" t="s">
        <v>88</v>
      </c>
      <c r="E343" s="53" t="s">
        <v>89</v>
      </c>
      <c r="F343" s="9">
        <v>209.07693331558633</v>
      </c>
      <c r="G343" s="60" t="s">
        <v>73</v>
      </c>
      <c r="H343">
        <v>337.38084788249995</v>
      </c>
    </row>
    <row r="344" spans="1:8" x14ac:dyDescent="0.2">
      <c r="A344" s="50">
        <v>43286</v>
      </c>
      <c r="B344" s="51">
        <v>0.53888888888888897</v>
      </c>
      <c r="C344" s="49" t="s">
        <v>170</v>
      </c>
      <c r="D344" s="57" t="s">
        <v>94</v>
      </c>
      <c r="E344" s="53" t="s">
        <v>95</v>
      </c>
      <c r="F344" s="9">
        <v>81540.003993078659</v>
      </c>
      <c r="G344" s="60" t="s">
        <v>97</v>
      </c>
      <c r="H344">
        <v>0.17999999999999997</v>
      </c>
    </row>
    <row r="345" spans="1:8" x14ac:dyDescent="0.2">
      <c r="A345" s="50">
        <v>43286</v>
      </c>
      <c r="B345" s="51">
        <v>0.53888888888888897</v>
      </c>
      <c r="C345" s="49" t="s">
        <v>170</v>
      </c>
      <c r="D345" s="58" t="s">
        <v>156</v>
      </c>
      <c r="E345" s="53" t="s">
        <v>157</v>
      </c>
      <c r="F345" s="9">
        <v>209.07693331558633</v>
      </c>
      <c r="G345" s="60" t="s">
        <v>73</v>
      </c>
      <c r="H345">
        <v>26.521826378333333</v>
      </c>
    </row>
    <row r="346" spans="1:8" x14ac:dyDescent="0.2">
      <c r="A346" s="50">
        <v>43286</v>
      </c>
      <c r="B346" s="51">
        <v>0.55763888888888902</v>
      </c>
      <c r="C346" s="49" t="s">
        <v>173</v>
      </c>
      <c r="D346" s="57" t="s">
        <v>190</v>
      </c>
      <c r="E346" s="53" t="s">
        <v>191</v>
      </c>
      <c r="F346" s="9">
        <v>229.98462664714492</v>
      </c>
      <c r="G346" s="60" t="s">
        <v>73</v>
      </c>
      <c r="H346">
        <v>79.967999999999975</v>
      </c>
    </row>
    <row r="347" spans="1:8" x14ac:dyDescent="0.2">
      <c r="A347" s="50">
        <v>43286</v>
      </c>
      <c r="B347" s="51">
        <v>0.55763888888888902</v>
      </c>
      <c r="C347" s="49" t="s">
        <v>173</v>
      </c>
      <c r="D347" s="57" t="s">
        <v>81</v>
      </c>
      <c r="E347" s="53" t="s">
        <v>83</v>
      </c>
      <c r="F347" s="9">
        <v>229.98462664714492</v>
      </c>
      <c r="G347" s="60" t="s">
        <v>73</v>
      </c>
      <c r="H347">
        <v>62.044308106666655</v>
      </c>
    </row>
    <row r="348" spans="1:8" x14ac:dyDescent="0.2">
      <c r="A348" s="50">
        <v>43286</v>
      </c>
      <c r="B348" s="51">
        <v>0.55763888888888902</v>
      </c>
      <c r="C348" s="49" t="s">
        <v>173</v>
      </c>
      <c r="D348" s="57" t="s">
        <v>86</v>
      </c>
      <c r="E348" s="53" t="s">
        <v>87</v>
      </c>
      <c r="F348" s="9">
        <v>9199.3850658857973</v>
      </c>
      <c r="G348" s="60" t="s">
        <v>73</v>
      </c>
      <c r="H348">
        <v>7.2382233599999992</v>
      </c>
    </row>
    <row r="349" spans="1:8" x14ac:dyDescent="0.2">
      <c r="A349" s="50">
        <v>43286</v>
      </c>
      <c r="B349" s="51">
        <v>0.55763888888888902</v>
      </c>
      <c r="C349" s="49" t="s">
        <v>173</v>
      </c>
      <c r="D349" s="57" t="s">
        <v>94</v>
      </c>
      <c r="E349" s="53" t="s">
        <v>95</v>
      </c>
      <c r="F349" s="9">
        <v>84864.327232796481</v>
      </c>
      <c r="G349" s="60" t="s">
        <v>97</v>
      </c>
      <c r="H349">
        <v>0.17999999999999997</v>
      </c>
    </row>
    <row r="350" spans="1:8" x14ac:dyDescent="0.2">
      <c r="A350" s="50">
        <v>43286</v>
      </c>
      <c r="B350" s="51">
        <v>0.55763888888888902</v>
      </c>
      <c r="C350" s="49" t="s">
        <v>173</v>
      </c>
      <c r="D350" s="57" t="s">
        <v>312</v>
      </c>
      <c r="E350" s="53" t="s">
        <v>313</v>
      </c>
      <c r="F350" s="9">
        <v>229.98462664714492</v>
      </c>
      <c r="G350" s="60" t="s">
        <v>134</v>
      </c>
      <c r="H350">
        <v>1.7812815299999998</v>
      </c>
    </row>
    <row r="351" spans="1:8" x14ac:dyDescent="0.2">
      <c r="A351" s="50">
        <v>43286</v>
      </c>
      <c r="B351" s="51">
        <v>0.56666666666666698</v>
      </c>
      <c r="C351" s="49" t="s">
        <v>158</v>
      </c>
      <c r="D351" s="57" t="s">
        <v>69</v>
      </c>
      <c r="E351" s="53" t="s">
        <v>71</v>
      </c>
      <c r="F351" s="9">
        <v>209.07693331558633</v>
      </c>
      <c r="G351" s="60" t="s">
        <v>73</v>
      </c>
      <c r="H351">
        <v>302.68591332</v>
      </c>
    </row>
    <row r="352" spans="1:8" x14ac:dyDescent="0.2">
      <c r="A352" s="50">
        <v>43286</v>
      </c>
      <c r="B352" s="51">
        <v>0.56666666666666698</v>
      </c>
      <c r="C352" s="49" t="s">
        <v>158</v>
      </c>
      <c r="D352" s="57" t="s">
        <v>270</v>
      </c>
      <c r="E352" s="53" t="s">
        <v>191</v>
      </c>
      <c r="F352" s="9">
        <v>418.15386663117266</v>
      </c>
      <c r="G352" s="60" t="s">
        <v>73</v>
      </c>
      <c r="H352">
        <v>171.125</v>
      </c>
    </row>
    <row r="353" spans="1:8" x14ac:dyDescent="0.2">
      <c r="A353" s="50">
        <v>43286</v>
      </c>
      <c r="B353" s="51">
        <v>0.56666666666666698</v>
      </c>
      <c r="C353" s="49" t="s">
        <v>158</v>
      </c>
      <c r="D353" s="57" t="s">
        <v>190</v>
      </c>
      <c r="E353" s="53" t="s">
        <v>191</v>
      </c>
      <c r="F353" s="9">
        <v>627.23079994675891</v>
      </c>
      <c r="G353" s="60" t="s">
        <v>73</v>
      </c>
      <c r="H353">
        <v>135.23499999999999</v>
      </c>
    </row>
    <row r="354" spans="1:8" x14ac:dyDescent="0.2">
      <c r="A354" s="50">
        <v>43286</v>
      </c>
      <c r="B354" s="51">
        <v>0.56666666666666698</v>
      </c>
      <c r="C354" s="49" t="s">
        <v>158</v>
      </c>
      <c r="D354" s="57" t="s">
        <v>86</v>
      </c>
      <c r="E354" s="53" t="s">
        <v>87</v>
      </c>
      <c r="F354" s="9">
        <v>7735.8465326766936</v>
      </c>
      <c r="G354" s="60" t="s">
        <v>73</v>
      </c>
      <c r="H354">
        <v>9.2027643066666673</v>
      </c>
    </row>
    <row r="355" spans="1:8" x14ac:dyDescent="0.2">
      <c r="A355" s="50">
        <v>43286</v>
      </c>
      <c r="B355" s="51">
        <v>0.56666666666666698</v>
      </c>
      <c r="C355" s="49" t="s">
        <v>158</v>
      </c>
      <c r="D355" s="57" t="s">
        <v>309</v>
      </c>
      <c r="E355" s="53" t="s">
        <v>310</v>
      </c>
      <c r="F355" s="9">
        <v>209.07693331558633</v>
      </c>
      <c r="G355" s="60" t="s">
        <v>97</v>
      </c>
      <c r="H355">
        <v>11.494030613333329</v>
      </c>
    </row>
    <row r="356" spans="1:8" x14ac:dyDescent="0.2">
      <c r="A356" s="50">
        <v>43286</v>
      </c>
      <c r="B356" s="51">
        <v>0.56666666666666698</v>
      </c>
      <c r="C356" s="49" t="s">
        <v>158</v>
      </c>
      <c r="D356" s="57" t="s">
        <v>92</v>
      </c>
      <c r="E356" s="53" t="s">
        <v>89</v>
      </c>
      <c r="F356" s="9">
        <v>418.15386663117266</v>
      </c>
      <c r="G356" s="60" t="s">
        <v>73</v>
      </c>
      <c r="H356">
        <v>112.822350875</v>
      </c>
    </row>
    <row r="357" spans="1:8" x14ac:dyDescent="0.2">
      <c r="A357" s="50">
        <v>43286</v>
      </c>
      <c r="B357" s="51">
        <v>0.56666666666666698</v>
      </c>
      <c r="C357" s="49" t="s">
        <v>158</v>
      </c>
      <c r="D357" s="57" t="s">
        <v>94</v>
      </c>
      <c r="E357" s="53" t="s">
        <v>95</v>
      </c>
      <c r="F357" s="9">
        <v>79031.080793291636</v>
      </c>
      <c r="G357" s="60" t="s">
        <v>97</v>
      </c>
      <c r="H357">
        <v>0.17999999999999997</v>
      </c>
    </row>
    <row r="358" spans="1:8" x14ac:dyDescent="0.2">
      <c r="A358" s="50">
        <v>43286</v>
      </c>
      <c r="B358" s="51">
        <v>0.56666666666666698</v>
      </c>
      <c r="C358" s="49" t="s">
        <v>158</v>
      </c>
      <c r="D358" s="57" t="s">
        <v>312</v>
      </c>
      <c r="E358" s="53" t="s">
        <v>313</v>
      </c>
      <c r="F358" s="9">
        <v>209.07693331558633</v>
      </c>
      <c r="G358" s="60" t="s">
        <v>134</v>
      </c>
      <c r="H358">
        <v>7.938797929999998</v>
      </c>
    </row>
    <row r="359" spans="1:8" x14ac:dyDescent="0.2">
      <c r="A359" s="25">
        <v>43290</v>
      </c>
      <c r="B359" s="26">
        <v>0.61805555555555602</v>
      </c>
      <c r="C359" s="5" t="s">
        <v>226</v>
      </c>
      <c r="D359" s="12" t="s">
        <v>102</v>
      </c>
      <c r="E359" s="9" t="s">
        <v>103</v>
      </c>
      <c r="F359" s="9">
        <v>418.15386663117266</v>
      </c>
      <c r="G359" s="19" t="s">
        <v>73</v>
      </c>
      <c r="H359">
        <v>240.84685575999998</v>
      </c>
    </row>
    <row r="360" spans="1:8" x14ac:dyDescent="0.2">
      <c r="A360" s="25">
        <v>43290</v>
      </c>
      <c r="B360" s="26">
        <v>0.61805555555555602</v>
      </c>
      <c r="C360" s="5" t="s">
        <v>226</v>
      </c>
      <c r="D360" s="12" t="s">
        <v>190</v>
      </c>
      <c r="E360" s="9" t="s">
        <v>191</v>
      </c>
      <c r="F360" s="9">
        <v>418.15386663117266</v>
      </c>
      <c r="G360" s="19" t="s">
        <v>73</v>
      </c>
      <c r="H360">
        <v>50.959999999999994</v>
      </c>
    </row>
    <row r="361" spans="1:8" x14ac:dyDescent="0.2">
      <c r="A361" s="25">
        <v>43290</v>
      </c>
      <c r="B361" s="26">
        <v>0.61805555555555602</v>
      </c>
      <c r="C361" s="5" t="s">
        <v>226</v>
      </c>
      <c r="D361" s="37" t="s">
        <v>275</v>
      </c>
      <c r="E361" s="9" t="s">
        <v>276</v>
      </c>
      <c r="F361" s="9">
        <v>418.15386663117266</v>
      </c>
      <c r="G361" s="19" t="s">
        <v>73</v>
      </c>
      <c r="H361">
        <v>34.482091839999988</v>
      </c>
    </row>
    <row r="362" spans="1:8" x14ac:dyDescent="0.2">
      <c r="A362" s="25">
        <v>43290</v>
      </c>
      <c r="B362" s="26">
        <v>0.61805555555555602</v>
      </c>
      <c r="C362" s="5" t="s">
        <v>226</v>
      </c>
      <c r="D362" s="12" t="s">
        <v>86</v>
      </c>
      <c r="E362" s="9" t="s">
        <v>87</v>
      </c>
      <c r="F362" s="9">
        <v>2927.0770664182082</v>
      </c>
      <c r="G362" s="19" t="s">
        <v>73</v>
      </c>
      <c r="H362">
        <v>9.2027643066666673</v>
      </c>
    </row>
    <row r="363" spans="1:8" x14ac:dyDescent="0.2">
      <c r="A363" s="25">
        <v>43290</v>
      </c>
      <c r="B363" s="26">
        <v>0.61805555555555602</v>
      </c>
      <c r="C363" s="5" t="s">
        <v>226</v>
      </c>
      <c r="D363" s="12" t="s">
        <v>88</v>
      </c>
      <c r="E363" s="9" t="s">
        <v>89</v>
      </c>
      <c r="F363" s="9">
        <v>418.15386663117266</v>
      </c>
      <c r="G363" s="19" t="s">
        <v>73</v>
      </c>
      <c r="H363">
        <v>538.67979792749986</v>
      </c>
    </row>
    <row r="364" spans="1:8" x14ac:dyDescent="0.2">
      <c r="A364" s="25">
        <v>43290</v>
      </c>
      <c r="B364" s="26">
        <v>0.61805555555555602</v>
      </c>
      <c r="C364" s="5" t="s">
        <v>226</v>
      </c>
      <c r="D364" s="12" t="s">
        <v>94</v>
      </c>
      <c r="E364" s="9" t="s">
        <v>95</v>
      </c>
      <c r="F364" s="9">
        <v>172697.54691867431</v>
      </c>
      <c r="G364" s="19" t="s">
        <v>97</v>
      </c>
      <c r="H364">
        <v>0.17999999999999997</v>
      </c>
    </row>
    <row r="365" spans="1:8" x14ac:dyDescent="0.2">
      <c r="A365" s="25">
        <v>43290</v>
      </c>
      <c r="B365" s="26">
        <v>0.61805555555555602</v>
      </c>
      <c r="C365" s="5" t="s">
        <v>226</v>
      </c>
      <c r="D365" s="12" t="s">
        <v>130</v>
      </c>
      <c r="E365" s="9" t="s">
        <v>95</v>
      </c>
      <c r="F365" s="9">
        <v>418.15386663117266</v>
      </c>
      <c r="G365" s="19" t="s">
        <v>73</v>
      </c>
      <c r="H365">
        <v>91.952244906666635</v>
      </c>
    </row>
    <row r="366" spans="1:8" x14ac:dyDescent="0.2">
      <c r="A366" s="25">
        <v>43290</v>
      </c>
      <c r="B366" s="26">
        <v>0.61805555555555602</v>
      </c>
      <c r="C366" s="5" t="s">
        <v>226</v>
      </c>
      <c r="D366" s="12" t="s">
        <v>272</v>
      </c>
      <c r="E366" s="9" t="s">
        <v>133</v>
      </c>
      <c r="F366" s="9">
        <v>418.15386663117266</v>
      </c>
      <c r="G366" s="19" t="s">
        <v>134</v>
      </c>
      <c r="H366">
        <v>60.211713939999996</v>
      </c>
    </row>
    <row r="367" spans="1:8" x14ac:dyDescent="0.2">
      <c r="A367" s="25">
        <v>43290</v>
      </c>
      <c r="B367" s="26">
        <v>0.64583333333333304</v>
      </c>
      <c r="C367" s="5" t="s">
        <v>222</v>
      </c>
      <c r="D367" s="12" t="s">
        <v>69</v>
      </c>
      <c r="E367" s="9" t="s">
        <v>71</v>
      </c>
      <c r="F367" s="9">
        <v>383.30771107857493</v>
      </c>
      <c r="G367" s="19" t="s">
        <v>73</v>
      </c>
      <c r="H367">
        <v>302.68591332</v>
      </c>
    </row>
    <row r="368" spans="1:8" x14ac:dyDescent="0.2">
      <c r="A368" s="25">
        <v>43290</v>
      </c>
      <c r="B368" s="26">
        <v>0.64583333333333304</v>
      </c>
      <c r="C368" s="5" t="s">
        <v>222</v>
      </c>
      <c r="D368" s="12" t="s">
        <v>102</v>
      </c>
      <c r="E368" s="9" t="s">
        <v>103</v>
      </c>
      <c r="F368" s="9">
        <v>766.61542215714985</v>
      </c>
      <c r="G368" s="19" t="s">
        <v>73</v>
      </c>
      <c r="H368">
        <v>152.64200412499997</v>
      </c>
    </row>
    <row r="369" spans="1:8" x14ac:dyDescent="0.2">
      <c r="A369" s="25">
        <v>43290</v>
      </c>
      <c r="B369" s="26">
        <v>0.64583333333333304</v>
      </c>
      <c r="C369" s="5" t="s">
        <v>222</v>
      </c>
      <c r="D369" s="12" t="s">
        <v>86</v>
      </c>
      <c r="E369" s="9" t="s">
        <v>87</v>
      </c>
      <c r="F369" s="9">
        <v>4599.6925329428987</v>
      </c>
      <c r="G369" s="19" t="s">
        <v>73</v>
      </c>
      <c r="H369">
        <v>9.2027643066666673</v>
      </c>
    </row>
    <row r="370" spans="1:8" x14ac:dyDescent="0.2">
      <c r="A370" s="25">
        <v>43290</v>
      </c>
      <c r="B370" s="26">
        <v>0.64583333333333304</v>
      </c>
      <c r="C370" s="5" t="s">
        <v>222</v>
      </c>
      <c r="D370" s="12" t="s">
        <v>118</v>
      </c>
      <c r="E370" s="9" t="s">
        <v>119</v>
      </c>
      <c r="F370" s="9">
        <v>383.30771107857493</v>
      </c>
      <c r="G370" s="19" t="s">
        <v>73</v>
      </c>
      <c r="H370">
        <v>670.23309377999999</v>
      </c>
    </row>
    <row r="371" spans="1:8" x14ac:dyDescent="0.2">
      <c r="A371" s="25">
        <v>43290</v>
      </c>
      <c r="B371" s="26">
        <v>0.64583333333333304</v>
      </c>
      <c r="C371" s="5" t="s">
        <v>222</v>
      </c>
      <c r="D371" s="12" t="s">
        <v>88</v>
      </c>
      <c r="E371" s="9" t="s">
        <v>89</v>
      </c>
      <c r="F371" s="9">
        <v>766.61542215714985</v>
      </c>
      <c r="G371" s="19" t="s">
        <v>73</v>
      </c>
      <c r="H371">
        <v>387.20515628666669</v>
      </c>
    </row>
    <row r="372" spans="1:8" x14ac:dyDescent="0.2">
      <c r="A372" s="25">
        <v>43290</v>
      </c>
      <c r="B372" s="26">
        <v>0.64583333333333304</v>
      </c>
      <c r="C372" s="5" t="s">
        <v>222</v>
      </c>
      <c r="D372" s="12" t="s">
        <v>94</v>
      </c>
      <c r="E372" s="9" t="s">
        <v>95</v>
      </c>
      <c r="F372" s="9">
        <v>153706.39214250853</v>
      </c>
      <c r="G372" s="19" t="s">
        <v>97</v>
      </c>
      <c r="H372">
        <v>0.17999999999999997</v>
      </c>
    </row>
    <row r="373" spans="1:8" x14ac:dyDescent="0.2">
      <c r="A373" s="25">
        <v>43290</v>
      </c>
      <c r="B373" s="26">
        <v>0.64583333333333304</v>
      </c>
      <c r="C373" s="5" t="s">
        <v>222</v>
      </c>
      <c r="D373" s="12" t="s">
        <v>130</v>
      </c>
      <c r="E373" s="9" t="s">
        <v>95</v>
      </c>
      <c r="F373" s="9">
        <v>383.30771107857493</v>
      </c>
      <c r="G373" s="19" t="s">
        <v>73</v>
      </c>
      <c r="H373">
        <v>91.952244906666635</v>
      </c>
    </row>
    <row r="374" spans="1:8" x14ac:dyDescent="0.2">
      <c r="A374" s="25">
        <v>43290</v>
      </c>
      <c r="B374" s="26">
        <v>0.64583333333333304</v>
      </c>
      <c r="C374" s="5" t="s">
        <v>222</v>
      </c>
      <c r="D374" s="12" t="s">
        <v>163</v>
      </c>
      <c r="E374" s="9" t="s">
        <v>95</v>
      </c>
      <c r="F374" s="9">
        <v>383.30771107857493</v>
      </c>
      <c r="G374" s="19" t="s">
        <v>97</v>
      </c>
      <c r="H374">
        <v>11.494030613333329</v>
      </c>
    </row>
    <row r="375" spans="1:8" x14ac:dyDescent="0.2">
      <c r="A375" s="25">
        <v>43290</v>
      </c>
      <c r="B375" s="26">
        <v>0.65625</v>
      </c>
      <c r="C375" s="5" t="s">
        <v>224</v>
      </c>
      <c r="D375" s="12" t="s">
        <v>69</v>
      </c>
      <c r="E375" s="9" t="s">
        <v>71</v>
      </c>
      <c r="F375" s="9">
        <v>919.93850658857968</v>
      </c>
      <c r="G375" s="19" t="s">
        <v>73</v>
      </c>
      <c r="H375">
        <v>291.86627735999997</v>
      </c>
    </row>
    <row r="376" spans="1:8" x14ac:dyDescent="0.2">
      <c r="A376" s="25">
        <v>43290</v>
      </c>
      <c r="B376" s="26">
        <v>0.65625</v>
      </c>
      <c r="C376" s="5" t="s">
        <v>224</v>
      </c>
      <c r="D376" s="12" t="s">
        <v>69</v>
      </c>
      <c r="E376" s="9" t="s">
        <v>71</v>
      </c>
      <c r="F376" s="9">
        <v>459.96925329428984</v>
      </c>
      <c r="G376" s="19" t="s">
        <v>73</v>
      </c>
      <c r="H376">
        <v>182.26248543999998</v>
      </c>
    </row>
    <row r="377" spans="1:8" x14ac:dyDescent="0.2">
      <c r="A377" s="25">
        <v>43290</v>
      </c>
      <c r="B377" s="26">
        <v>0.65625</v>
      </c>
      <c r="C377" s="5" t="s">
        <v>224</v>
      </c>
      <c r="D377" s="12" t="s">
        <v>102</v>
      </c>
      <c r="E377" s="9" t="s">
        <v>103</v>
      </c>
      <c r="F377" s="9">
        <v>919.93850658857968</v>
      </c>
      <c r="G377" s="19" t="s">
        <v>73</v>
      </c>
      <c r="H377">
        <v>180.87704424999998</v>
      </c>
    </row>
    <row r="378" spans="1:8" x14ac:dyDescent="0.2">
      <c r="A378" s="25">
        <v>43290</v>
      </c>
      <c r="B378" s="26">
        <v>0.65625</v>
      </c>
      <c r="C378" s="5" t="s">
        <v>224</v>
      </c>
      <c r="D378" s="12" t="s">
        <v>86</v>
      </c>
      <c r="E378" s="9" t="s">
        <v>87</v>
      </c>
      <c r="F378" s="9">
        <v>5059.6617862371886</v>
      </c>
      <c r="G378" s="19" t="s">
        <v>73</v>
      </c>
      <c r="H378">
        <v>7.2382233599999992</v>
      </c>
    </row>
    <row r="379" spans="1:8" x14ac:dyDescent="0.2">
      <c r="A379" s="25">
        <v>43290</v>
      </c>
      <c r="B379" s="26">
        <v>0.65625</v>
      </c>
      <c r="C379" s="5" t="s">
        <v>224</v>
      </c>
      <c r="D379" s="12" t="s">
        <v>126</v>
      </c>
      <c r="E379" s="9" t="s">
        <v>127</v>
      </c>
      <c r="F379" s="9">
        <v>919.93850658857968</v>
      </c>
      <c r="G379" s="19" t="s">
        <v>73</v>
      </c>
      <c r="H379">
        <v>22.871298798333328</v>
      </c>
    </row>
    <row r="380" spans="1:8" x14ac:dyDescent="0.2">
      <c r="A380" s="25">
        <v>43290</v>
      </c>
      <c r="B380" s="26">
        <v>0.65625</v>
      </c>
      <c r="C380" s="5" t="s">
        <v>224</v>
      </c>
      <c r="D380" s="12" t="s">
        <v>94</v>
      </c>
      <c r="E380" s="9" t="s">
        <v>95</v>
      </c>
      <c r="F380" s="9">
        <v>197326.80966325037</v>
      </c>
      <c r="G380" s="19" t="s">
        <v>97</v>
      </c>
      <c r="H380">
        <v>0.17999999999999997</v>
      </c>
    </row>
    <row r="381" spans="1:8" x14ac:dyDescent="0.2">
      <c r="A381" s="25">
        <v>43290</v>
      </c>
      <c r="B381" s="26">
        <v>0.66666666666666696</v>
      </c>
      <c r="C381" s="5" t="s">
        <v>278</v>
      </c>
      <c r="D381" s="12" t="s">
        <v>102</v>
      </c>
      <c r="E381" s="9" t="s">
        <v>103</v>
      </c>
      <c r="F381" s="9">
        <v>985.64839991633551</v>
      </c>
      <c r="G381" s="19" t="s">
        <v>73</v>
      </c>
      <c r="H381">
        <v>156.16215571999999</v>
      </c>
    </row>
    <row r="382" spans="1:8" x14ac:dyDescent="0.2">
      <c r="A382" s="25">
        <v>43290</v>
      </c>
      <c r="B382" s="26">
        <v>0.66666666666666696</v>
      </c>
      <c r="C382" s="5" t="s">
        <v>278</v>
      </c>
      <c r="D382" s="12" t="s">
        <v>86</v>
      </c>
      <c r="E382" s="9" t="s">
        <v>87</v>
      </c>
      <c r="F382" s="9">
        <v>3614.0441330265635</v>
      </c>
      <c r="G382" s="19" t="s">
        <v>73</v>
      </c>
      <c r="H382">
        <v>7.2382233599999992</v>
      </c>
    </row>
    <row r="383" spans="1:8" x14ac:dyDescent="0.2">
      <c r="A383" s="25">
        <v>43290</v>
      </c>
      <c r="B383" s="26">
        <v>0.66666666666666696</v>
      </c>
      <c r="C383" s="5" t="s">
        <v>278</v>
      </c>
      <c r="D383" s="12" t="s">
        <v>216</v>
      </c>
      <c r="E383" s="9" t="s">
        <v>217</v>
      </c>
      <c r="F383" s="9">
        <v>328.54946663877848</v>
      </c>
      <c r="G383" s="19" t="s">
        <v>97</v>
      </c>
      <c r="H383">
        <v>6.9937029383333318</v>
      </c>
    </row>
    <row r="384" spans="1:8" x14ac:dyDescent="0.2">
      <c r="A384" s="25">
        <v>43290</v>
      </c>
      <c r="B384" s="26">
        <v>0.66666666666666696</v>
      </c>
      <c r="C384" s="5" t="s">
        <v>278</v>
      </c>
      <c r="D384" s="12" t="s">
        <v>94</v>
      </c>
      <c r="E384" s="9" t="s">
        <v>95</v>
      </c>
      <c r="F384" s="9">
        <v>124520.24785609706</v>
      </c>
      <c r="G384" s="19" t="s">
        <v>97</v>
      </c>
      <c r="H384">
        <v>0.17999999999999997</v>
      </c>
    </row>
    <row r="385" spans="1:8" x14ac:dyDescent="0.2">
      <c r="A385" s="25">
        <v>43290</v>
      </c>
      <c r="B385" s="26">
        <v>0.66666666666666696</v>
      </c>
      <c r="C385" s="5" t="s">
        <v>278</v>
      </c>
      <c r="D385" s="12" t="s">
        <v>130</v>
      </c>
      <c r="E385" s="9" t="s">
        <v>95</v>
      </c>
      <c r="F385" s="9">
        <v>4271.143066304121</v>
      </c>
      <c r="G385" s="19" t="s">
        <v>97</v>
      </c>
      <c r="H385">
        <v>65.449791666666655</v>
      </c>
    </row>
    <row r="386" spans="1:8" x14ac:dyDescent="0.2">
      <c r="A386" s="25">
        <v>43290</v>
      </c>
      <c r="B386" s="26">
        <v>0.70833333333333304</v>
      </c>
      <c r="C386" s="5" t="s">
        <v>124</v>
      </c>
      <c r="D386" s="12" t="s">
        <v>69</v>
      </c>
      <c r="E386" s="9" t="s">
        <v>71</v>
      </c>
      <c r="F386" s="9">
        <v>209.07693331558633</v>
      </c>
      <c r="G386" s="19" t="s">
        <v>73</v>
      </c>
      <c r="H386">
        <v>451.58785454999992</v>
      </c>
    </row>
    <row r="387" spans="1:8" x14ac:dyDescent="0.2">
      <c r="A387" s="25">
        <v>43290</v>
      </c>
      <c r="B387" s="26">
        <v>0.70833333333333304</v>
      </c>
      <c r="C387" s="5" t="s">
        <v>124</v>
      </c>
      <c r="D387" s="12" t="s">
        <v>102</v>
      </c>
      <c r="E387" s="9" t="s">
        <v>103</v>
      </c>
      <c r="F387" s="9">
        <v>418.15386663117266</v>
      </c>
      <c r="G387" s="19" t="s">
        <v>73</v>
      </c>
      <c r="H387">
        <v>81.279216479999974</v>
      </c>
    </row>
    <row r="388" spans="1:8" x14ac:dyDescent="0.2">
      <c r="A388" s="25">
        <v>43290</v>
      </c>
      <c r="B388" s="26">
        <v>0.70833333333333304</v>
      </c>
      <c r="C388" s="5" t="s">
        <v>124</v>
      </c>
      <c r="D388" s="12" t="s">
        <v>270</v>
      </c>
      <c r="E388" s="9" t="s">
        <v>191</v>
      </c>
      <c r="F388" s="9">
        <v>418.15386663117266</v>
      </c>
      <c r="G388" s="19" t="s">
        <v>73</v>
      </c>
      <c r="H388">
        <v>158.11949999999999</v>
      </c>
    </row>
    <row r="389" spans="1:8" x14ac:dyDescent="0.2">
      <c r="A389" s="25">
        <v>43290</v>
      </c>
      <c r="B389" s="26">
        <v>0.70833333333333304</v>
      </c>
      <c r="C389" s="5" t="s">
        <v>124</v>
      </c>
      <c r="D389" s="12" t="s">
        <v>86</v>
      </c>
      <c r="E389" s="9" t="s">
        <v>87</v>
      </c>
      <c r="F389" s="9">
        <v>8154.0003993078662</v>
      </c>
      <c r="G389" s="19" t="s">
        <v>73</v>
      </c>
      <c r="H389">
        <v>11.494030613333329</v>
      </c>
    </row>
    <row r="390" spans="1:8" x14ac:dyDescent="0.2">
      <c r="A390" s="25">
        <v>43290</v>
      </c>
      <c r="B390" s="26">
        <v>0.70833333333333304</v>
      </c>
      <c r="C390" s="5" t="s">
        <v>124</v>
      </c>
      <c r="D390" s="12" t="s">
        <v>216</v>
      </c>
      <c r="E390" s="9" t="s">
        <v>217</v>
      </c>
      <c r="F390" s="9">
        <v>209.07693331558633</v>
      </c>
      <c r="G390" s="19" t="s">
        <v>97</v>
      </c>
      <c r="H390">
        <v>1.569224205</v>
      </c>
    </row>
    <row r="391" spans="1:8" x14ac:dyDescent="0.2">
      <c r="A391" s="25">
        <v>43290</v>
      </c>
      <c r="B391" s="26">
        <v>0.70833333333333304</v>
      </c>
      <c r="C391" s="5" t="s">
        <v>124</v>
      </c>
      <c r="D391" s="12" t="s">
        <v>94</v>
      </c>
      <c r="E391" s="9" t="s">
        <v>95</v>
      </c>
      <c r="F391" s="9">
        <v>74431.388260348729</v>
      </c>
      <c r="G391" s="19" t="s">
        <v>97</v>
      </c>
      <c r="H391">
        <v>0.17999999999999997</v>
      </c>
    </row>
    <row r="392" spans="1:8" x14ac:dyDescent="0.2">
      <c r="A392" s="25">
        <v>43290</v>
      </c>
      <c r="B392" s="26">
        <v>0.70833333333333304</v>
      </c>
      <c r="C392" s="5" t="s">
        <v>124</v>
      </c>
      <c r="D392" s="12" t="s">
        <v>98</v>
      </c>
      <c r="E392" s="9" t="s">
        <v>95</v>
      </c>
      <c r="F392" s="9">
        <v>627.23079994675891</v>
      </c>
      <c r="G392" s="19" t="s">
        <v>97</v>
      </c>
      <c r="H392">
        <v>3.5913609683333325</v>
      </c>
    </row>
    <row r="393" spans="1:8" x14ac:dyDescent="0.2">
      <c r="A393" s="25">
        <v>43290</v>
      </c>
      <c r="B393" s="26">
        <v>0.70833333333333304</v>
      </c>
      <c r="C393" s="5" t="s">
        <v>124</v>
      </c>
      <c r="D393" s="12" t="s">
        <v>130</v>
      </c>
      <c r="E393" s="9" t="s">
        <v>95</v>
      </c>
      <c r="F393" s="9">
        <v>418.15386663117266</v>
      </c>
      <c r="G393" s="19" t="s">
        <v>73</v>
      </c>
      <c r="H393">
        <v>69.455842514999972</v>
      </c>
    </row>
    <row r="394" spans="1:8" x14ac:dyDescent="0.2">
      <c r="A394" s="25">
        <v>43290</v>
      </c>
      <c r="B394" s="26">
        <v>0.70833333333333304</v>
      </c>
      <c r="C394" s="5" t="s">
        <v>124</v>
      </c>
      <c r="D394" s="12" t="s">
        <v>272</v>
      </c>
      <c r="E394" s="9" t="s">
        <v>133</v>
      </c>
      <c r="F394" s="9">
        <v>627.23079994675891</v>
      </c>
      <c r="G394" s="19" t="s">
        <v>134</v>
      </c>
      <c r="H394">
        <v>60.211713939999996</v>
      </c>
    </row>
    <row r="395" spans="1:8" x14ac:dyDescent="0.2">
      <c r="A395" s="25">
        <v>43290</v>
      </c>
      <c r="B395" s="26">
        <v>0.70833333333333304</v>
      </c>
      <c r="C395" s="5" t="s">
        <v>124</v>
      </c>
      <c r="D395" s="12" t="s">
        <v>132</v>
      </c>
      <c r="E395" s="9" t="s">
        <v>133</v>
      </c>
      <c r="F395" s="9">
        <v>209.07693331558633</v>
      </c>
      <c r="G395" s="19" t="s">
        <v>134</v>
      </c>
      <c r="H395">
        <v>5.3870414524999992</v>
      </c>
    </row>
    <row r="396" spans="1:8" x14ac:dyDescent="0.2">
      <c r="A396" s="25">
        <v>43290</v>
      </c>
      <c r="B396" s="26">
        <v>0.70833333333333304</v>
      </c>
      <c r="C396" s="5" t="s">
        <v>124</v>
      </c>
      <c r="D396" s="8" t="s">
        <v>156</v>
      </c>
      <c r="E396" s="9" t="s">
        <v>157</v>
      </c>
      <c r="F396" s="9">
        <v>209.07693331558633</v>
      </c>
      <c r="G396" s="19" t="s">
        <v>73</v>
      </c>
      <c r="H396">
        <v>91.952244906666635</v>
      </c>
    </row>
    <row r="397" spans="1:8" x14ac:dyDescent="0.2">
      <c r="A397" s="25">
        <v>43290</v>
      </c>
      <c r="B397" s="26">
        <v>0.73611111111111105</v>
      </c>
      <c r="C397" s="5" t="s">
        <v>200</v>
      </c>
      <c r="D397" s="12" t="s">
        <v>102</v>
      </c>
      <c r="E397" s="9" t="s">
        <v>103</v>
      </c>
      <c r="F397" s="9">
        <v>209.07693331558633</v>
      </c>
      <c r="G397" s="19" t="s">
        <v>73</v>
      </c>
      <c r="H397">
        <v>152.64200412499997</v>
      </c>
    </row>
    <row r="398" spans="1:8" x14ac:dyDescent="0.2">
      <c r="A398" s="25">
        <v>43290</v>
      </c>
      <c r="B398" s="26">
        <v>0.73611111111111105</v>
      </c>
      <c r="C398" s="5" t="s">
        <v>200</v>
      </c>
      <c r="D398" s="12" t="s">
        <v>291</v>
      </c>
      <c r="E398" s="9" t="s">
        <v>292</v>
      </c>
      <c r="F398" s="9">
        <v>209.07693331558633</v>
      </c>
      <c r="G398" s="19" t="s">
        <v>73</v>
      </c>
      <c r="H398">
        <v>178.90347220580148</v>
      </c>
    </row>
    <row r="399" spans="1:8" x14ac:dyDescent="0.2">
      <c r="A399" s="25">
        <v>43290</v>
      </c>
      <c r="B399" s="26">
        <v>0.73611111111111105</v>
      </c>
      <c r="C399" s="5" t="s">
        <v>200</v>
      </c>
      <c r="D399" s="12" t="s">
        <v>190</v>
      </c>
      <c r="E399" s="9" t="s">
        <v>191</v>
      </c>
      <c r="F399" s="9">
        <v>209.07693331558633</v>
      </c>
      <c r="G399" s="19" t="s">
        <v>73</v>
      </c>
      <c r="H399">
        <v>88.985000000000014</v>
      </c>
    </row>
    <row r="400" spans="1:8" x14ac:dyDescent="0.2">
      <c r="A400" s="25">
        <v>43290</v>
      </c>
      <c r="B400" s="26">
        <v>0.73611111111111105</v>
      </c>
      <c r="C400" s="5" t="s">
        <v>200</v>
      </c>
      <c r="D400" s="12" t="s">
        <v>86</v>
      </c>
      <c r="E400" s="9" t="s">
        <v>87</v>
      </c>
      <c r="F400" s="9">
        <v>8363.0773326234539</v>
      </c>
      <c r="G400" s="19" t="s">
        <v>73</v>
      </c>
      <c r="H400">
        <v>14.137154999999998</v>
      </c>
    </row>
    <row r="401" spans="1:8" x14ac:dyDescent="0.2">
      <c r="A401" s="25">
        <v>43290</v>
      </c>
      <c r="B401" s="26">
        <v>0.73611111111111105</v>
      </c>
      <c r="C401" s="5" t="s">
        <v>200</v>
      </c>
      <c r="D401" s="12" t="s">
        <v>206</v>
      </c>
      <c r="E401" s="9" t="s">
        <v>207</v>
      </c>
      <c r="F401" s="9">
        <v>836.30773326234532</v>
      </c>
      <c r="G401" s="19" t="s">
        <v>73</v>
      </c>
      <c r="H401">
        <v>21.097347644999996</v>
      </c>
    </row>
    <row r="402" spans="1:8" x14ac:dyDescent="0.2">
      <c r="A402" s="25">
        <v>43290</v>
      </c>
      <c r="B402" s="26">
        <v>0.73611111111111105</v>
      </c>
      <c r="C402" s="5" t="s">
        <v>200</v>
      </c>
      <c r="D402" s="12" t="s">
        <v>118</v>
      </c>
      <c r="E402" s="9" t="s">
        <v>119</v>
      </c>
      <c r="F402" s="9">
        <v>627.23079994675891</v>
      </c>
      <c r="G402" s="19" t="s">
        <v>73</v>
      </c>
      <c r="H402">
        <v>614.28294667499995</v>
      </c>
    </row>
    <row r="403" spans="1:8" x14ac:dyDescent="0.2">
      <c r="A403" s="25">
        <v>43290</v>
      </c>
      <c r="B403" s="26">
        <v>0.73611111111111105</v>
      </c>
      <c r="C403" s="5" t="s">
        <v>200</v>
      </c>
      <c r="D403" s="12" t="s">
        <v>88</v>
      </c>
      <c r="E403" s="9" t="s">
        <v>89</v>
      </c>
      <c r="F403" s="9">
        <v>209.07693331558633</v>
      </c>
      <c r="G403" s="19" t="s">
        <v>73</v>
      </c>
      <c r="H403">
        <v>538.67979792749986</v>
      </c>
    </row>
    <row r="404" spans="1:8" x14ac:dyDescent="0.2">
      <c r="A404" s="25">
        <v>43290</v>
      </c>
      <c r="B404" s="26">
        <v>0.73611111111111105</v>
      </c>
      <c r="C404" s="5" t="s">
        <v>200</v>
      </c>
      <c r="D404" s="12" t="s">
        <v>94</v>
      </c>
      <c r="E404" s="9" t="s">
        <v>95</v>
      </c>
      <c r="F404" s="9">
        <v>72549.695860508451</v>
      </c>
      <c r="G404" s="19" t="s">
        <v>97</v>
      </c>
      <c r="H404">
        <v>0.17999999999999997</v>
      </c>
    </row>
    <row r="405" spans="1:8" x14ac:dyDescent="0.2">
      <c r="A405" s="25">
        <v>43290</v>
      </c>
      <c r="B405" s="26">
        <v>0.73611111111111105</v>
      </c>
      <c r="C405" s="5" t="s">
        <v>200</v>
      </c>
      <c r="D405" s="12" t="s">
        <v>98</v>
      </c>
      <c r="E405" s="9" t="s">
        <v>95</v>
      </c>
      <c r="F405" s="9">
        <v>209.07693331558633</v>
      </c>
      <c r="G405" s="19" t="s">
        <v>97</v>
      </c>
      <c r="H405">
        <v>3.5913609683333325</v>
      </c>
    </row>
    <row r="406" spans="1:8" x14ac:dyDescent="0.2">
      <c r="A406" s="25">
        <v>43290</v>
      </c>
      <c r="B406" s="26">
        <v>0.73611111111111105</v>
      </c>
      <c r="C406" s="5" t="s">
        <v>200</v>
      </c>
      <c r="D406" s="12" t="s">
        <v>130</v>
      </c>
      <c r="E406" s="9" t="s">
        <v>95</v>
      </c>
      <c r="F406" s="9">
        <v>5436.0002662052448</v>
      </c>
      <c r="G406" s="19" t="s">
        <v>97</v>
      </c>
      <c r="H406">
        <v>44.60220042666667</v>
      </c>
    </row>
    <row r="407" spans="1:8" x14ac:dyDescent="0.2">
      <c r="A407" s="25">
        <v>43290</v>
      </c>
      <c r="B407" s="26">
        <v>0.73611111111111105</v>
      </c>
      <c r="C407" s="5" t="s">
        <v>200</v>
      </c>
      <c r="D407" s="8" t="s">
        <v>294</v>
      </c>
      <c r="E407" s="9" t="s">
        <v>157</v>
      </c>
      <c r="F407" s="9">
        <v>209.07693331558633</v>
      </c>
      <c r="G407" s="19" t="s">
        <v>73</v>
      </c>
      <c r="H407">
        <v>91.952244906666635</v>
      </c>
    </row>
    <row r="408" spans="1:8" x14ac:dyDescent="0.2">
      <c r="A408" s="50">
        <v>43290</v>
      </c>
      <c r="B408" s="51">
        <v>0.75</v>
      </c>
      <c r="C408" s="49" t="s">
        <v>135</v>
      </c>
      <c r="D408" s="57" t="s">
        <v>296</v>
      </c>
      <c r="E408" s="53" t="s">
        <v>103</v>
      </c>
      <c r="F408" s="9">
        <v>229.98462664714492</v>
      </c>
      <c r="G408" s="60" t="s">
        <v>73</v>
      </c>
      <c r="H408">
        <v>91.131242719999989</v>
      </c>
    </row>
    <row r="409" spans="1:8" x14ac:dyDescent="0.2">
      <c r="A409" s="50">
        <v>43290</v>
      </c>
      <c r="B409" s="51">
        <v>0.75</v>
      </c>
      <c r="C409" s="49" t="s">
        <v>135</v>
      </c>
      <c r="D409" s="57" t="s">
        <v>190</v>
      </c>
      <c r="E409" s="53" t="s">
        <v>191</v>
      </c>
      <c r="F409" s="9">
        <v>229.98462664714492</v>
      </c>
      <c r="G409" s="60" t="s">
        <v>73</v>
      </c>
      <c r="H409">
        <v>95.83</v>
      </c>
    </row>
    <row r="410" spans="1:8" x14ac:dyDescent="0.2">
      <c r="A410" s="50">
        <v>43290</v>
      </c>
      <c r="B410" s="51">
        <v>0.75</v>
      </c>
      <c r="C410" s="49" t="s">
        <v>135</v>
      </c>
      <c r="D410" s="57" t="s">
        <v>86</v>
      </c>
      <c r="E410" s="53" t="s">
        <v>87</v>
      </c>
      <c r="F410" s="9">
        <v>4599.6925329428987</v>
      </c>
      <c r="G410" s="60" t="s">
        <v>73</v>
      </c>
      <c r="H410">
        <v>9.2027643066666673</v>
      </c>
    </row>
    <row r="411" spans="1:8" x14ac:dyDescent="0.2">
      <c r="A411" s="50">
        <v>43290</v>
      </c>
      <c r="B411" s="51">
        <v>0.75</v>
      </c>
      <c r="C411" s="49" t="s">
        <v>135</v>
      </c>
      <c r="D411" s="58" t="s">
        <v>197</v>
      </c>
      <c r="E411" s="53" t="s">
        <v>198</v>
      </c>
      <c r="F411" s="9">
        <v>459.96925329428984</v>
      </c>
      <c r="G411" s="60" t="s">
        <v>73</v>
      </c>
      <c r="H411">
        <v>16.743103904999995</v>
      </c>
    </row>
    <row r="412" spans="1:8" x14ac:dyDescent="0.2">
      <c r="A412" s="50">
        <v>43290</v>
      </c>
      <c r="B412" s="51">
        <v>0.75</v>
      </c>
      <c r="C412" s="49" t="s">
        <v>135</v>
      </c>
      <c r="D412" s="57" t="s">
        <v>206</v>
      </c>
      <c r="E412" s="53" t="s">
        <v>207</v>
      </c>
      <c r="F412" s="9">
        <v>459.96925329428984</v>
      </c>
      <c r="G412" s="60" t="s">
        <v>73</v>
      </c>
      <c r="H412">
        <v>15.188540453333331</v>
      </c>
    </row>
    <row r="413" spans="1:8" x14ac:dyDescent="0.2">
      <c r="A413" s="50">
        <v>43290</v>
      </c>
      <c r="B413" s="51">
        <v>0.75</v>
      </c>
      <c r="C413" s="49" t="s">
        <v>135</v>
      </c>
      <c r="D413" s="57" t="s">
        <v>94</v>
      </c>
      <c r="E413" s="53" t="s">
        <v>95</v>
      </c>
      <c r="F413" s="9">
        <v>91533.881405563676</v>
      </c>
      <c r="G413" s="60" t="s">
        <v>97</v>
      </c>
      <c r="H413">
        <v>0.17999999999999997</v>
      </c>
    </row>
    <row r="414" spans="1:8" x14ac:dyDescent="0.2">
      <c r="A414" s="50">
        <v>43290</v>
      </c>
      <c r="B414" s="51">
        <v>0.75</v>
      </c>
      <c r="C414" s="49" t="s">
        <v>135</v>
      </c>
      <c r="D414" s="57" t="s">
        <v>130</v>
      </c>
      <c r="E414" s="53" t="s">
        <v>95</v>
      </c>
      <c r="F414" s="9">
        <v>2989.8001464128843</v>
      </c>
      <c r="G414" s="60" t="s">
        <v>97</v>
      </c>
      <c r="H414">
        <v>91.952244906666635</v>
      </c>
    </row>
    <row r="415" spans="1:8" x14ac:dyDescent="0.2">
      <c r="A415" s="50">
        <v>43290</v>
      </c>
      <c r="B415" s="51">
        <v>0.75</v>
      </c>
      <c r="C415" s="49" t="s">
        <v>135</v>
      </c>
      <c r="D415" s="57" t="s">
        <v>163</v>
      </c>
      <c r="E415" s="53" t="s">
        <v>95</v>
      </c>
      <c r="F415" s="9">
        <v>229.98462664714492</v>
      </c>
      <c r="G415" s="60" t="s">
        <v>97</v>
      </c>
      <c r="H415">
        <v>11.494030613333329</v>
      </c>
    </row>
    <row r="416" spans="1:8" x14ac:dyDescent="0.2">
      <c r="A416" s="50">
        <v>43290</v>
      </c>
      <c r="B416" s="51">
        <v>0.75</v>
      </c>
      <c r="C416" s="49" t="s">
        <v>135</v>
      </c>
      <c r="D416" s="57" t="s">
        <v>272</v>
      </c>
      <c r="E416" s="53" t="s">
        <v>133</v>
      </c>
      <c r="F416" s="9">
        <v>459.96925329428984</v>
      </c>
      <c r="G416" s="60" t="s">
        <v>134</v>
      </c>
      <c r="H416">
        <v>55.910877230000004</v>
      </c>
    </row>
    <row r="417" spans="1:8" x14ac:dyDescent="0.2">
      <c r="A417" s="25">
        <v>43290</v>
      </c>
      <c r="B417" s="26">
        <v>0.76041666666666696</v>
      </c>
      <c r="C417" s="26" t="s">
        <v>116</v>
      </c>
      <c r="D417" s="12" t="s">
        <v>69</v>
      </c>
      <c r="E417" s="9" t="s">
        <v>71</v>
      </c>
      <c r="F417" s="9">
        <v>209.07693331558633</v>
      </c>
      <c r="G417" s="19" t="s">
        <v>73</v>
      </c>
      <c r="H417">
        <v>770.66344289999984</v>
      </c>
    </row>
    <row r="418" spans="1:8" x14ac:dyDescent="0.2">
      <c r="A418" s="25">
        <v>43290</v>
      </c>
      <c r="B418" s="26">
        <v>0.76041666666666696</v>
      </c>
      <c r="C418" s="26" t="s">
        <v>116</v>
      </c>
      <c r="D418" s="12" t="s">
        <v>190</v>
      </c>
      <c r="E418" s="9" t="s">
        <v>191</v>
      </c>
      <c r="F418" s="9">
        <v>627.23079994675891</v>
      </c>
      <c r="G418" s="19" t="s">
        <v>73</v>
      </c>
      <c r="H418">
        <v>136.9</v>
      </c>
    </row>
    <row r="419" spans="1:8" x14ac:dyDescent="0.2">
      <c r="A419" s="25">
        <v>43290</v>
      </c>
      <c r="B419" s="26">
        <v>0.76041666666666696</v>
      </c>
      <c r="C419" s="26" t="s">
        <v>116</v>
      </c>
      <c r="D419" s="8" t="s">
        <v>229</v>
      </c>
      <c r="E419" s="9" t="s">
        <v>138</v>
      </c>
      <c r="F419" s="9">
        <v>209.07693331558633</v>
      </c>
      <c r="G419" s="19" t="s">
        <v>73</v>
      </c>
      <c r="H419">
        <v>45.565621359999994</v>
      </c>
    </row>
    <row r="420" spans="1:8" x14ac:dyDescent="0.2">
      <c r="A420" s="25">
        <v>43290</v>
      </c>
      <c r="B420" s="26">
        <v>0.76041666666666696</v>
      </c>
      <c r="C420" s="26" t="s">
        <v>116</v>
      </c>
      <c r="D420" s="12" t="s">
        <v>86</v>
      </c>
      <c r="E420" s="9" t="s">
        <v>87</v>
      </c>
      <c r="F420" s="9">
        <v>8154.0003993078662</v>
      </c>
      <c r="G420" s="19" t="s">
        <v>73</v>
      </c>
      <c r="H420">
        <v>7.2382233599999992</v>
      </c>
    </row>
    <row r="421" spans="1:8" x14ac:dyDescent="0.2">
      <c r="A421" s="25">
        <v>43290</v>
      </c>
      <c r="B421" s="26">
        <v>0.76041666666666696</v>
      </c>
      <c r="C421" s="26" t="s">
        <v>116</v>
      </c>
      <c r="D421" s="8" t="s">
        <v>282</v>
      </c>
      <c r="E421" s="9" t="s">
        <v>127</v>
      </c>
      <c r="F421" s="9">
        <v>209.07693331558633</v>
      </c>
      <c r="G421" s="19" t="s">
        <v>73</v>
      </c>
      <c r="H421">
        <v>30.377080906666663</v>
      </c>
    </row>
    <row r="422" spans="1:8" x14ac:dyDescent="0.2">
      <c r="A422" s="25">
        <v>43290</v>
      </c>
      <c r="B422" s="26">
        <v>0.76041666666666696</v>
      </c>
      <c r="C422" s="26" t="s">
        <v>116</v>
      </c>
      <c r="D422" s="12" t="s">
        <v>206</v>
      </c>
      <c r="E422" s="9" t="s">
        <v>207</v>
      </c>
      <c r="F422" s="9">
        <v>418.15386663117266</v>
      </c>
      <c r="G422" s="19" t="s">
        <v>73</v>
      </c>
      <c r="H422">
        <v>23.948340569999996</v>
      </c>
    </row>
    <row r="423" spans="1:8" x14ac:dyDescent="0.2">
      <c r="A423" s="25">
        <v>43290</v>
      </c>
      <c r="B423" s="26">
        <v>0.76041666666666696</v>
      </c>
      <c r="C423" s="26" t="s">
        <v>116</v>
      </c>
      <c r="D423" s="12" t="s">
        <v>94</v>
      </c>
      <c r="E423" s="9" t="s">
        <v>95</v>
      </c>
      <c r="F423" s="9">
        <v>78403.849993344877</v>
      </c>
      <c r="G423" s="19" t="s">
        <v>97</v>
      </c>
      <c r="H423">
        <v>0.17999999999999997</v>
      </c>
    </row>
    <row r="424" spans="1:8" x14ac:dyDescent="0.2">
      <c r="A424" s="25">
        <v>43290</v>
      </c>
      <c r="B424" s="26">
        <v>0.76041666666666696</v>
      </c>
      <c r="C424" s="26" t="s">
        <v>116</v>
      </c>
      <c r="D424" s="12" t="s">
        <v>130</v>
      </c>
      <c r="E424" s="9" t="s">
        <v>95</v>
      </c>
      <c r="F424" s="9">
        <v>1254.4615998935178</v>
      </c>
      <c r="G424" s="19" t="s">
        <v>97</v>
      </c>
      <c r="H424">
        <v>82.447887960000003</v>
      </c>
    </row>
    <row r="425" spans="1:8" x14ac:dyDescent="0.2">
      <c r="A425" s="25">
        <v>43319</v>
      </c>
      <c r="B425" s="26">
        <v>0.66319444444444398</v>
      </c>
      <c r="C425" s="5" t="s">
        <v>165</v>
      </c>
      <c r="D425" s="12" t="s">
        <v>109</v>
      </c>
      <c r="E425" s="9" t="s">
        <v>110</v>
      </c>
      <c r="F425" s="9">
        <v>328.54946663877848</v>
      </c>
      <c r="G425" s="19" t="s">
        <v>73</v>
      </c>
      <c r="H425">
        <v>119.34821870249999</v>
      </c>
    </row>
    <row r="426" spans="1:8" x14ac:dyDescent="0.2">
      <c r="A426" s="25">
        <v>43319</v>
      </c>
      <c r="B426" s="26">
        <v>0.66319444444444398</v>
      </c>
      <c r="C426" s="5" t="s">
        <v>165</v>
      </c>
      <c r="D426" s="12" t="s">
        <v>69</v>
      </c>
      <c r="E426" s="9" t="s">
        <v>71</v>
      </c>
      <c r="F426" s="9">
        <v>328.54946663877848</v>
      </c>
      <c r="G426" s="19" t="s">
        <v>73</v>
      </c>
      <c r="H426">
        <v>407.64957680999993</v>
      </c>
    </row>
    <row r="427" spans="1:8" x14ac:dyDescent="0.2">
      <c r="A427" s="25">
        <v>43319</v>
      </c>
      <c r="B427" s="26">
        <v>0.66319444444444398</v>
      </c>
      <c r="C427" s="5" t="s">
        <v>165</v>
      </c>
      <c r="D427" s="12" t="s">
        <v>167</v>
      </c>
      <c r="E427" s="9" t="s">
        <v>168</v>
      </c>
      <c r="F427" s="9">
        <v>328.54946663877848</v>
      </c>
      <c r="G427" s="19" t="s">
        <v>73</v>
      </c>
      <c r="H427">
        <v>1393.47109404</v>
      </c>
    </row>
    <row r="428" spans="1:8" x14ac:dyDescent="0.2">
      <c r="A428" s="25">
        <v>43319</v>
      </c>
      <c r="B428" s="26">
        <v>0.66319444444444398</v>
      </c>
      <c r="C428" s="5" t="s">
        <v>165</v>
      </c>
      <c r="D428" s="12" t="s">
        <v>81</v>
      </c>
      <c r="E428" s="9" t="s">
        <v>83</v>
      </c>
      <c r="F428" s="9">
        <v>328.54946663877848</v>
      </c>
      <c r="G428" s="19" t="s">
        <v>73</v>
      </c>
      <c r="H428">
        <v>20.070571313333332</v>
      </c>
    </row>
    <row r="429" spans="1:8" x14ac:dyDescent="0.2">
      <c r="A429" s="25">
        <v>43319</v>
      </c>
      <c r="B429" s="26">
        <v>0.66319444444444398</v>
      </c>
      <c r="C429" s="5" t="s">
        <v>165</v>
      </c>
      <c r="D429" s="12" t="s">
        <v>86</v>
      </c>
      <c r="E429" s="9" t="s">
        <v>87</v>
      </c>
      <c r="F429" s="9">
        <v>4928.2419995816781</v>
      </c>
      <c r="G429" s="19" t="s">
        <v>73</v>
      </c>
      <c r="H429">
        <v>7.2382233599999992</v>
      </c>
    </row>
    <row r="430" spans="1:8" x14ac:dyDescent="0.2">
      <c r="A430" s="25">
        <v>43319</v>
      </c>
      <c r="B430" s="26">
        <v>0.66319444444444398</v>
      </c>
      <c r="C430" s="5" t="s">
        <v>165</v>
      </c>
      <c r="D430" s="12" t="s">
        <v>92</v>
      </c>
      <c r="E430" s="9" t="s">
        <v>89</v>
      </c>
      <c r="F430" s="9">
        <v>657.09893327755697</v>
      </c>
      <c r="G430" s="19" t="s">
        <v>73</v>
      </c>
      <c r="H430">
        <v>159.13095827000001</v>
      </c>
    </row>
    <row r="431" spans="1:8" x14ac:dyDescent="0.2">
      <c r="A431" s="25">
        <v>43319</v>
      </c>
      <c r="B431" s="26">
        <v>0.66319444444444398</v>
      </c>
      <c r="C431" s="5" t="s">
        <v>165</v>
      </c>
      <c r="D431" s="12" t="s">
        <v>94</v>
      </c>
      <c r="E431" s="9" t="s">
        <v>95</v>
      </c>
      <c r="F431" s="9">
        <v>129119.94038903996</v>
      </c>
      <c r="G431" s="19" t="s">
        <v>97</v>
      </c>
      <c r="H431">
        <v>0.17999999999999997</v>
      </c>
    </row>
    <row r="432" spans="1:8" x14ac:dyDescent="0.2">
      <c r="A432" s="25">
        <v>43319</v>
      </c>
      <c r="B432" s="26">
        <v>0.66319444444444398</v>
      </c>
      <c r="C432" s="5" t="s">
        <v>165</v>
      </c>
      <c r="D432" s="12" t="s">
        <v>163</v>
      </c>
      <c r="E432" s="9" t="s">
        <v>95</v>
      </c>
      <c r="F432" s="9">
        <v>328.54946663877848</v>
      </c>
      <c r="G432" s="19" t="s">
        <v>97</v>
      </c>
      <c r="H432">
        <v>11.494030613333329</v>
      </c>
    </row>
    <row r="433" spans="1:8" x14ac:dyDescent="0.2">
      <c r="A433" s="25">
        <v>43319</v>
      </c>
      <c r="B433" s="26">
        <v>0.67361111111111105</v>
      </c>
      <c r="C433" s="5" t="s">
        <v>187</v>
      </c>
      <c r="D433" s="12" t="s">
        <v>81</v>
      </c>
      <c r="E433" s="9" t="s">
        <v>83</v>
      </c>
      <c r="F433" s="9">
        <v>176.91125126703457</v>
      </c>
      <c r="G433" s="19" t="s">
        <v>73</v>
      </c>
      <c r="H433">
        <v>62.044308106666655</v>
      </c>
    </row>
    <row r="434" spans="1:8" x14ac:dyDescent="0.2">
      <c r="A434" s="25">
        <v>43319</v>
      </c>
      <c r="B434" s="26">
        <v>0.67361111111111105</v>
      </c>
      <c r="C434" s="5" t="s">
        <v>187</v>
      </c>
      <c r="D434" s="12" t="s">
        <v>86</v>
      </c>
      <c r="E434" s="9" t="s">
        <v>87</v>
      </c>
      <c r="F434" s="9">
        <v>3538.2250253406914</v>
      </c>
      <c r="G434" s="19" t="s">
        <v>73</v>
      </c>
      <c r="H434">
        <v>7.2382233599999992</v>
      </c>
    </row>
    <row r="435" spans="1:8" x14ac:dyDescent="0.2">
      <c r="A435" s="25">
        <v>43319</v>
      </c>
      <c r="B435" s="26">
        <v>0.67361111111111105</v>
      </c>
      <c r="C435" s="5" t="s">
        <v>187</v>
      </c>
      <c r="D435" s="12" t="s">
        <v>94</v>
      </c>
      <c r="E435" s="9" t="s">
        <v>95</v>
      </c>
      <c r="F435" s="9">
        <v>70233.766753012722</v>
      </c>
      <c r="G435" s="19" t="s">
        <v>97</v>
      </c>
      <c r="H435">
        <v>0.17999999999999997</v>
      </c>
    </row>
    <row r="436" spans="1:8" x14ac:dyDescent="0.2">
      <c r="A436" s="25">
        <v>43319</v>
      </c>
      <c r="B436" s="26">
        <v>0.67708333333333304</v>
      </c>
      <c r="C436" s="5" t="s">
        <v>144</v>
      </c>
      <c r="D436" s="12" t="s">
        <v>86</v>
      </c>
      <c r="E436" s="9" t="s">
        <v>87</v>
      </c>
      <c r="F436" s="9">
        <v>4312.2117496339679</v>
      </c>
      <c r="G436" s="19" t="s">
        <v>73</v>
      </c>
      <c r="H436">
        <v>7.2382233599999992</v>
      </c>
    </row>
    <row r="437" spans="1:8" x14ac:dyDescent="0.2">
      <c r="A437" s="25">
        <v>43319</v>
      </c>
      <c r="B437" s="26">
        <v>0.67708333333333304</v>
      </c>
      <c r="C437" s="5" t="s">
        <v>144</v>
      </c>
      <c r="D437" s="8" t="s">
        <v>197</v>
      </c>
      <c r="E437" s="9" t="s">
        <v>198</v>
      </c>
      <c r="F437" s="9">
        <v>287.48078330893117</v>
      </c>
      <c r="G437" s="19" t="s">
        <v>73</v>
      </c>
      <c r="H437">
        <v>57.92568361666666</v>
      </c>
    </row>
    <row r="438" spans="1:8" x14ac:dyDescent="0.2">
      <c r="A438" s="25">
        <v>43319</v>
      </c>
      <c r="B438" s="26">
        <v>0.67708333333333304</v>
      </c>
      <c r="C438" s="5" t="s">
        <v>144</v>
      </c>
      <c r="D438" s="12" t="s">
        <v>92</v>
      </c>
      <c r="E438" s="9" t="s">
        <v>89</v>
      </c>
      <c r="F438" s="9">
        <v>574.96156661786233</v>
      </c>
      <c r="G438" s="19" t="s">
        <v>73</v>
      </c>
      <c r="H438">
        <v>118.35285827083332</v>
      </c>
    </row>
    <row r="439" spans="1:8" x14ac:dyDescent="0.2">
      <c r="A439" s="25">
        <v>43319</v>
      </c>
      <c r="B439" s="26">
        <v>0.67708333333333304</v>
      </c>
      <c r="C439" s="5" t="s">
        <v>144</v>
      </c>
      <c r="D439" s="12" t="s">
        <v>94</v>
      </c>
      <c r="E439" s="9" t="s">
        <v>95</v>
      </c>
      <c r="F439" s="9">
        <v>112404.98627379209</v>
      </c>
      <c r="G439" s="19" t="s">
        <v>97</v>
      </c>
      <c r="H439">
        <v>0.17999999999999997</v>
      </c>
    </row>
    <row r="440" spans="1:8" x14ac:dyDescent="0.2">
      <c r="A440" s="25">
        <v>43319</v>
      </c>
      <c r="B440" s="26">
        <v>0.67708333333333304</v>
      </c>
      <c r="C440" s="5" t="s">
        <v>144</v>
      </c>
      <c r="D440" s="12" t="s">
        <v>98</v>
      </c>
      <c r="E440" s="9" t="s">
        <v>95</v>
      </c>
      <c r="F440" s="9">
        <v>287.48078330893117</v>
      </c>
      <c r="G440" s="19" t="s">
        <v>97</v>
      </c>
      <c r="H440">
        <v>3.5913609683333325</v>
      </c>
    </row>
    <row r="441" spans="1:8" x14ac:dyDescent="0.2">
      <c r="A441" s="25">
        <v>43319</v>
      </c>
      <c r="B441" s="26">
        <v>0.6875</v>
      </c>
      <c r="C441" s="5" t="s">
        <v>181</v>
      </c>
      <c r="D441" s="12" t="s">
        <v>102</v>
      </c>
      <c r="E441" s="9" t="s">
        <v>103</v>
      </c>
      <c r="F441" s="9">
        <v>191.65385553928746</v>
      </c>
      <c r="G441" s="19" t="s">
        <v>73</v>
      </c>
      <c r="H441">
        <v>502.67482033500005</v>
      </c>
    </row>
    <row r="442" spans="1:8" x14ac:dyDescent="0.2">
      <c r="A442" s="25">
        <v>43319</v>
      </c>
      <c r="B442" s="26">
        <v>0.6875</v>
      </c>
      <c r="C442" s="5" t="s">
        <v>181</v>
      </c>
      <c r="D442" s="12" t="s">
        <v>81</v>
      </c>
      <c r="E442" s="9" t="s">
        <v>83</v>
      </c>
      <c r="F442" s="9">
        <v>191.65385553928746</v>
      </c>
      <c r="G442" s="19" t="s">
        <v>73</v>
      </c>
      <c r="H442">
        <v>32.973081443333328</v>
      </c>
    </row>
    <row r="443" spans="1:8" x14ac:dyDescent="0.2">
      <c r="A443" s="25">
        <v>43319</v>
      </c>
      <c r="B443" s="26">
        <v>0.6875</v>
      </c>
      <c r="C443" s="5" t="s">
        <v>181</v>
      </c>
      <c r="D443" s="12" t="s">
        <v>86</v>
      </c>
      <c r="E443" s="9" t="s">
        <v>87</v>
      </c>
      <c r="F443" s="9">
        <v>9391.0389214250845</v>
      </c>
      <c r="G443" s="19" t="s">
        <v>73</v>
      </c>
      <c r="H443">
        <v>17.157270186666665</v>
      </c>
    </row>
    <row r="444" spans="1:8" x14ac:dyDescent="0.2">
      <c r="A444" s="25">
        <v>43319</v>
      </c>
      <c r="B444" s="26">
        <v>0.6875</v>
      </c>
      <c r="C444" s="5" t="s">
        <v>181</v>
      </c>
      <c r="D444" s="12" t="s">
        <v>126</v>
      </c>
      <c r="E444" s="9" t="s">
        <v>127</v>
      </c>
      <c r="F444" s="9">
        <v>383.30771107857493</v>
      </c>
      <c r="G444" s="19" t="s">
        <v>73</v>
      </c>
      <c r="H444">
        <v>45.565621359999987</v>
      </c>
    </row>
    <row r="445" spans="1:8" x14ac:dyDescent="0.2">
      <c r="A445" s="25">
        <v>43319</v>
      </c>
      <c r="B445" s="26">
        <v>0.6875</v>
      </c>
      <c r="C445" s="5" t="s">
        <v>181</v>
      </c>
      <c r="D445" s="12" t="s">
        <v>88</v>
      </c>
      <c r="E445" s="9" t="s">
        <v>89</v>
      </c>
      <c r="F445" s="9">
        <v>191.65385553928746</v>
      </c>
      <c r="G445" s="19" t="s">
        <v>73</v>
      </c>
      <c r="H445">
        <v>337.38084788249995</v>
      </c>
    </row>
    <row r="446" spans="1:8" x14ac:dyDescent="0.2">
      <c r="A446" s="25">
        <v>43319</v>
      </c>
      <c r="B446" s="26">
        <v>0.6875</v>
      </c>
      <c r="C446" s="5" t="s">
        <v>181</v>
      </c>
      <c r="D446" s="12" t="s">
        <v>92</v>
      </c>
      <c r="E446" s="9" t="s">
        <v>89</v>
      </c>
      <c r="F446" s="9">
        <v>191.65385553928746</v>
      </c>
      <c r="G446" s="19" t="s">
        <v>73</v>
      </c>
      <c r="H446">
        <v>112.822350875</v>
      </c>
    </row>
    <row r="447" spans="1:8" x14ac:dyDescent="0.2">
      <c r="A447" s="25">
        <v>43319</v>
      </c>
      <c r="B447" s="26">
        <v>0.6875</v>
      </c>
      <c r="C447" s="5" t="s">
        <v>181</v>
      </c>
      <c r="D447" s="8" t="s">
        <v>121</v>
      </c>
      <c r="E447" s="9" t="s">
        <v>122</v>
      </c>
      <c r="F447" s="9">
        <v>191.65385553928746</v>
      </c>
      <c r="G447" s="19" t="s">
        <v>73</v>
      </c>
      <c r="H447">
        <v>479.3815012799999</v>
      </c>
    </row>
    <row r="448" spans="1:8" x14ac:dyDescent="0.2">
      <c r="A448" s="25">
        <v>43319</v>
      </c>
      <c r="B448" s="26">
        <v>0.6875</v>
      </c>
      <c r="C448" s="5" t="s">
        <v>181</v>
      </c>
      <c r="D448" s="12" t="s">
        <v>94</v>
      </c>
      <c r="E448" s="9" t="s">
        <v>95</v>
      </c>
      <c r="F448" s="9">
        <v>68995.387994143486</v>
      </c>
      <c r="G448" s="19" t="s">
        <v>97</v>
      </c>
      <c r="H448">
        <v>0.17999999999999997</v>
      </c>
    </row>
    <row r="449" spans="1:8" x14ac:dyDescent="0.2">
      <c r="A449" s="25">
        <v>43319</v>
      </c>
      <c r="B449" s="26">
        <v>0.6875</v>
      </c>
      <c r="C449" s="5" t="s">
        <v>181</v>
      </c>
      <c r="D449" s="12" t="s">
        <v>183</v>
      </c>
      <c r="E449" s="9" t="s">
        <v>95</v>
      </c>
      <c r="F449" s="9">
        <v>383.30771107857493</v>
      </c>
      <c r="G449" s="19" t="s">
        <v>97</v>
      </c>
      <c r="H449">
        <v>26.521826378333333</v>
      </c>
    </row>
    <row r="450" spans="1:8" x14ac:dyDescent="0.2">
      <c r="A450" s="25">
        <v>43319</v>
      </c>
      <c r="B450" s="26">
        <v>0.6875</v>
      </c>
      <c r="C450" s="5" t="s">
        <v>181</v>
      </c>
      <c r="D450" s="12" t="s">
        <v>185</v>
      </c>
      <c r="E450" s="9" t="s">
        <v>133</v>
      </c>
      <c r="F450" s="9">
        <v>191.65385553928746</v>
      </c>
      <c r="G450" s="19" t="s">
        <v>134</v>
      </c>
      <c r="H450">
        <v>22.782810679999997</v>
      </c>
    </row>
    <row r="451" spans="1:8" x14ac:dyDescent="0.2">
      <c r="A451" s="25">
        <v>43319</v>
      </c>
      <c r="B451" s="26">
        <v>0.70138888888888895</v>
      </c>
      <c r="C451" s="5" t="s">
        <v>189</v>
      </c>
      <c r="D451" s="12" t="s">
        <v>190</v>
      </c>
      <c r="E451" s="9" t="s">
        <v>191</v>
      </c>
      <c r="F451" s="9">
        <v>209.07693331558633</v>
      </c>
      <c r="G451" s="19" t="s">
        <v>73</v>
      </c>
      <c r="H451">
        <v>79.967999999999975</v>
      </c>
    </row>
    <row r="452" spans="1:8" x14ac:dyDescent="0.2">
      <c r="A452" s="25">
        <v>43319</v>
      </c>
      <c r="B452" s="26">
        <v>0.70138888888888895</v>
      </c>
      <c r="C452" s="5" t="s">
        <v>189</v>
      </c>
      <c r="D452" s="12" t="s">
        <v>81</v>
      </c>
      <c r="E452" s="9" t="s">
        <v>83</v>
      </c>
      <c r="F452" s="9">
        <v>209.07693331558633</v>
      </c>
      <c r="G452" s="19" t="s">
        <v>73</v>
      </c>
      <c r="H452">
        <v>75.532201173333306</v>
      </c>
    </row>
    <row r="453" spans="1:8" x14ac:dyDescent="0.2">
      <c r="A453" s="25">
        <v>43319</v>
      </c>
      <c r="B453" s="26">
        <v>0.70138888888888895</v>
      </c>
      <c r="C453" s="5" t="s">
        <v>189</v>
      </c>
      <c r="D453" s="12" t="s">
        <v>86</v>
      </c>
      <c r="E453" s="9" t="s">
        <v>87</v>
      </c>
      <c r="F453" s="9">
        <v>4390.6155996273128</v>
      </c>
      <c r="G453" s="19" t="s">
        <v>73</v>
      </c>
      <c r="H453">
        <v>9.2027643066666673</v>
      </c>
    </row>
    <row r="454" spans="1:8" x14ac:dyDescent="0.2">
      <c r="A454" s="25">
        <v>43319</v>
      </c>
      <c r="B454" s="26">
        <v>0.70138888888888895</v>
      </c>
      <c r="C454" s="5" t="s">
        <v>189</v>
      </c>
      <c r="D454" s="12" t="s">
        <v>92</v>
      </c>
      <c r="E454" s="9" t="s">
        <v>89</v>
      </c>
      <c r="F454" s="9">
        <v>418.15386663117266</v>
      </c>
      <c r="G454" s="19" t="s">
        <v>73</v>
      </c>
      <c r="H454">
        <v>166.29901945333336</v>
      </c>
    </row>
    <row r="455" spans="1:8" x14ac:dyDescent="0.2">
      <c r="A455" s="25">
        <v>43319</v>
      </c>
      <c r="B455" s="26">
        <v>0.70138888888888895</v>
      </c>
      <c r="C455" s="5" t="s">
        <v>189</v>
      </c>
      <c r="D455" s="12" t="s">
        <v>94</v>
      </c>
      <c r="E455" s="9" t="s">
        <v>95</v>
      </c>
      <c r="F455" s="9">
        <v>77358.465326766935</v>
      </c>
      <c r="G455" s="19" t="s">
        <v>97</v>
      </c>
      <c r="H455">
        <v>0.17999999999999997</v>
      </c>
    </row>
    <row r="456" spans="1:8" x14ac:dyDescent="0.2">
      <c r="A456" s="25">
        <v>43319</v>
      </c>
      <c r="B456" s="26">
        <v>0.70138888888888895</v>
      </c>
      <c r="C456" s="5" t="s">
        <v>189</v>
      </c>
      <c r="D456" s="12" t="s">
        <v>130</v>
      </c>
      <c r="E456" s="9" t="s">
        <v>95</v>
      </c>
      <c r="F456" s="9">
        <v>1045.3846665779317</v>
      </c>
      <c r="G456" s="19" t="s">
        <v>97</v>
      </c>
      <c r="H456">
        <v>73.622114453333339</v>
      </c>
    </row>
    <row r="457" spans="1:8" x14ac:dyDescent="0.2">
      <c r="A457" s="25">
        <v>43319</v>
      </c>
      <c r="B457" s="26">
        <v>0.72222222222222199</v>
      </c>
      <c r="C457" s="5" t="s">
        <v>170</v>
      </c>
      <c r="D457" s="12" t="s">
        <v>102</v>
      </c>
      <c r="E457" s="9" t="s">
        <v>103</v>
      </c>
      <c r="F457" s="9">
        <v>287.48078330893117</v>
      </c>
      <c r="G457" s="19" t="s">
        <v>73</v>
      </c>
      <c r="H457">
        <v>91.131242719999989</v>
      </c>
    </row>
    <row r="458" spans="1:8" x14ac:dyDescent="0.2">
      <c r="A458" s="25">
        <v>43319</v>
      </c>
      <c r="B458" s="26">
        <v>0.72222222222222199</v>
      </c>
      <c r="C458" s="5" t="s">
        <v>170</v>
      </c>
      <c r="D458" s="12" t="s">
        <v>172</v>
      </c>
      <c r="E458" s="9" t="s">
        <v>83</v>
      </c>
      <c r="F458" s="9">
        <v>287.48078330893117</v>
      </c>
      <c r="G458" s="19" t="s">
        <v>73</v>
      </c>
      <c r="H458">
        <v>40.993560713333324</v>
      </c>
    </row>
    <row r="459" spans="1:8" x14ac:dyDescent="0.2">
      <c r="A459" s="25">
        <v>43319</v>
      </c>
      <c r="B459" s="26">
        <v>0.72222222222222199</v>
      </c>
      <c r="C459" s="5" t="s">
        <v>170</v>
      </c>
      <c r="D459" s="12" t="s">
        <v>86</v>
      </c>
      <c r="E459" s="9" t="s">
        <v>87</v>
      </c>
      <c r="F459" s="9">
        <v>6037.0964494875552</v>
      </c>
      <c r="G459" s="19" t="s">
        <v>73</v>
      </c>
      <c r="H459">
        <v>11.494030613333329</v>
      </c>
    </row>
    <row r="460" spans="1:8" x14ac:dyDescent="0.2">
      <c r="A460" s="25">
        <v>43319</v>
      </c>
      <c r="B460" s="26">
        <v>0.72222222222222199</v>
      </c>
      <c r="C460" s="5" t="s">
        <v>170</v>
      </c>
      <c r="D460" s="12" t="s">
        <v>88</v>
      </c>
      <c r="E460" s="9" t="s">
        <v>89</v>
      </c>
      <c r="F460" s="9">
        <v>287.48078330893117</v>
      </c>
      <c r="G460" s="19" t="s">
        <v>73</v>
      </c>
      <c r="H460">
        <v>337.38084788249995</v>
      </c>
    </row>
    <row r="461" spans="1:8" x14ac:dyDescent="0.2">
      <c r="A461" s="25">
        <v>43319</v>
      </c>
      <c r="B461" s="26">
        <v>0.72222222222222199</v>
      </c>
      <c r="C461" s="5" t="s">
        <v>170</v>
      </c>
      <c r="D461" s="12" t="s">
        <v>92</v>
      </c>
      <c r="E461" s="9" t="s">
        <v>89</v>
      </c>
      <c r="F461" s="9">
        <v>574.96156661786233</v>
      </c>
      <c r="G461" s="19" t="s">
        <v>73</v>
      </c>
      <c r="H461">
        <v>137.2613030833333</v>
      </c>
    </row>
    <row r="462" spans="1:8" x14ac:dyDescent="0.2">
      <c r="A462" s="25">
        <v>43319</v>
      </c>
      <c r="B462" s="26">
        <v>0.72222222222222199</v>
      </c>
      <c r="C462" s="5" t="s">
        <v>170</v>
      </c>
      <c r="D462" s="12" t="s">
        <v>94</v>
      </c>
      <c r="E462" s="9" t="s">
        <v>95</v>
      </c>
      <c r="F462" s="9">
        <v>114704.83254026354</v>
      </c>
      <c r="G462" s="19" t="s">
        <v>97</v>
      </c>
      <c r="H462">
        <v>0.17999999999999997</v>
      </c>
    </row>
    <row r="463" spans="1:8" x14ac:dyDescent="0.2">
      <c r="A463" s="25">
        <v>43319</v>
      </c>
      <c r="B463" s="26">
        <v>0.73263888888888895</v>
      </c>
      <c r="C463" s="5" t="s">
        <v>173</v>
      </c>
      <c r="D463" s="12" t="s">
        <v>69</v>
      </c>
      <c r="E463" s="9" t="s">
        <v>71</v>
      </c>
      <c r="F463" s="9">
        <v>306.64616886285995</v>
      </c>
      <c r="G463" s="19" t="s">
        <v>73</v>
      </c>
      <c r="H463">
        <v>510.89793215999993</v>
      </c>
    </row>
    <row r="464" spans="1:8" x14ac:dyDescent="0.2">
      <c r="A464" s="25">
        <v>43319</v>
      </c>
      <c r="B464" s="26">
        <v>0.73263888888888895</v>
      </c>
      <c r="C464" s="5" t="s">
        <v>173</v>
      </c>
      <c r="D464" s="12" t="s">
        <v>81</v>
      </c>
      <c r="E464" s="9" t="s">
        <v>83</v>
      </c>
      <c r="F464" s="9">
        <v>306.64616886285995</v>
      </c>
      <c r="G464" s="19" t="s">
        <v>73</v>
      </c>
      <c r="H464">
        <v>88.592837999999986</v>
      </c>
    </row>
    <row r="465" spans="1:8" x14ac:dyDescent="0.2">
      <c r="A465" s="25">
        <v>43319</v>
      </c>
      <c r="B465" s="26">
        <v>0.73263888888888895</v>
      </c>
      <c r="C465" s="5" t="s">
        <v>173</v>
      </c>
      <c r="D465" s="12" t="s">
        <v>86</v>
      </c>
      <c r="E465" s="9" t="s">
        <v>87</v>
      </c>
      <c r="F465" s="9">
        <v>4599.6925329428996</v>
      </c>
      <c r="G465" s="19" t="s">
        <v>73</v>
      </c>
      <c r="H465">
        <v>7.2382233599999992</v>
      </c>
    </row>
    <row r="466" spans="1:8" x14ac:dyDescent="0.2">
      <c r="A466" s="25">
        <v>43319</v>
      </c>
      <c r="B466" s="26">
        <v>0.73263888888888895</v>
      </c>
      <c r="C466" s="5" t="s">
        <v>173</v>
      </c>
      <c r="D466" s="8" t="s">
        <v>176</v>
      </c>
      <c r="E466" s="9" t="s">
        <v>177</v>
      </c>
      <c r="F466" s="9">
        <v>153.32308443142998</v>
      </c>
      <c r="G466" s="19" t="s">
        <v>97</v>
      </c>
      <c r="H466">
        <v>11.494030613333329</v>
      </c>
    </row>
    <row r="467" spans="1:8" x14ac:dyDescent="0.2">
      <c r="A467" s="25">
        <v>43319</v>
      </c>
      <c r="B467" s="26">
        <v>0.73263888888888895</v>
      </c>
      <c r="C467" s="5" t="s">
        <v>173</v>
      </c>
      <c r="D467" s="8" t="s">
        <v>179</v>
      </c>
      <c r="E467" s="9" t="s">
        <v>180</v>
      </c>
      <c r="F467" s="9">
        <v>153.32308443142998</v>
      </c>
      <c r="G467" s="19" t="s">
        <v>73</v>
      </c>
      <c r="H467">
        <v>106.73028426666664</v>
      </c>
    </row>
    <row r="468" spans="1:8" x14ac:dyDescent="0.2">
      <c r="A468" s="25">
        <v>43319</v>
      </c>
      <c r="B468" s="26">
        <v>0.73263888888888895</v>
      </c>
      <c r="C468" s="5" t="s">
        <v>173</v>
      </c>
      <c r="D468" s="12" t="s">
        <v>88</v>
      </c>
      <c r="E468" s="9" t="s">
        <v>89</v>
      </c>
      <c r="F468" s="9">
        <v>459.9692532942899</v>
      </c>
      <c r="G468" s="19" t="s">
        <v>73</v>
      </c>
      <c r="H468">
        <v>464.70006581249999</v>
      </c>
    </row>
    <row r="469" spans="1:8" x14ac:dyDescent="0.2">
      <c r="A469" s="25">
        <v>43319</v>
      </c>
      <c r="B469" s="26">
        <v>0.73263888888888895</v>
      </c>
      <c r="C469" s="5" t="s">
        <v>173</v>
      </c>
      <c r="D469" s="12" t="s">
        <v>94</v>
      </c>
      <c r="E469" s="9" t="s">
        <v>95</v>
      </c>
      <c r="F469" s="9">
        <v>55656.279648609081</v>
      </c>
      <c r="G469" s="19" t="s">
        <v>97</v>
      </c>
      <c r="H469">
        <v>0.17999999999999997</v>
      </c>
    </row>
    <row r="470" spans="1:8" x14ac:dyDescent="0.2">
      <c r="A470" s="25">
        <v>43319</v>
      </c>
      <c r="B470" s="26">
        <v>0.74305555555555503</v>
      </c>
      <c r="C470" s="5" t="s">
        <v>158</v>
      </c>
      <c r="D470" s="12" t="s">
        <v>81</v>
      </c>
      <c r="E470" s="9" t="s">
        <v>83</v>
      </c>
      <c r="F470" s="9">
        <v>328.54946663877848</v>
      </c>
      <c r="G470" s="19" t="s">
        <v>73</v>
      </c>
      <c r="H470">
        <v>32.973081443333328</v>
      </c>
    </row>
    <row r="471" spans="1:8" x14ac:dyDescent="0.2">
      <c r="A471" s="25">
        <v>43319</v>
      </c>
      <c r="B471" s="26">
        <v>0.74305555555555503</v>
      </c>
      <c r="C471" s="5" t="s">
        <v>158</v>
      </c>
      <c r="D471" s="12" t="s">
        <v>86</v>
      </c>
      <c r="E471" s="9" t="s">
        <v>87</v>
      </c>
      <c r="F471" s="9">
        <v>4928.2419995816781</v>
      </c>
      <c r="G471" s="19" t="s">
        <v>73</v>
      </c>
      <c r="H471">
        <v>7.2382233599999992</v>
      </c>
    </row>
    <row r="472" spans="1:8" x14ac:dyDescent="0.2">
      <c r="A472" s="25">
        <v>43319</v>
      </c>
      <c r="B472" s="26">
        <v>0.74305555555555503</v>
      </c>
      <c r="C472" s="5" t="s">
        <v>158</v>
      </c>
      <c r="D472" s="36" t="s">
        <v>161</v>
      </c>
      <c r="E472" s="9" t="s">
        <v>162</v>
      </c>
      <c r="F472" s="9">
        <v>328.54946663877848</v>
      </c>
      <c r="G472" s="19" t="s">
        <v>97</v>
      </c>
      <c r="H472">
        <v>26.521826378333333</v>
      </c>
    </row>
    <row r="473" spans="1:8" x14ac:dyDescent="0.2">
      <c r="A473" s="25">
        <v>43319</v>
      </c>
      <c r="B473" s="26">
        <v>0.74305555555555503</v>
      </c>
      <c r="C473" s="5" t="s">
        <v>158</v>
      </c>
      <c r="D473" s="12" t="s">
        <v>88</v>
      </c>
      <c r="E473" s="9" t="s">
        <v>89</v>
      </c>
      <c r="F473" s="9">
        <v>328.54946663877848</v>
      </c>
      <c r="G473" s="19" t="s">
        <v>73</v>
      </c>
      <c r="H473">
        <v>538.67979792749986</v>
      </c>
    </row>
    <row r="474" spans="1:8" x14ac:dyDescent="0.2">
      <c r="A474" s="25">
        <v>43319</v>
      </c>
      <c r="B474" s="26">
        <v>0.74305555555555503</v>
      </c>
      <c r="C474" s="5" t="s">
        <v>158</v>
      </c>
      <c r="D474" s="12" t="s">
        <v>92</v>
      </c>
      <c r="E474" s="9" t="s">
        <v>89</v>
      </c>
      <c r="F474" s="9">
        <v>328.54946663877848</v>
      </c>
      <c r="G474" s="19" t="s">
        <v>73</v>
      </c>
      <c r="H474">
        <v>83.742223039999971</v>
      </c>
    </row>
    <row r="475" spans="1:8" x14ac:dyDescent="0.2">
      <c r="A475" s="25">
        <v>43319</v>
      </c>
      <c r="B475" s="26">
        <v>0.74305555555555503</v>
      </c>
      <c r="C475" s="5" t="s">
        <v>158</v>
      </c>
      <c r="D475" s="12" t="s">
        <v>94</v>
      </c>
      <c r="E475" s="9" t="s">
        <v>95</v>
      </c>
      <c r="F475" s="9">
        <v>129448.48985567872</v>
      </c>
      <c r="G475" s="19" t="s">
        <v>97</v>
      </c>
      <c r="H475">
        <v>0.17999999999999997</v>
      </c>
    </row>
    <row r="476" spans="1:8" x14ac:dyDescent="0.2">
      <c r="A476" s="25">
        <v>43319</v>
      </c>
      <c r="B476" s="26">
        <v>0.74305555555555503</v>
      </c>
      <c r="C476" s="5" t="s">
        <v>158</v>
      </c>
      <c r="D476" s="12" t="s">
        <v>163</v>
      </c>
      <c r="E476" s="9" t="s">
        <v>95</v>
      </c>
      <c r="F476" s="9">
        <v>985.64839991633551</v>
      </c>
      <c r="G476" s="19" t="s">
        <v>97</v>
      </c>
      <c r="H476">
        <v>11.494030613333329</v>
      </c>
    </row>
    <row r="477" spans="1:8" x14ac:dyDescent="0.2">
      <c r="A477" s="25">
        <v>43320</v>
      </c>
      <c r="B477" s="26">
        <v>0.62847222222222199</v>
      </c>
      <c r="C477" s="5" t="s">
        <v>236</v>
      </c>
      <c r="D477" s="12" t="s">
        <v>237</v>
      </c>
      <c r="E477" s="9" t="s">
        <v>238</v>
      </c>
      <c r="F477" s="9">
        <v>1437.4039165446561</v>
      </c>
      <c r="G477" s="19" t="s">
        <v>73</v>
      </c>
      <c r="H477">
        <v>5191.2363579674993</v>
      </c>
    </row>
    <row r="478" spans="1:8" x14ac:dyDescent="0.2">
      <c r="A478" s="25">
        <v>43320</v>
      </c>
      <c r="B478" s="26">
        <v>0.62847222222222199</v>
      </c>
      <c r="C478" s="5" t="s">
        <v>236</v>
      </c>
      <c r="D478" s="12" t="s">
        <v>69</v>
      </c>
      <c r="E478" s="9" t="s">
        <v>71</v>
      </c>
      <c r="F478" s="9">
        <v>574.96156661786233</v>
      </c>
      <c r="G478" s="19" t="s">
        <v>73</v>
      </c>
      <c r="H478">
        <v>261.19807578000001</v>
      </c>
    </row>
    <row r="479" spans="1:8" x14ac:dyDescent="0.2">
      <c r="A479" s="25">
        <v>43320</v>
      </c>
      <c r="B479" s="26">
        <v>0.62847222222222199</v>
      </c>
      <c r="C479" s="5" t="s">
        <v>236</v>
      </c>
      <c r="D479" s="12" t="s">
        <v>69</v>
      </c>
      <c r="E479" s="9" t="s">
        <v>71</v>
      </c>
      <c r="F479" s="9">
        <v>287.48078330893117</v>
      </c>
      <c r="G479" s="19" t="s">
        <v>73</v>
      </c>
      <c r="H479">
        <v>596.7410935124999</v>
      </c>
    </row>
    <row r="480" spans="1:8" x14ac:dyDescent="0.2">
      <c r="A480" s="25">
        <v>43320</v>
      </c>
      <c r="B480" s="26">
        <v>0.62847222222222199</v>
      </c>
      <c r="C480" s="5" t="s">
        <v>236</v>
      </c>
      <c r="D480" s="12" t="s">
        <v>102</v>
      </c>
      <c r="E480" s="9" t="s">
        <v>103</v>
      </c>
      <c r="F480" s="9">
        <v>862.44234992679355</v>
      </c>
      <c r="G480" s="19" t="s">
        <v>73</v>
      </c>
      <c r="H480">
        <v>129.81992357000001</v>
      </c>
    </row>
    <row r="481" spans="1:8" x14ac:dyDescent="0.2">
      <c r="A481" s="25">
        <v>43320</v>
      </c>
      <c r="B481" s="26">
        <v>0.62847222222222199</v>
      </c>
      <c r="C481" s="5" t="s">
        <v>236</v>
      </c>
      <c r="D481" s="12" t="s">
        <v>86</v>
      </c>
      <c r="E481" s="9" t="s">
        <v>87</v>
      </c>
      <c r="F481" s="9">
        <v>6899.5387994143484</v>
      </c>
      <c r="G481" s="19" t="s">
        <v>73</v>
      </c>
      <c r="H481">
        <v>9.2027643066666673</v>
      </c>
    </row>
    <row r="482" spans="1:8" x14ac:dyDescent="0.2">
      <c r="A482" s="25">
        <v>43320</v>
      </c>
      <c r="B482" s="26">
        <v>0.62847222222222199</v>
      </c>
      <c r="C482" s="5" t="s">
        <v>236</v>
      </c>
      <c r="D482" s="12" t="s">
        <v>118</v>
      </c>
      <c r="E482" s="9" t="s">
        <v>119</v>
      </c>
      <c r="F482" s="9">
        <v>574.96156661786233</v>
      </c>
      <c r="G482" s="19" t="s">
        <v>73</v>
      </c>
      <c r="H482">
        <v>954.78574961999971</v>
      </c>
    </row>
    <row r="483" spans="1:8" x14ac:dyDescent="0.2">
      <c r="A483" s="25">
        <v>43320</v>
      </c>
      <c r="B483" s="26">
        <v>0.62847222222222199</v>
      </c>
      <c r="C483" s="5" t="s">
        <v>236</v>
      </c>
      <c r="D483" s="12" t="s">
        <v>88</v>
      </c>
      <c r="E483" s="9" t="s">
        <v>89</v>
      </c>
      <c r="F483" s="9">
        <v>574.96156661786233</v>
      </c>
      <c r="G483" s="19" t="s">
        <v>73</v>
      </c>
      <c r="H483">
        <v>430.35384773999982</v>
      </c>
    </row>
    <row r="484" spans="1:8" x14ac:dyDescent="0.2">
      <c r="A484" s="25">
        <v>43320</v>
      </c>
      <c r="B484" s="26">
        <v>0.62847222222222199</v>
      </c>
      <c r="C484" s="5" t="s">
        <v>236</v>
      </c>
      <c r="D484" s="12" t="s">
        <v>92</v>
      </c>
      <c r="E484" s="9" t="s">
        <v>89</v>
      </c>
      <c r="F484" s="9">
        <v>287.48078330893117</v>
      </c>
      <c r="G484" s="19" t="s">
        <v>73</v>
      </c>
      <c r="H484">
        <v>172.0334684</v>
      </c>
    </row>
    <row r="485" spans="1:8" x14ac:dyDescent="0.2">
      <c r="A485" s="25">
        <v>43320</v>
      </c>
      <c r="B485" s="26">
        <v>0.62847222222222199</v>
      </c>
      <c r="C485" s="5" t="s">
        <v>236</v>
      </c>
      <c r="D485" s="12" t="s">
        <v>94</v>
      </c>
      <c r="E485" s="9" t="s">
        <v>95</v>
      </c>
      <c r="F485" s="9">
        <v>105792.92825768668</v>
      </c>
      <c r="G485" s="19" t="s">
        <v>97</v>
      </c>
      <c r="H485">
        <v>0.17999999999999997</v>
      </c>
    </row>
    <row r="486" spans="1:8" x14ac:dyDescent="0.2">
      <c r="A486" s="25">
        <v>43320</v>
      </c>
      <c r="B486" s="26">
        <v>0.62847222222222199</v>
      </c>
      <c r="C486" s="5" t="s">
        <v>236</v>
      </c>
      <c r="D486" s="12" t="s">
        <v>130</v>
      </c>
      <c r="E486" s="9" t="s">
        <v>95</v>
      </c>
      <c r="F486" s="9">
        <v>574.96156661786233</v>
      </c>
      <c r="G486" s="19" t="s">
        <v>73</v>
      </c>
      <c r="H486">
        <v>50.964967373333316</v>
      </c>
    </row>
    <row r="487" spans="1:8" x14ac:dyDescent="0.2">
      <c r="A487" s="25">
        <v>43320</v>
      </c>
      <c r="B487" s="26">
        <v>0.62847222222222199</v>
      </c>
      <c r="C487" s="5" t="s">
        <v>236</v>
      </c>
      <c r="D487" s="12" t="s">
        <v>163</v>
      </c>
      <c r="E487" s="9" t="s">
        <v>95</v>
      </c>
      <c r="F487" s="9">
        <v>287.48078330893117</v>
      </c>
      <c r="G487" s="19" t="s">
        <v>97</v>
      </c>
      <c r="H487">
        <v>11.494030613333329</v>
      </c>
    </row>
    <row r="488" spans="1:8" x14ac:dyDescent="0.2">
      <c r="A488" s="25">
        <v>43320</v>
      </c>
      <c r="B488" s="26">
        <v>0.64791666666666703</v>
      </c>
      <c r="C488" s="5" t="s">
        <v>200</v>
      </c>
      <c r="D488" s="12" t="s">
        <v>102</v>
      </c>
      <c r="E488" s="9" t="s">
        <v>103</v>
      </c>
      <c r="F488" s="9">
        <v>383.30771107857493</v>
      </c>
      <c r="G488" s="19" t="s">
        <v>73</v>
      </c>
      <c r="H488">
        <v>68.964183679999977</v>
      </c>
    </row>
    <row r="489" spans="1:8" x14ac:dyDescent="0.2">
      <c r="A489" s="25">
        <v>43320</v>
      </c>
      <c r="B489" s="26">
        <v>0.64791666666666703</v>
      </c>
      <c r="C489" s="5" t="s">
        <v>200</v>
      </c>
      <c r="D489" s="12" t="s">
        <v>86</v>
      </c>
      <c r="E489" s="9" t="s">
        <v>87</v>
      </c>
      <c r="F489" s="9">
        <v>3449.7693997071742</v>
      </c>
      <c r="G489" s="19" t="s">
        <v>73</v>
      </c>
      <c r="H489">
        <v>9.2027643066666673</v>
      </c>
    </row>
    <row r="490" spans="1:8" x14ac:dyDescent="0.2">
      <c r="A490" s="25">
        <v>43320</v>
      </c>
      <c r="B490" s="26">
        <v>0.64791666666666703</v>
      </c>
      <c r="C490" s="5" t="s">
        <v>200</v>
      </c>
      <c r="D490" s="12" t="s">
        <v>118</v>
      </c>
      <c r="E490" s="9" t="s">
        <v>119</v>
      </c>
      <c r="F490" s="9">
        <v>383.30771107857493</v>
      </c>
      <c r="G490" s="19" t="s">
        <v>73</v>
      </c>
      <c r="H490">
        <v>1193.4821870249996</v>
      </c>
    </row>
    <row r="491" spans="1:8" x14ac:dyDescent="0.2">
      <c r="A491" s="25">
        <v>43320</v>
      </c>
      <c r="B491" s="26">
        <v>0.64791666666666703</v>
      </c>
      <c r="C491" s="5" t="s">
        <v>200</v>
      </c>
      <c r="D491" s="12" t="s">
        <v>94</v>
      </c>
      <c r="E491" s="9" t="s">
        <v>95</v>
      </c>
      <c r="F491" s="9">
        <v>149490.00732064422</v>
      </c>
      <c r="G491" s="19" t="s">
        <v>97</v>
      </c>
      <c r="H491">
        <v>0.17999999999999997</v>
      </c>
    </row>
    <row r="492" spans="1:8" x14ac:dyDescent="0.2">
      <c r="A492" s="25">
        <v>43320</v>
      </c>
      <c r="B492" s="26">
        <v>0.64791666666666703</v>
      </c>
      <c r="C492" s="5" t="s">
        <v>200</v>
      </c>
      <c r="D492" s="12" t="s">
        <v>130</v>
      </c>
      <c r="E492" s="9" t="s">
        <v>95</v>
      </c>
      <c r="F492" s="9">
        <v>766.61542215714985</v>
      </c>
      <c r="G492" s="19" t="s">
        <v>97</v>
      </c>
      <c r="H492">
        <v>61.600820318333341</v>
      </c>
    </row>
    <row r="493" spans="1:8" x14ac:dyDescent="0.2">
      <c r="A493" s="25">
        <v>43320</v>
      </c>
      <c r="B493" s="26">
        <v>0.65625</v>
      </c>
      <c r="C493" s="5" t="s">
        <v>135</v>
      </c>
      <c r="D493" s="12" t="s">
        <v>81</v>
      </c>
      <c r="E493" s="9" t="s">
        <v>83</v>
      </c>
      <c r="F493" s="9">
        <v>328.54946663877848</v>
      </c>
      <c r="G493" s="19" t="s">
        <v>73</v>
      </c>
      <c r="H493">
        <v>40.993560713333324</v>
      </c>
    </row>
    <row r="494" spans="1:8" x14ac:dyDescent="0.2">
      <c r="A494" s="25">
        <v>43320</v>
      </c>
      <c r="B494" s="26">
        <v>0.65625</v>
      </c>
      <c r="C494" s="5" t="s">
        <v>135</v>
      </c>
      <c r="D494" s="12" t="s">
        <v>86</v>
      </c>
      <c r="E494" s="9" t="s">
        <v>87</v>
      </c>
      <c r="F494" s="9">
        <v>12813.429198912361</v>
      </c>
      <c r="G494" s="19" t="s">
        <v>73</v>
      </c>
      <c r="H494">
        <v>9.2027643066666673</v>
      </c>
    </row>
    <row r="495" spans="1:8" x14ac:dyDescent="0.2">
      <c r="A495" s="25">
        <v>43320</v>
      </c>
      <c r="B495" s="26">
        <v>0.65625</v>
      </c>
      <c r="C495" s="5" t="s">
        <v>135</v>
      </c>
      <c r="D495" s="8" t="s">
        <v>197</v>
      </c>
      <c r="E495" s="9" t="s">
        <v>198</v>
      </c>
      <c r="F495" s="9">
        <v>657.09893327755697</v>
      </c>
      <c r="G495" s="19" t="s">
        <v>73</v>
      </c>
      <c r="H495">
        <v>30.377080906666663</v>
      </c>
    </row>
    <row r="496" spans="1:8" x14ac:dyDescent="0.2">
      <c r="A496" s="25">
        <v>43320</v>
      </c>
      <c r="B496" s="26">
        <v>0.65625</v>
      </c>
      <c r="C496" s="5" t="s">
        <v>135</v>
      </c>
      <c r="D496" s="8" t="s">
        <v>179</v>
      </c>
      <c r="E496" s="9" t="s">
        <v>180</v>
      </c>
      <c r="F496" s="9">
        <v>328.54946663877848</v>
      </c>
      <c r="G496" s="19" t="s">
        <v>73</v>
      </c>
      <c r="H496">
        <v>121.50832362666665</v>
      </c>
    </row>
    <row r="497" spans="1:8" x14ac:dyDescent="0.2">
      <c r="A497" s="25">
        <v>43320</v>
      </c>
      <c r="B497" s="26">
        <v>0.65625</v>
      </c>
      <c r="C497" s="5" t="s">
        <v>135</v>
      </c>
      <c r="D497" s="12" t="s">
        <v>232</v>
      </c>
      <c r="E497" s="9" t="s">
        <v>233</v>
      </c>
      <c r="F497" s="9">
        <v>328.54946663877848</v>
      </c>
      <c r="G497" s="19" t="s">
        <v>73</v>
      </c>
      <c r="H497">
        <v>421.15998460499998</v>
      </c>
    </row>
    <row r="498" spans="1:8" x14ac:dyDescent="0.2">
      <c r="A498" s="25">
        <v>43320</v>
      </c>
      <c r="B498" s="26">
        <v>0.65625</v>
      </c>
      <c r="C498" s="5" t="s">
        <v>135</v>
      </c>
      <c r="D498" s="12" t="s">
        <v>118</v>
      </c>
      <c r="E498" s="9" t="s">
        <v>119</v>
      </c>
      <c r="F498" s="9">
        <v>985.64839991633551</v>
      </c>
      <c r="G498" s="19" t="s">
        <v>73</v>
      </c>
      <c r="H498">
        <v>923.62745999999993</v>
      </c>
    </row>
    <row r="499" spans="1:8" x14ac:dyDescent="0.2">
      <c r="A499" s="25">
        <v>43320</v>
      </c>
      <c r="B499" s="26">
        <v>0.65625</v>
      </c>
      <c r="C499" s="5" t="s">
        <v>135</v>
      </c>
      <c r="D499" s="8" t="s">
        <v>121</v>
      </c>
      <c r="E499" s="9" t="s">
        <v>122</v>
      </c>
      <c r="F499" s="9">
        <v>328.54946663877848</v>
      </c>
      <c r="G499" s="19" t="s">
        <v>73</v>
      </c>
      <c r="H499">
        <v>902.57880699999998</v>
      </c>
    </row>
    <row r="500" spans="1:8" x14ac:dyDescent="0.2">
      <c r="A500" s="25">
        <v>43320</v>
      </c>
      <c r="B500" s="26">
        <v>0.65625</v>
      </c>
      <c r="C500" s="5" t="s">
        <v>135</v>
      </c>
      <c r="D500" s="12" t="s">
        <v>94</v>
      </c>
      <c r="E500" s="9" t="s">
        <v>95</v>
      </c>
      <c r="F500" s="9">
        <v>116635.06065676636</v>
      </c>
      <c r="G500" s="19" t="s">
        <v>97</v>
      </c>
      <c r="H500">
        <v>0.17999999999999997</v>
      </c>
    </row>
    <row r="501" spans="1:8" x14ac:dyDescent="0.2">
      <c r="A501" s="25">
        <v>43320</v>
      </c>
      <c r="B501" s="26">
        <v>0.65625</v>
      </c>
      <c r="C501" s="5" t="s">
        <v>135</v>
      </c>
      <c r="D501" s="12" t="s">
        <v>98</v>
      </c>
      <c r="E501" s="9" t="s">
        <v>95</v>
      </c>
      <c r="F501" s="9">
        <v>1314.1978665551139</v>
      </c>
      <c r="G501" s="19" t="s">
        <v>97</v>
      </c>
      <c r="H501">
        <v>11.494030613333329</v>
      </c>
    </row>
    <row r="502" spans="1:8" x14ac:dyDescent="0.2">
      <c r="A502" s="25">
        <v>43320</v>
      </c>
      <c r="B502" s="26">
        <v>0.65625</v>
      </c>
      <c r="C502" s="5" t="s">
        <v>135</v>
      </c>
      <c r="D502" s="12" t="s">
        <v>130</v>
      </c>
      <c r="E502" s="9" t="s">
        <v>95</v>
      </c>
      <c r="F502" s="9">
        <v>2299.8462664714493</v>
      </c>
      <c r="G502" s="19" t="s">
        <v>97</v>
      </c>
      <c r="H502">
        <v>57.905786879999994</v>
      </c>
    </row>
    <row r="503" spans="1:8" x14ac:dyDescent="0.2">
      <c r="A503" s="25">
        <v>43320</v>
      </c>
      <c r="B503" s="26">
        <v>0.65625</v>
      </c>
      <c r="C503" s="5" t="s">
        <v>135</v>
      </c>
      <c r="D503" s="12" t="s">
        <v>234</v>
      </c>
      <c r="E503" s="9" t="s">
        <v>235</v>
      </c>
      <c r="F503" s="9">
        <v>328.54946663877848</v>
      </c>
      <c r="G503" s="19" t="s">
        <v>134</v>
      </c>
      <c r="H503">
        <v>0.57255477750000006</v>
      </c>
    </row>
    <row r="504" spans="1:8" x14ac:dyDescent="0.2">
      <c r="A504" s="25">
        <v>43320</v>
      </c>
      <c r="B504" s="26">
        <v>0.66944444444444395</v>
      </c>
      <c r="C504" s="5" t="s">
        <v>116</v>
      </c>
      <c r="D504" s="12" t="s">
        <v>102</v>
      </c>
      <c r="E504" s="9" t="s">
        <v>103</v>
      </c>
      <c r="F504" s="9">
        <v>255.53847405238326</v>
      </c>
      <c r="G504" s="19" t="s">
        <v>73</v>
      </c>
      <c r="H504">
        <v>159.13095827000001</v>
      </c>
    </row>
    <row r="505" spans="1:8" x14ac:dyDescent="0.2">
      <c r="A505" s="25">
        <v>43320</v>
      </c>
      <c r="B505" s="26">
        <v>0.66944444444444395</v>
      </c>
      <c r="C505" s="5" t="s">
        <v>116</v>
      </c>
      <c r="D505" s="8" t="s">
        <v>229</v>
      </c>
      <c r="E505" s="9" t="s">
        <v>138</v>
      </c>
      <c r="F505" s="9">
        <v>766.61542215714974</v>
      </c>
      <c r="G505" s="19" t="s">
        <v>73</v>
      </c>
      <c r="H505">
        <v>56.986086407499997</v>
      </c>
    </row>
    <row r="506" spans="1:8" x14ac:dyDescent="0.2">
      <c r="A506" s="25">
        <v>43320</v>
      </c>
      <c r="B506" s="26">
        <v>0.66944444444444395</v>
      </c>
      <c r="C506" s="5" t="s">
        <v>116</v>
      </c>
      <c r="D506" s="12" t="s">
        <v>86</v>
      </c>
      <c r="E506" s="9" t="s">
        <v>87</v>
      </c>
      <c r="F506" s="9">
        <v>9966.000488042946</v>
      </c>
      <c r="G506" s="19" t="s">
        <v>73</v>
      </c>
      <c r="H506">
        <v>9.2027643066666673</v>
      </c>
    </row>
    <row r="507" spans="1:8" x14ac:dyDescent="0.2">
      <c r="A507" s="25">
        <v>43320</v>
      </c>
      <c r="B507" s="26">
        <v>0.66944444444444395</v>
      </c>
      <c r="C507" s="5" t="s">
        <v>116</v>
      </c>
      <c r="D507" s="12" t="s">
        <v>118</v>
      </c>
      <c r="E507" s="9" t="s">
        <v>119</v>
      </c>
      <c r="F507" s="9">
        <v>511.07694810476653</v>
      </c>
      <c r="G507" s="19" t="s">
        <v>73</v>
      </c>
      <c r="H507">
        <v>1418.2105916916664</v>
      </c>
    </row>
    <row r="508" spans="1:8" x14ac:dyDescent="0.2">
      <c r="A508" s="25">
        <v>43320</v>
      </c>
      <c r="B508" s="26">
        <v>0.66944444444444395</v>
      </c>
      <c r="C508" s="5" t="s">
        <v>116</v>
      </c>
      <c r="D508" s="12" t="s">
        <v>92</v>
      </c>
      <c r="E508" s="9" t="s">
        <v>89</v>
      </c>
      <c r="F508" s="9">
        <v>255.53847405238326</v>
      </c>
      <c r="G508" s="19" t="s">
        <v>73</v>
      </c>
      <c r="H508">
        <v>122.77726418749999</v>
      </c>
    </row>
    <row r="509" spans="1:8" x14ac:dyDescent="0.2">
      <c r="A509" s="25">
        <v>43320</v>
      </c>
      <c r="B509" s="26">
        <v>0.66944444444444395</v>
      </c>
      <c r="C509" s="5" t="s">
        <v>116</v>
      </c>
      <c r="D509" s="12" t="s">
        <v>94</v>
      </c>
      <c r="E509" s="9" t="s">
        <v>95</v>
      </c>
      <c r="F509" s="9">
        <v>97615.697088010405</v>
      </c>
      <c r="G509" s="19" t="s">
        <v>97</v>
      </c>
      <c r="H509">
        <v>0.17999999999999997</v>
      </c>
    </row>
    <row r="510" spans="1:8" x14ac:dyDescent="0.2">
      <c r="A510" s="25">
        <v>43320</v>
      </c>
      <c r="B510" s="26">
        <v>0.66944444444444395</v>
      </c>
      <c r="C510" s="5" t="s">
        <v>116</v>
      </c>
      <c r="D510" s="12" t="s">
        <v>130</v>
      </c>
      <c r="E510" s="9" t="s">
        <v>95</v>
      </c>
      <c r="F510" s="9">
        <v>511.07694810476653</v>
      </c>
      <c r="G510" s="19" t="s">
        <v>73</v>
      </c>
      <c r="H510">
        <v>91.952244906666635</v>
      </c>
    </row>
    <row r="511" spans="1:8" x14ac:dyDescent="0.2">
      <c r="A511" s="25">
        <v>43320</v>
      </c>
      <c r="B511" s="26">
        <v>0.69444444444444497</v>
      </c>
      <c r="C511" s="5" t="s">
        <v>226</v>
      </c>
      <c r="D511" s="12" t="s">
        <v>109</v>
      </c>
      <c r="E511" s="9" t="s">
        <v>110</v>
      </c>
      <c r="F511" s="9">
        <v>328.54946663877848</v>
      </c>
      <c r="G511" s="19" t="s">
        <v>73</v>
      </c>
      <c r="H511">
        <v>75.671478329999999</v>
      </c>
    </row>
    <row r="512" spans="1:8" x14ac:dyDescent="0.2">
      <c r="A512" s="25">
        <v>43320</v>
      </c>
      <c r="B512" s="26">
        <v>0.69444444444444497</v>
      </c>
      <c r="C512" s="5" t="s">
        <v>226</v>
      </c>
      <c r="D512" s="12" t="s">
        <v>81</v>
      </c>
      <c r="E512" s="9" t="s">
        <v>83</v>
      </c>
      <c r="F512" s="9">
        <v>328.54946663877848</v>
      </c>
      <c r="G512" s="19" t="s">
        <v>73</v>
      </c>
      <c r="H512">
        <v>49.905204346666665</v>
      </c>
    </row>
    <row r="513" spans="1:8" x14ac:dyDescent="0.2">
      <c r="A513" s="25">
        <v>43320</v>
      </c>
      <c r="B513" s="26">
        <v>0.69444444444444497</v>
      </c>
      <c r="C513" s="5" t="s">
        <v>226</v>
      </c>
      <c r="D513" s="12" t="s">
        <v>86</v>
      </c>
      <c r="E513" s="9" t="s">
        <v>87</v>
      </c>
      <c r="F513" s="9">
        <v>4928.2419995816781</v>
      </c>
      <c r="G513" s="19" t="s">
        <v>73</v>
      </c>
      <c r="H513">
        <v>6.3706209216666645</v>
      </c>
    </row>
    <row r="514" spans="1:8" x14ac:dyDescent="0.2">
      <c r="A514" s="25">
        <v>43320</v>
      </c>
      <c r="B514" s="26">
        <v>0.69444444444444497</v>
      </c>
      <c r="C514" s="5" t="s">
        <v>226</v>
      </c>
      <c r="D514" s="12" t="s">
        <v>92</v>
      </c>
      <c r="E514" s="9" t="s">
        <v>89</v>
      </c>
      <c r="F514" s="9">
        <v>1314.1978665551139</v>
      </c>
      <c r="G514" s="19" t="s">
        <v>73</v>
      </c>
      <c r="H514">
        <v>112.822350875</v>
      </c>
    </row>
    <row r="515" spans="1:8" x14ac:dyDescent="0.2">
      <c r="A515" s="25">
        <v>43320</v>
      </c>
      <c r="B515" s="26">
        <v>0.69444444444444497</v>
      </c>
      <c r="C515" s="5" t="s">
        <v>226</v>
      </c>
      <c r="D515" s="12" t="s">
        <v>94</v>
      </c>
      <c r="E515" s="9" t="s">
        <v>95</v>
      </c>
      <c r="F515" s="9">
        <v>139633.52332148084</v>
      </c>
      <c r="G515" s="19" t="s">
        <v>97</v>
      </c>
      <c r="H515">
        <v>0.17999999999999997</v>
      </c>
    </row>
    <row r="516" spans="1:8" x14ac:dyDescent="0.2">
      <c r="A516" s="25">
        <v>43320</v>
      </c>
      <c r="B516" s="26">
        <v>0.72013888888888899</v>
      </c>
      <c r="C516" s="5" t="s">
        <v>222</v>
      </c>
      <c r="D516" s="12" t="s">
        <v>102</v>
      </c>
      <c r="E516" s="9" t="s">
        <v>103</v>
      </c>
      <c r="F516" s="9">
        <v>1642.7473331938927</v>
      </c>
      <c r="G516" s="19" t="s">
        <v>73</v>
      </c>
      <c r="H516">
        <v>50.177475479999998</v>
      </c>
    </row>
    <row r="517" spans="1:8" x14ac:dyDescent="0.2">
      <c r="A517" s="25">
        <v>43320</v>
      </c>
      <c r="B517" s="26">
        <v>0.72013888888888899</v>
      </c>
      <c r="C517" s="5" t="s">
        <v>222</v>
      </c>
      <c r="D517" s="12" t="s">
        <v>86</v>
      </c>
      <c r="E517" s="9" t="s">
        <v>87</v>
      </c>
      <c r="F517" s="9">
        <v>6242.4398661367914</v>
      </c>
      <c r="G517" s="19" t="s">
        <v>73</v>
      </c>
      <c r="H517">
        <v>11.494030613333329</v>
      </c>
    </row>
    <row r="518" spans="1:8" x14ac:dyDescent="0.2">
      <c r="A518" s="25">
        <v>43320</v>
      </c>
      <c r="B518" s="26">
        <v>0.72013888888888899</v>
      </c>
      <c r="C518" s="5" t="s">
        <v>222</v>
      </c>
      <c r="D518" s="12" t="s">
        <v>88</v>
      </c>
      <c r="E518" s="9" t="s">
        <v>89</v>
      </c>
      <c r="F518" s="9">
        <v>328.54946663877848</v>
      </c>
      <c r="G518" s="19" t="s">
        <v>73</v>
      </c>
      <c r="H518">
        <v>538.67979792749986</v>
      </c>
    </row>
    <row r="519" spans="1:8" x14ac:dyDescent="0.2">
      <c r="A519" s="25">
        <v>43320</v>
      </c>
      <c r="B519" s="26">
        <v>0.72013888888888899</v>
      </c>
      <c r="C519" s="5" t="s">
        <v>222</v>
      </c>
      <c r="D519" s="12" t="s">
        <v>92</v>
      </c>
      <c r="E519" s="9" t="s">
        <v>89</v>
      </c>
      <c r="F519" s="9">
        <v>328.54946663877848</v>
      </c>
      <c r="G519" s="19" t="s">
        <v>73</v>
      </c>
      <c r="H519">
        <v>76.353203359999995</v>
      </c>
    </row>
    <row r="520" spans="1:8" x14ac:dyDescent="0.2">
      <c r="A520" s="25">
        <v>43320</v>
      </c>
      <c r="B520" s="26">
        <v>0.72013888888888899</v>
      </c>
      <c r="C520" s="5" t="s">
        <v>222</v>
      </c>
      <c r="D520" s="12" t="s">
        <v>94</v>
      </c>
      <c r="E520" s="9" t="s">
        <v>95</v>
      </c>
      <c r="F520" s="9">
        <v>129777.03932231751</v>
      </c>
      <c r="G520" s="19" t="s">
        <v>97</v>
      </c>
      <c r="H520">
        <v>0.17999999999999997</v>
      </c>
    </row>
    <row r="521" spans="1:8" x14ac:dyDescent="0.2">
      <c r="A521" s="25">
        <v>43320</v>
      </c>
      <c r="B521" s="26">
        <v>0.72013888888888899</v>
      </c>
      <c r="C521" s="5" t="s">
        <v>222</v>
      </c>
      <c r="D521" s="12" t="s">
        <v>98</v>
      </c>
      <c r="E521" s="9" t="s">
        <v>95</v>
      </c>
      <c r="F521" s="9">
        <v>328.54946663877848</v>
      </c>
      <c r="G521" s="19" t="s">
        <v>97</v>
      </c>
      <c r="H521">
        <v>3.5913609683333325</v>
      </c>
    </row>
    <row r="522" spans="1:8" x14ac:dyDescent="0.2">
      <c r="A522" s="25">
        <v>43320</v>
      </c>
      <c r="B522" s="26">
        <v>0.73333333333333295</v>
      </c>
      <c r="C522" s="5" t="s">
        <v>224</v>
      </c>
      <c r="D522" s="12" t="s">
        <v>190</v>
      </c>
      <c r="E522" s="9" t="s">
        <v>191</v>
      </c>
      <c r="F522" s="9">
        <v>657.09893327755697</v>
      </c>
      <c r="G522" s="19" t="s">
        <v>73</v>
      </c>
      <c r="H522">
        <v>102.56399999999998</v>
      </c>
    </row>
    <row r="523" spans="1:8" x14ac:dyDescent="0.2">
      <c r="A523" s="25">
        <v>43320</v>
      </c>
      <c r="B523" s="26">
        <v>0.73333333333333295</v>
      </c>
      <c r="C523" s="5" t="s">
        <v>224</v>
      </c>
      <c r="D523" s="12" t="s">
        <v>172</v>
      </c>
      <c r="E523" s="9" t="s">
        <v>83</v>
      </c>
      <c r="F523" s="9">
        <v>328.54946663877848</v>
      </c>
      <c r="G523" s="19" t="s">
        <v>73</v>
      </c>
      <c r="H523">
        <v>201.79060887999995</v>
      </c>
    </row>
    <row r="524" spans="1:8" x14ac:dyDescent="0.2">
      <c r="A524" s="25">
        <v>43320</v>
      </c>
      <c r="B524" s="26">
        <v>0.73333333333333295</v>
      </c>
      <c r="C524" s="5" t="s">
        <v>224</v>
      </c>
      <c r="D524" s="12" t="s">
        <v>86</v>
      </c>
      <c r="E524" s="9" t="s">
        <v>87</v>
      </c>
      <c r="F524" s="9">
        <v>2956.9451997490069</v>
      </c>
      <c r="G524" s="19" t="s">
        <v>73</v>
      </c>
      <c r="H524">
        <v>9.2027643066666673</v>
      </c>
    </row>
    <row r="525" spans="1:8" x14ac:dyDescent="0.2">
      <c r="A525" s="25">
        <v>43320</v>
      </c>
      <c r="B525" s="26">
        <v>0.73333333333333295</v>
      </c>
      <c r="C525" s="5" t="s">
        <v>224</v>
      </c>
      <c r="D525" s="12" t="s">
        <v>94</v>
      </c>
      <c r="E525" s="9" t="s">
        <v>95</v>
      </c>
      <c r="F525" s="9">
        <v>144890.31478770133</v>
      </c>
      <c r="G525" s="19" t="s">
        <v>97</v>
      </c>
      <c r="H525">
        <v>0.17999999999999997</v>
      </c>
    </row>
    <row r="526" spans="1:8" x14ac:dyDescent="0.2">
      <c r="A526" s="25">
        <v>43320</v>
      </c>
      <c r="B526" s="26">
        <v>0.73333333333333295</v>
      </c>
      <c r="C526" s="5" t="s">
        <v>224</v>
      </c>
      <c r="D526" s="12" t="s">
        <v>98</v>
      </c>
      <c r="E526" s="9" t="s">
        <v>95</v>
      </c>
      <c r="F526" s="9">
        <v>328.54946663877848</v>
      </c>
      <c r="G526" s="19" t="s">
        <v>97</v>
      </c>
      <c r="H526">
        <v>3.5913609683333325</v>
      </c>
    </row>
    <row r="527" spans="1:8" x14ac:dyDescent="0.2">
      <c r="A527" s="25">
        <v>43320</v>
      </c>
      <c r="B527" s="26">
        <v>0.74305555555555503</v>
      </c>
      <c r="C527" s="5" t="s">
        <v>219</v>
      </c>
      <c r="D527" s="12" t="s">
        <v>102</v>
      </c>
      <c r="E527" s="9" t="s">
        <v>103</v>
      </c>
      <c r="F527" s="9">
        <v>383.30771107857493</v>
      </c>
      <c r="G527" s="19" t="s">
        <v>73</v>
      </c>
      <c r="H527">
        <v>39.782739567500002</v>
      </c>
    </row>
    <row r="528" spans="1:8" x14ac:dyDescent="0.2">
      <c r="A528" s="25">
        <v>43320</v>
      </c>
      <c r="B528" s="26">
        <v>0.74305555555555503</v>
      </c>
      <c r="C528" s="5" t="s">
        <v>219</v>
      </c>
      <c r="D528" s="12" t="s">
        <v>86</v>
      </c>
      <c r="E528" s="9" t="s">
        <v>87</v>
      </c>
      <c r="F528" s="9">
        <v>6516.2310883357732</v>
      </c>
      <c r="G528" s="19" t="s">
        <v>73</v>
      </c>
      <c r="H528">
        <v>6.3706209216666645</v>
      </c>
    </row>
    <row r="529" spans="1:8" x14ac:dyDescent="0.2">
      <c r="A529" s="25">
        <v>43320</v>
      </c>
      <c r="B529" s="26">
        <v>0.74305555555555503</v>
      </c>
      <c r="C529" s="5" t="s">
        <v>219</v>
      </c>
      <c r="D529" s="12" t="s">
        <v>88</v>
      </c>
      <c r="E529" s="9" t="s">
        <v>89</v>
      </c>
      <c r="F529" s="9">
        <v>383.30771107857493</v>
      </c>
      <c r="G529" s="19" t="s">
        <v>73</v>
      </c>
      <c r="H529">
        <v>242.92658833999991</v>
      </c>
    </row>
    <row r="530" spans="1:8" x14ac:dyDescent="0.2">
      <c r="A530" s="25">
        <v>43320</v>
      </c>
      <c r="B530" s="26">
        <v>0.74305555555555503</v>
      </c>
      <c r="C530" s="5" t="s">
        <v>219</v>
      </c>
      <c r="D530" s="12" t="s">
        <v>92</v>
      </c>
      <c r="E530" s="9" t="s">
        <v>89</v>
      </c>
      <c r="F530" s="9">
        <v>383.30771107857493</v>
      </c>
      <c r="G530" s="19" t="s">
        <v>73</v>
      </c>
      <c r="H530">
        <v>112.822350875</v>
      </c>
    </row>
    <row r="531" spans="1:8" x14ac:dyDescent="0.2">
      <c r="A531" s="25">
        <v>43320</v>
      </c>
      <c r="B531" s="26">
        <v>0.74305555555555503</v>
      </c>
      <c r="C531" s="5" t="s">
        <v>219</v>
      </c>
      <c r="D531" s="12" t="s">
        <v>94</v>
      </c>
      <c r="E531" s="9" t="s">
        <v>95</v>
      </c>
      <c r="F531" s="9">
        <v>164822.31576378722</v>
      </c>
      <c r="G531" s="19" t="s">
        <v>97</v>
      </c>
      <c r="H531">
        <v>0.17999999999999997</v>
      </c>
    </row>
    <row r="532" spans="1:8" x14ac:dyDescent="0.2">
      <c r="A532" s="25">
        <v>43320</v>
      </c>
      <c r="B532" s="26">
        <v>0.74305555555555503</v>
      </c>
      <c r="C532" s="5" t="s">
        <v>219</v>
      </c>
      <c r="D532" s="12" t="s">
        <v>132</v>
      </c>
      <c r="E532" s="9" t="s">
        <v>133</v>
      </c>
      <c r="F532" s="9">
        <v>383.30771107857493</v>
      </c>
      <c r="G532" s="19" t="s">
        <v>134</v>
      </c>
      <c r="H532">
        <v>1.2087267524999998</v>
      </c>
    </row>
    <row r="533" spans="1:8" x14ac:dyDescent="0.2">
      <c r="A533" s="25">
        <v>43360</v>
      </c>
      <c r="B533" s="26">
        <v>0.63541666666666696</v>
      </c>
      <c r="C533" s="5" t="s">
        <v>68</v>
      </c>
      <c r="D533" s="12" t="s">
        <v>69</v>
      </c>
      <c r="E533" s="9" t="s">
        <v>71</v>
      </c>
      <c r="F533" s="9">
        <v>176.91125126703457</v>
      </c>
      <c r="G533" s="19" t="s">
        <v>73</v>
      </c>
      <c r="H533">
        <v>407.64957680999993</v>
      </c>
    </row>
    <row r="534" spans="1:8" x14ac:dyDescent="0.2">
      <c r="A534" s="25">
        <v>43360</v>
      </c>
      <c r="B534" s="26">
        <v>0.63541666666666696</v>
      </c>
      <c r="C534" s="5" t="s">
        <v>68</v>
      </c>
      <c r="D534" s="12" t="s">
        <v>81</v>
      </c>
      <c r="E534" s="9" t="s">
        <v>83</v>
      </c>
      <c r="F534" s="9">
        <v>176.91125126703457</v>
      </c>
      <c r="G534" s="19" t="s">
        <v>73</v>
      </c>
      <c r="H534">
        <v>99.810408693333329</v>
      </c>
    </row>
    <row r="535" spans="1:8" x14ac:dyDescent="0.2">
      <c r="A535" s="25">
        <v>43360</v>
      </c>
      <c r="B535" s="26">
        <v>0.63541666666666696</v>
      </c>
      <c r="C535" s="5" t="s">
        <v>68</v>
      </c>
      <c r="D535" s="12" t="s">
        <v>86</v>
      </c>
      <c r="E535" s="9" t="s">
        <v>87</v>
      </c>
      <c r="F535" s="9">
        <v>3007.4912715395876</v>
      </c>
      <c r="G535" s="19" t="s">
        <v>73</v>
      </c>
      <c r="H535">
        <v>7.2382233599999992</v>
      </c>
    </row>
    <row r="536" spans="1:8" x14ac:dyDescent="0.2">
      <c r="A536" s="25">
        <v>43360</v>
      </c>
      <c r="B536" s="26">
        <v>0.63541666666666696</v>
      </c>
      <c r="C536" s="5" t="s">
        <v>68</v>
      </c>
      <c r="D536" s="12" t="s">
        <v>88</v>
      </c>
      <c r="E536" s="9" t="s">
        <v>89</v>
      </c>
      <c r="F536" s="9">
        <v>707.64500506813829</v>
      </c>
      <c r="G536" s="19" t="s">
        <v>73</v>
      </c>
      <c r="H536">
        <v>356.77335935416664</v>
      </c>
    </row>
    <row r="537" spans="1:8" x14ac:dyDescent="0.2">
      <c r="A537" s="25">
        <v>43360</v>
      </c>
      <c r="B537" s="26">
        <v>0.63541666666666696</v>
      </c>
      <c r="C537" s="5" t="s">
        <v>68</v>
      </c>
      <c r="D537" s="12" t="s">
        <v>92</v>
      </c>
      <c r="E537" s="9" t="s">
        <v>89</v>
      </c>
      <c r="F537" s="9">
        <v>176.91125126703457</v>
      </c>
      <c r="G537" s="19" t="s">
        <v>73</v>
      </c>
      <c r="H537">
        <v>76.353203359999995</v>
      </c>
    </row>
    <row r="538" spans="1:8" x14ac:dyDescent="0.2">
      <c r="A538" s="25">
        <v>43360</v>
      </c>
      <c r="B538" s="26">
        <v>0.63541666666666696</v>
      </c>
      <c r="C538" s="5" t="s">
        <v>68</v>
      </c>
      <c r="D538" s="12" t="s">
        <v>94</v>
      </c>
      <c r="E538" s="9" t="s">
        <v>95</v>
      </c>
      <c r="F538" s="9">
        <v>67226.275481473131</v>
      </c>
      <c r="G538" s="19" t="s">
        <v>97</v>
      </c>
      <c r="H538">
        <v>0.17999999999999997</v>
      </c>
    </row>
    <row r="539" spans="1:8" x14ac:dyDescent="0.2">
      <c r="A539" s="25">
        <v>43360</v>
      </c>
      <c r="B539" s="26">
        <v>0.63541666666666696</v>
      </c>
      <c r="C539" s="5" t="s">
        <v>68</v>
      </c>
      <c r="D539" s="12" t="s">
        <v>98</v>
      </c>
      <c r="E539" s="9" t="s">
        <v>95</v>
      </c>
      <c r="F539" s="9">
        <v>176.91125126703457</v>
      </c>
      <c r="G539" s="19" t="s">
        <v>97</v>
      </c>
      <c r="H539">
        <v>11.494030613333329</v>
      </c>
    </row>
    <row r="540" spans="1:8" x14ac:dyDescent="0.2">
      <c r="A540" s="25">
        <v>43360</v>
      </c>
      <c r="B540" s="26">
        <v>0.66319444444444398</v>
      </c>
      <c r="C540" s="5" t="s">
        <v>108</v>
      </c>
      <c r="D540" s="12" t="s">
        <v>69</v>
      </c>
      <c r="E540" s="9" t="s">
        <v>71</v>
      </c>
      <c r="F540" s="9">
        <v>229.98462664714492</v>
      </c>
      <c r="G540" s="19" t="s">
        <v>73</v>
      </c>
      <c r="H540">
        <v>399.97781402999999</v>
      </c>
    </row>
    <row r="541" spans="1:8" x14ac:dyDescent="0.2">
      <c r="A541" s="25">
        <v>43360</v>
      </c>
      <c r="B541" s="26">
        <v>0.66319444444444398</v>
      </c>
      <c r="C541" s="5" t="s">
        <v>108</v>
      </c>
      <c r="D541" s="8" t="s">
        <v>212</v>
      </c>
      <c r="E541" s="9" t="s">
        <v>213</v>
      </c>
      <c r="F541" s="9">
        <v>229.98462664714492</v>
      </c>
      <c r="G541" s="19" t="s">
        <v>97</v>
      </c>
      <c r="H541">
        <v>2.0675589187500001</v>
      </c>
    </row>
    <row r="542" spans="1:8" x14ac:dyDescent="0.2">
      <c r="A542" s="25">
        <v>43360</v>
      </c>
      <c r="B542" s="26">
        <v>0.66319444444444398</v>
      </c>
      <c r="C542" s="5" t="s">
        <v>108</v>
      </c>
      <c r="D542" s="12" t="s">
        <v>86</v>
      </c>
      <c r="E542" s="9" t="s">
        <v>87</v>
      </c>
      <c r="F542" s="9">
        <v>5979.6002928257685</v>
      </c>
      <c r="G542" s="19" t="s">
        <v>73</v>
      </c>
      <c r="H542">
        <v>11.494030613333329</v>
      </c>
    </row>
    <row r="543" spans="1:8" x14ac:dyDescent="0.2">
      <c r="A543" s="25">
        <v>43360</v>
      </c>
      <c r="B543" s="26">
        <v>0.66319444444444398</v>
      </c>
      <c r="C543" s="5" t="s">
        <v>108</v>
      </c>
      <c r="D543" s="12" t="s">
        <v>216</v>
      </c>
      <c r="E543" s="9" t="s">
        <v>217</v>
      </c>
      <c r="F543" s="9">
        <v>229.98462664714492</v>
      </c>
      <c r="G543" s="19" t="s">
        <v>97</v>
      </c>
      <c r="H543">
        <v>8.694873923333331</v>
      </c>
    </row>
    <row r="544" spans="1:8" x14ac:dyDescent="0.2">
      <c r="A544" s="25">
        <v>43360</v>
      </c>
      <c r="B544" s="26">
        <v>0.66319444444444398</v>
      </c>
      <c r="C544" s="5" t="s">
        <v>108</v>
      </c>
      <c r="D544" s="12" t="s">
        <v>206</v>
      </c>
      <c r="E544" s="9" t="s">
        <v>207</v>
      </c>
      <c r="F544" s="9">
        <v>229.98462664714492</v>
      </c>
      <c r="G544" s="19" t="s">
        <v>73</v>
      </c>
      <c r="H544">
        <v>26.521826378333333</v>
      </c>
    </row>
    <row r="545" spans="1:8" x14ac:dyDescent="0.2">
      <c r="A545" s="25">
        <v>43360</v>
      </c>
      <c r="B545" s="26">
        <v>0.66319444444444398</v>
      </c>
      <c r="C545" s="5" t="s">
        <v>108</v>
      </c>
      <c r="D545" s="8" t="s">
        <v>179</v>
      </c>
      <c r="E545" s="9" t="s">
        <v>180</v>
      </c>
      <c r="F545" s="9">
        <v>229.98462664714492</v>
      </c>
      <c r="G545" s="19" t="s">
        <v>73</v>
      </c>
      <c r="H545">
        <v>40.141142626666664</v>
      </c>
    </row>
    <row r="546" spans="1:8" x14ac:dyDescent="0.2">
      <c r="A546" s="25">
        <v>43360</v>
      </c>
      <c r="B546" s="26">
        <v>0.66319444444444398</v>
      </c>
      <c r="C546" s="5" t="s">
        <v>108</v>
      </c>
      <c r="D546" s="12" t="s">
        <v>88</v>
      </c>
      <c r="E546" s="9" t="s">
        <v>89</v>
      </c>
      <c r="F546" s="9">
        <v>919.93850658857968</v>
      </c>
      <c r="G546" s="19" t="s">
        <v>73</v>
      </c>
      <c r="H546">
        <v>430.35384773999982</v>
      </c>
    </row>
    <row r="547" spans="1:8" x14ac:dyDescent="0.2">
      <c r="A547" s="25">
        <v>43360</v>
      </c>
      <c r="B547" s="26">
        <v>0.66319444444444398</v>
      </c>
      <c r="C547" s="5" t="s">
        <v>108</v>
      </c>
      <c r="D547" s="12" t="s">
        <v>94</v>
      </c>
      <c r="E547" s="9" t="s">
        <v>95</v>
      </c>
      <c r="F547" s="9">
        <v>88084.112005856514</v>
      </c>
      <c r="G547" s="19" t="s">
        <v>97</v>
      </c>
      <c r="H547">
        <v>0.17999999999999997</v>
      </c>
    </row>
    <row r="548" spans="1:8" x14ac:dyDescent="0.2">
      <c r="A548" s="25">
        <v>43360</v>
      </c>
      <c r="B548" s="26">
        <v>0.67708333333333304</v>
      </c>
      <c r="C548" s="5" t="s">
        <v>144</v>
      </c>
      <c r="D548" s="12" t="s">
        <v>86</v>
      </c>
      <c r="E548" s="9" t="s">
        <v>87</v>
      </c>
      <c r="F548" s="9">
        <v>3909.7386530014633</v>
      </c>
      <c r="G548" s="19" t="s">
        <v>73</v>
      </c>
      <c r="H548">
        <v>7.2382233599999992</v>
      </c>
    </row>
    <row r="549" spans="1:8" x14ac:dyDescent="0.2">
      <c r="A549" s="25">
        <v>43360</v>
      </c>
      <c r="B549" s="26">
        <v>0.67708333333333304</v>
      </c>
      <c r="C549" s="5" t="s">
        <v>144</v>
      </c>
      <c r="D549" s="12" t="s">
        <v>88</v>
      </c>
      <c r="E549" s="9" t="s">
        <v>89</v>
      </c>
      <c r="F549" s="9">
        <v>459.96925329428984</v>
      </c>
      <c r="G549" s="19" t="s">
        <v>73</v>
      </c>
      <c r="H549">
        <v>337.38084788249995</v>
      </c>
    </row>
    <row r="550" spans="1:8" x14ac:dyDescent="0.2">
      <c r="A550" s="25">
        <v>43360</v>
      </c>
      <c r="B550" s="26">
        <v>0.67708333333333304</v>
      </c>
      <c r="C550" s="5" t="s">
        <v>144</v>
      </c>
      <c r="D550" s="12" t="s">
        <v>92</v>
      </c>
      <c r="E550" s="9" t="s">
        <v>89</v>
      </c>
      <c r="F550" s="9">
        <v>229.98462664714492</v>
      </c>
      <c r="G550" s="19" t="s">
        <v>73</v>
      </c>
      <c r="H550">
        <v>172.0334684</v>
      </c>
    </row>
    <row r="551" spans="1:8" x14ac:dyDescent="0.2">
      <c r="A551" s="25">
        <v>43360</v>
      </c>
      <c r="B551" s="26">
        <v>0.67708333333333304</v>
      </c>
      <c r="C551" s="5" t="s">
        <v>144</v>
      </c>
      <c r="D551" s="12" t="s">
        <v>94</v>
      </c>
      <c r="E551" s="9" t="s">
        <v>95</v>
      </c>
      <c r="F551" s="9">
        <v>89464.019765739373</v>
      </c>
      <c r="G551" s="19" t="s">
        <v>97</v>
      </c>
      <c r="H551">
        <v>0.17999999999999997</v>
      </c>
    </row>
    <row r="552" spans="1:8" x14ac:dyDescent="0.2">
      <c r="A552" s="25">
        <v>43360</v>
      </c>
      <c r="B552" s="26">
        <v>0.6875</v>
      </c>
      <c r="C552" s="5" t="s">
        <v>113</v>
      </c>
      <c r="D552" s="12" t="s">
        <v>69</v>
      </c>
      <c r="E552" s="9" t="s">
        <v>71</v>
      </c>
      <c r="F552" s="9">
        <v>153.32308443142998</v>
      </c>
      <c r="G552" s="19" t="s">
        <v>73</v>
      </c>
      <c r="H552">
        <v>1494.5407567249999</v>
      </c>
    </row>
    <row r="553" spans="1:8" x14ac:dyDescent="0.2">
      <c r="A553" s="25">
        <v>43360</v>
      </c>
      <c r="B553" s="26">
        <v>0.6875</v>
      </c>
      <c r="C553" s="5" t="s">
        <v>113</v>
      </c>
      <c r="D553" s="12" t="s">
        <v>102</v>
      </c>
      <c r="E553" s="9" t="s">
        <v>103</v>
      </c>
      <c r="F553" s="9">
        <v>306.64616886285995</v>
      </c>
      <c r="G553" s="19" t="s">
        <v>73</v>
      </c>
      <c r="H553">
        <v>46.533231079999993</v>
      </c>
    </row>
    <row r="554" spans="1:8" x14ac:dyDescent="0.2">
      <c r="A554" s="25">
        <v>43360</v>
      </c>
      <c r="B554" s="26">
        <v>0.6875</v>
      </c>
      <c r="C554" s="5" t="s">
        <v>113</v>
      </c>
      <c r="D554" s="12" t="s">
        <v>81</v>
      </c>
      <c r="E554" s="9" t="s">
        <v>83</v>
      </c>
      <c r="F554" s="9">
        <v>459.9692532942899</v>
      </c>
      <c r="G554" s="19" t="s">
        <v>73</v>
      </c>
      <c r="H554">
        <v>50.286383933333333</v>
      </c>
    </row>
    <row r="555" spans="1:8" x14ac:dyDescent="0.2">
      <c r="A555" s="25">
        <v>43360</v>
      </c>
      <c r="B555" s="26">
        <v>0.6875</v>
      </c>
      <c r="C555" s="5" t="s">
        <v>113</v>
      </c>
      <c r="D555" s="12" t="s">
        <v>86</v>
      </c>
      <c r="E555" s="9" t="s">
        <v>87</v>
      </c>
      <c r="F555" s="9">
        <v>4293.046364080039</v>
      </c>
      <c r="G555" s="19" t="s">
        <v>73</v>
      </c>
      <c r="H555">
        <v>11.494030613333329</v>
      </c>
    </row>
    <row r="556" spans="1:8" x14ac:dyDescent="0.2">
      <c r="A556" s="25">
        <v>43360</v>
      </c>
      <c r="B556" s="26">
        <v>0.6875</v>
      </c>
      <c r="C556" s="5" t="s">
        <v>113</v>
      </c>
      <c r="D556" s="12" t="s">
        <v>92</v>
      </c>
      <c r="E556" s="9" t="s">
        <v>89</v>
      </c>
      <c r="F556" s="9">
        <v>153.32308443142998</v>
      </c>
      <c r="G556" s="19" t="s">
        <v>73</v>
      </c>
      <c r="H556">
        <v>76.353203359999995</v>
      </c>
    </row>
    <row r="557" spans="1:8" x14ac:dyDescent="0.2">
      <c r="A557" s="25">
        <v>43360</v>
      </c>
      <c r="B557" s="26">
        <v>0.6875</v>
      </c>
      <c r="C557" s="5" t="s">
        <v>113</v>
      </c>
      <c r="D557" s="12" t="s">
        <v>94</v>
      </c>
      <c r="E557" s="9" t="s">
        <v>95</v>
      </c>
      <c r="F557" s="9">
        <v>57802.802830649096</v>
      </c>
      <c r="G557" s="19" t="s">
        <v>97</v>
      </c>
      <c r="H557">
        <v>0.17999999999999997</v>
      </c>
    </row>
    <row r="558" spans="1:8" x14ac:dyDescent="0.2">
      <c r="A558" s="25">
        <v>43360</v>
      </c>
      <c r="B558" s="26">
        <v>0.71875</v>
      </c>
      <c r="C558" s="5" t="s">
        <v>209</v>
      </c>
      <c r="D558" s="12" t="s">
        <v>69</v>
      </c>
      <c r="E558" s="9" t="s">
        <v>71</v>
      </c>
      <c r="F558" s="9">
        <v>99.993315933541282</v>
      </c>
      <c r="G558" s="19" t="s">
        <v>73</v>
      </c>
      <c r="H558">
        <v>838.66315845000008</v>
      </c>
    </row>
    <row r="559" spans="1:8" x14ac:dyDescent="0.2">
      <c r="A559" s="25">
        <v>43360</v>
      </c>
      <c r="B559" s="26">
        <v>0.71875</v>
      </c>
      <c r="C559" s="5" t="s">
        <v>209</v>
      </c>
      <c r="D559" s="12" t="s">
        <v>86</v>
      </c>
      <c r="E559" s="9" t="s">
        <v>87</v>
      </c>
      <c r="F559" s="9">
        <v>1699.8863708702017</v>
      </c>
      <c r="G559" s="19" t="s">
        <v>73</v>
      </c>
      <c r="H559">
        <v>6.3706209216666645</v>
      </c>
    </row>
    <row r="560" spans="1:8" x14ac:dyDescent="0.2">
      <c r="A560" s="25">
        <v>43360</v>
      </c>
      <c r="B560" s="26">
        <v>0.71875</v>
      </c>
      <c r="C560" s="5" t="s">
        <v>209</v>
      </c>
      <c r="D560" s="12" t="s">
        <v>92</v>
      </c>
      <c r="E560" s="9" t="s">
        <v>89</v>
      </c>
      <c r="F560" s="9">
        <v>299.97994780062385</v>
      </c>
      <c r="G560" s="19" t="s">
        <v>73</v>
      </c>
      <c r="H560">
        <v>99.629243670000008</v>
      </c>
    </row>
    <row r="561" spans="1:8" x14ac:dyDescent="0.2">
      <c r="A561" s="25">
        <v>43360</v>
      </c>
      <c r="B561" s="26">
        <v>0.71875</v>
      </c>
      <c r="C561" s="5" t="s">
        <v>209</v>
      </c>
      <c r="D561" s="8" t="s">
        <v>121</v>
      </c>
      <c r="E561" s="9" t="s">
        <v>122</v>
      </c>
      <c r="F561" s="9">
        <v>99.993315933541282</v>
      </c>
      <c r="G561" s="19" t="s">
        <v>73</v>
      </c>
      <c r="H561">
        <v>902.57880699999998</v>
      </c>
    </row>
    <row r="562" spans="1:8" x14ac:dyDescent="0.2">
      <c r="A562" s="25">
        <v>43360</v>
      </c>
      <c r="B562" s="26">
        <v>0.71875</v>
      </c>
      <c r="C562" s="5" t="s">
        <v>209</v>
      </c>
      <c r="D562" s="12" t="s">
        <v>94</v>
      </c>
      <c r="E562" s="9" t="s">
        <v>95</v>
      </c>
      <c r="F562" s="9">
        <v>38897.39989814756</v>
      </c>
      <c r="G562" s="19" t="s">
        <v>97</v>
      </c>
      <c r="H562">
        <v>0.17999999999999997</v>
      </c>
    </row>
    <row r="563" spans="1:8" x14ac:dyDescent="0.2">
      <c r="A563" s="25">
        <v>43360</v>
      </c>
      <c r="B563" s="26">
        <v>0.73611111111111105</v>
      </c>
      <c r="C563" s="5" t="s">
        <v>202</v>
      </c>
      <c r="D563" s="12" t="s">
        <v>86</v>
      </c>
      <c r="E563" s="9" t="s">
        <v>87</v>
      </c>
      <c r="F563" s="9">
        <v>2644.8232064421668</v>
      </c>
      <c r="G563" s="19" t="s">
        <v>73</v>
      </c>
      <c r="H563">
        <v>11.494030613333329</v>
      </c>
    </row>
    <row r="564" spans="1:8" x14ac:dyDescent="0.2">
      <c r="A564" s="25">
        <v>43360</v>
      </c>
      <c r="B564" s="26">
        <v>0.73611111111111105</v>
      </c>
      <c r="C564" s="5" t="s">
        <v>202</v>
      </c>
      <c r="D564" s="12" t="s">
        <v>118</v>
      </c>
      <c r="E564" s="9" t="s">
        <v>119</v>
      </c>
      <c r="F564" s="9">
        <v>114.99231332357246</v>
      </c>
      <c r="G564" s="19" t="s">
        <v>73</v>
      </c>
      <c r="H564">
        <v>1316.0560332599996</v>
      </c>
    </row>
    <row r="565" spans="1:8" x14ac:dyDescent="0.2">
      <c r="A565" s="25">
        <v>43360</v>
      </c>
      <c r="B565" s="26">
        <v>0.73611111111111105</v>
      </c>
      <c r="C565" s="5" t="s">
        <v>202</v>
      </c>
      <c r="D565" s="12" t="s">
        <v>88</v>
      </c>
      <c r="E565" s="9" t="s">
        <v>89</v>
      </c>
      <c r="F565" s="9">
        <v>114.99231332357246</v>
      </c>
      <c r="G565" s="19" t="s">
        <v>73</v>
      </c>
      <c r="H565">
        <v>242.92658833999991</v>
      </c>
    </row>
    <row r="566" spans="1:8" x14ac:dyDescent="0.2">
      <c r="A566" s="25">
        <v>43360</v>
      </c>
      <c r="B566" s="26">
        <v>0.73611111111111105</v>
      </c>
      <c r="C566" s="5" t="s">
        <v>202</v>
      </c>
      <c r="D566" s="12" t="s">
        <v>94</v>
      </c>
      <c r="E566" s="9" t="s">
        <v>95</v>
      </c>
      <c r="F566" s="9">
        <v>44502.025256222543</v>
      </c>
      <c r="G566" s="19" t="s">
        <v>97</v>
      </c>
      <c r="H566">
        <v>0.17999999999999997</v>
      </c>
    </row>
    <row r="567" spans="1:8" x14ac:dyDescent="0.2">
      <c r="A567" s="25">
        <v>43360</v>
      </c>
      <c r="B567" s="26">
        <v>0.75</v>
      </c>
      <c r="C567" s="5" t="s">
        <v>204</v>
      </c>
      <c r="D567" s="12" t="s">
        <v>190</v>
      </c>
      <c r="E567" s="9" t="s">
        <v>191</v>
      </c>
      <c r="F567" s="9">
        <v>255.53847405238326</v>
      </c>
      <c r="G567" s="19" t="s">
        <v>73</v>
      </c>
      <c r="H567">
        <v>157.435</v>
      </c>
    </row>
    <row r="568" spans="1:8" x14ac:dyDescent="0.2">
      <c r="A568" s="25">
        <v>43360</v>
      </c>
      <c r="B568" s="26">
        <v>0.75</v>
      </c>
      <c r="C568" s="5" t="s">
        <v>204</v>
      </c>
      <c r="D568" s="12" t="s">
        <v>81</v>
      </c>
      <c r="E568" s="9" t="s">
        <v>83</v>
      </c>
      <c r="F568" s="9">
        <v>766.61542215714974</v>
      </c>
      <c r="G568" s="19" t="s">
        <v>73</v>
      </c>
      <c r="H568">
        <v>102.93314915333333</v>
      </c>
    </row>
    <row r="569" spans="1:8" x14ac:dyDescent="0.2">
      <c r="A569" s="25">
        <v>43360</v>
      </c>
      <c r="B569" s="26">
        <v>0.75</v>
      </c>
      <c r="C569" s="5" t="s">
        <v>204</v>
      </c>
      <c r="D569" s="12" t="s">
        <v>86</v>
      </c>
      <c r="E569" s="9" t="s">
        <v>87</v>
      </c>
      <c r="F569" s="9">
        <v>5110.769481047666</v>
      </c>
      <c r="G569" s="19" t="s">
        <v>73</v>
      </c>
      <c r="H569">
        <v>11.494030613333329</v>
      </c>
    </row>
    <row r="570" spans="1:8" x14ac:dyDescent="0.2">
      <c r="A570" s="25">
        <v>43360</v>
      </c>
      <c r="B570" s="26">
        <v>0.75</v>
      </c>
      <c r="C570" s="5" t="s">
        <v>204</v>
      </c>
      <c r="D570" s="12" t="s">
        <v>206</v>
      </c>
      <c r="E570" s="9" t="s">
        <v>207</v>
      </c>
      <c r="F570" s="9">
        <v>511.07694810476653</v>
      </c>
      <c r="G570" s="19" t="s">
        <v>73</v>
      </c>
      <c r="H570">
        <v>11.494030613333329</v>
      </c>
    </row>
    <row r="571" spans="1:8" x14ac:dyDescent="0.2">
      <c r="A571" s="25">
        <v>43360</v>
      </c>
      <c r="B571" s="26">
        <v>0.75</v>
      </c>
      <c r="C571" s="5" t="s">
        <v>204</v>
      </c>
      <c r="D571" s="8" t="s">
        <v>179</v>
      </c>
      <c r="E571" s="9" t="s">
        <v>180</v>
      </c>
      <c r="F571" s="9">
        <v>511.07694810476653</v>
      </c>
      <c r="G571" s="19" t="s">
        <v>73</v>
      </c>
      <c r="H571">
        <v>51.723137759999993</v>
      </c>
    </row>
    <row r="572" spans="1:8" x14ac:dyDescent="0.2">
      <c r="A572" s="25">
        <v>43360</v>
      </c>
      <c r="B572" s="26">
        <v>0.75</v>
      </c>
      <c r="C572" s="5" t="s">
        <v>204</v>
      </c>
      <c r="D572" s="12" t="s">
        <v>88</v>
      </c>
      <c r="E572" s="9" t="s">
        <v>89</v>
      </c>
      <c r="F572" s="9">
        <v>511.07694810476653</v>
      </c>
      <c r="G572" s="19" t="s">
        <v>73</v>
      </c>
      <c r="H572">
        <v>337.38084788249995</v>
      </c>
    </row>
    <row r="573" spans="1:8" x14ac:dyDescent="0.2">
      <c r="A573" s="25">
        <v>43360</v>
      </c>
      <c r="B573" s="26">
        <v>0.75</v>
      </c>
      <c r="C573" s="5" t="s">
        <v>204</v>
      </c>
      <c r="D573" s="12" t="s">
        <v>94</v>
      </c>
      <c r="E573" s="9" t="s">
        <v>95</v>
      </c>
      <c r="F573" s="9">
        <v>99148.927932324703</v>
      </c>
      <c r="G573" s="19" t="s">
        <v>97</v>
      </c>
      <c r="H573">
        <v>0.17999999999999997</v>
      </c>
    </row>
    <row r="574" spans="1:8" x14ac:dyDescent="0.2">
      <c r="A574" s="25">
        <v>43360</v>
      </c>
      <c r="B574" s="26">
        <v>0.75</v>
      </c>
      <c r="C574" s="5" t="s">
        <v>204</v>
      </c>
      <c r="D574" s="12" t="s">
        <v>163</v>
      </c>
      <c r="E574" s="9" t="s">
        <v>95</v>
      </c>
      <c r="F574" s="9">
        <v>255.53847405238326</v>
      </c>
      <c r="G574" s="19" t="s">
        <v>97</v>
      </c>
      <c r="H574">
        <v>3.5913609683333325</v>
      </c>
    </row>
    <row r="575" spans="1:8" x14ac:dyDescent="0.2">
      <c r="A575" s="25">
        <v>43360</v>
      </c>
      <c r="B575" s="26">
        <v>0.75694444444444497</v>
      </c>
      <c r="C575" s="5" t="s">
        <v>194</v>
      </c>
      <c r="D575" s="12" t="s">
        <v>109</v>
      </c>
      <c r="E575" s="9" t="s">
        <v>110</v>
      </c>
      <c r="F575" s="9">
        <v>530.73375380110372</v>
      </c>
      <c r="G575" s="19" t="s">
        <v>73</v>
      </c>
      <c r="H575">
        <v>74.022143580000005</v>
      </c>
    </row>
    <row r="576" spans="1:8" x14ac:dyDescent="0.2">
      <c r="A576" s="25">
        <v>43360</v>
      </c>
      <c r="B576" s="26">
        <v>0.75694444444444497</v>
      </c>
      <c r="C576" s="5" t="s">
        <v>194</v>
      </c>
      <c r="D576" s="12" t="s">
        <v>86</v>
      </c>
      <c r="E576" s="9" t="s">
        <v>87</v>
      </c>
      <c r="F576" s="9">
        <v>2122.9350152044149</v>
      </c>
      <c r="G576" s="19" t="s">
        <v>73</v>
      </c>
      <c r="H576">
        <v>9.2027643066666673</v>
      </c>
    </row>
    <row r="577" spans="1:8" x14ac:dyDescent="0.2">
      <c r="A577" s="25">
        <v>43360</v>
      </c>
      <c r="B577" s="26">
        <v>0.75694444444444497</v>
      </c>
      <c r="C577" s="5" t="s">
        <v>194</v>
      </c>
      <c r="D577" s="12" t="s">
        <v>88</v>
      </c>
      <c r="E577" s="9" t="s">
        <v>89</v>
      </c>
      <c r="F577" s="9">
        <v>1238.3787588692419</v>
      </c>
      <c r="G577" s="19" t="s">
        <v>73</v>
      </c>
      <c r="H577">
        <v>356.77335935416664</v>
      </c>
    </row>
    <row r="578" spans="1:8" x14ac:dyDescent="0.2">
      <c r="A578" s="25">
        <v>43360</v>
      </c>
      <c r="B578" s="26">
        <v>0.75694444444444497</v>
      </c>
      <c r="C578" s="5" t="s">
        <v>194</v>
      </c>
      <c r="D578" s="12" t="s">
        <v>94</v>
      </c>
      <c r="E578" s="9" t="s">
        <v>95</v>
      </c>
      <c r="F578" s="9">
        <v>69879.944250478657</v>
      </c>
      <c r="G578" s="19" t="s">
        <v>97</v>
      </c>
      <c r="H578">
        <v>0.17999999999999997</v>
      </c>
    </row>
    <row r="579" spans="1:8" x14ac:dyDescent="0.2">
      <c r="A579" s="25">
        <v>43360</v>
      </c>
      <c r="B579" s="26">
        <v>0.75694444444444497</v>
      </c>
      <c r="C579" s="5" t="s">
        <v>194</v>
      </c>
      <c r="D579" s="12" t="s">
        <v>98</v>
      </c>
      <c r="E579" s="9" t="s">
        <v>95</v>
      </c>
      <c r="F579" s="9">
        <v>176.91125126703457</v>
      </c>
      <c r="G579" s="19" t="s">
        <v>97</v>
      </c>
      <c r="H579">
        <v>11.494030613333329</v>
      </c>
    </row>
    <row r="580" spans="1:8" x14ac:dyDescent="0.2">
      <c r="A580" s="25">
        <v>43360</v>
      </c>
      <c r="B580" s="26">
        <v>0.75694444444444497</v>
      </c>
      <c r="C580" s="5" t="s">
        <v>194</v>
      </c>
      <c r="D580" s="12" t="s">
        <v>132</v>
      </c>
      <c r="E580" s="9" t="s">
        <v>133</v>
      </c>
      <c r="F580" s="9">
        <v>176.91125126703457</v>
      </c>
      <c r="G580" s="19" t="s">
        <v>134</v>
      </c>
      <c r="H580">
        <v>49.459622164999999</v>
      </c>
    </row>
    <row r="581" spans="1:8" x14ac:dyDescent="0.2">
      <c r="A581" s="25">
        <v>43361</v>
      </c>
      <c r="B581" s="26">
        <v>0.63055555555555598</v>
      </c>
      <c r="C581" s="5" t="s">
        <v>154</v>
      </c>
      <c r="D581" s="12" t="s">
        <v>86</v>
      </c>
      <c r="E581" s="9" t="s">
        <v>87</v>
      </c>
      <c r="F581" s="9">
        <v>4181.538666311727</v>
      </c>
      <c r="G581" s="19" t="s">
        <v>73</v>
      </c>
      <c r="H581">
        <v>9.2027643066666673</v>
      </c>
    </row>
    <row r="582" spans="1:8" x14ac:dyDescent="0.2">
      <c r="A582" s="25">
        <v>43361</v>
      </c>
      <c r="B582" s="26">
        <v>0.63055555555555598</v>
      </c>
      <c r="C582" s="5" t="s">
        <v>154</v>
      </c>
      <c r="D582" s="12" t="s">
        <v>88</v>
      </c>
      <c r="E582" s="9" t="s">
        <v>89</v>
      </c>
      <c r="F582" s="9">
        <v>627.23079994675891</v>
      </c>
      <c r="G582" s="19" t="s">
        <v>73</v>
      </c>
      <c r="H582">
        <v>430.35384773999982</v>
      </c>
    </row>
    <row r="583" spans="1:8" x14ac:dyDescent="0.2">
      <c r="A583" s="25">
        <v>43361</v>
      </c>
      <c r="B583" s="26">
        <v>0.63055555555555598</v>
      </c>
      <c r="C583" s="5" t="s">
        <v>154</v>
      </c>
      <c r="D583" s="12" t="s">
        <v>92</v>
      </c>
      <c r="E583" s="9" t="s">
        <v>89</v>
      </c>
      <c r="F583" s="9">
        <v>836.30773326234532</v>
      </c>
      <c r="G583" s="19" t="s">
        <v>73</v>
      </c>
      <c r="H583">
        <v>137.2613030833333</v>
      </c>
    </row>
    <row r="584" spans="1:8" x14ac:dyDescent="0.2">
      <c r="A584" s="25">
        <v>43361</v>
      </c>
      <c r="B584" s="26">
        <v>0.63055555555555598</v>
      </c>
      <c r="C584" s="5" t="s">
        <v>154</v>
      </c>
      <c r="D584" s="12" t="s">
        <v>94</v>
      </c>
      <c r="E584" s="9" t="s">
        <v>95</v>
      </c>
      <c r="F584" s="9">
        <v>84676.157992812456</v>
      </c>
      <c r="G584" s="19" t="s">
        <v>97</v>
      </c>
      <c r="H584">
        <v>0.17999999999999997</v>
      </c>
    </row>
    <row r="585" spans="1:8" x14ac:dyDescent="0.2">
      <c r="A585" s="25">
        <v>43361</v>
      </c>
      <c r="B585" s="26">
        <v>0.63055555555555598</v>
      </c>
      <c r="C585" s="5" t="s">
        <v>154</v>
      </c>
      <c r="D585" s="12" t="s">
        <v>132</v>
      </c>
      <c r="E585" s="9" t="s">
        <v>133</v>
      </c>
      <c r="F585" s="9">
        <v>209.07693331558633</v>
      </c>
      <c r="G585" s="19" t="s">
        <v>134</v>
      </c>
      <c r="H585">
        <v>5.3870414524999992</v>
      </c>
    </row>
    <row r="586" spans="1:8" x14ac:dyDescent="0.2">
      <c r="A586" s="25">
        <v>43361</v>
      </c>
      <c r="B586" s="26">
        <v>0.63055555555555598</v>
      </c>
      <c r="C586" s="5" t="s">
        <v>154</v>
      </c>
      <c r="D586" s="8" t="s">
        <v>156</v>
      </c>
      <c r="E586" s="9" t="s">
        <v>157</v>
      </c>
      <c r="F586" s="9">
        <v>627.23079994675891</v>
      </c>
      <c r="G586" s="19" t="s">
        <v>73</v>
      </c>
      <c r="H586">
        <v>61.600820318333341</v>
      </c>
    </row>
    <row r="587" spans="1:8" x14ac:dyDescent="0.2">
      <c r="A587" s="25">
        <v>43361</v>
      </c>
      <c r="B587" s="26">
        <v>0.64930555555555602</v>
      </c>
      <c r="C587" s="5" t="s">
        <v>222</v>
      </c>
      <c r="D587" s="12" t="s">
        <v>86</v>
      </c>
      <c r="E587" s="9" t="s">
        <v>87</v>
      </c>
      <c r="F587" s="9">
        <v>5749.6156661786245</v>
      </c>
      <c r="G587" s="19" t="s">
        <v>73</v>
      </c>
      <c r="H587">
        <v>6.3706209216666645</v>
      </c>
    </row>
    <row r="588" spans="1:8" x14ac:dyDescent="0.2">
      <c r="A588" s="25">
        <v>43361</v>
      </c>
      <c r="B588" s="26">
        <v>0.64930555555555602</v>
      </c>
      <c r="C588" s="5" t="s">
        <v>222</v>
      </c>
      <c r="D588" s="12" t="s">
        <v>126</v>
      </c>
      <c r="E588" s="9" t="s">
        <v>127</v>
      </c>
      <c r="F588" s="9">
        <v>383.30771107857493</v>
      </c>
      <c r="G588" s="19" t="s">
        <v>73</v>
      </c>
      <c r="H588">
        <v>45.565621359999987</v>
      </c>
    </row>
    <row r="589" spans="1:8" x14ac:dyDescent="0.2">
      <c r="A589" s="25">
        <v>43361</v>
      </c>
      <c r="B589" s="26">
        <v>0.64930555555555602</v>
      </c>
      <c r="C589" s="5" t="s">
        <v>222</v>
      </c>
      <c r="D589" s="12" t="s">
        <v>121</v>
      </c>
      <c r="E589" s="9" t="s">
        <v>122</v>
      </c>
      <c r="F589" s="9">
        <v>383.30771107857493</v>
      </c>
      <c r="G589" s="19" t="s">
        <v>73</v>
      </c>
      <c r="H589">
        <v>596.74109351249979</v>
      </c>
    </row>
    <row r="590" spans="1:8" x14ac:dyDescent="0.2">
      <c r="A590" s="25">
        <v>43361</v>
      </c>
      <c r="B590" s="26">
        <v>0.64930555555555602</v>
      </c>
      <c r="C590" s="5" t="s">
        <v>222</v>
      </c>
      <c r="D590" s="12" t="s">
        <v>94</v>
      </c>
      <c r="E590" s="9" t="s">
        <v>95</v>
      </c>
      <c r="F590" s="9">
        <v>158306.08467545145</v>
      </c>
      <c r="G590" s="19" t="s">
        <v>97</v>
      </c>
      <c r="H590">
        <v>0.17999999999999997</v>
      </c>
    </row>
    <row r="591" spans="1:8" x14ac:dyDescent="0.2">
      <c r="A591" s="25">
        <v>43361</v>
      </c>
      <c r="B591" s="26">
        <v>0.65277777777777801</v>
      </c>
      <c r="C591" s="5" t="s">
        <v>219</v>
      </c>
      <c r="D591" s="12" t="s">
        <v>69</v>
      </c>
      <c r="E591" s="9" t="s">
        <v>71</v>
      </c>
      <c r="F591" s="9">
        <v>766.61542215714985</v>
      </c>
      <c r="G591" s="19" t="s">
        <v>73</v>
      </c>
      <c r="H591">
        <v>374.59690841999998</v>
      </c>
    </row>
    <row r="592" spans="1:8" x14ac:dyDescent="0.2">
      <c r="A592" s="25">
        <v>43361</v>
      </c>
      <c r="B592" s="26">
        <v>0.65277777777777801</v>
      </c>
      <c r="C592" s="5" t="s">
        <v>219</v>
      </c>
      <c r="D592" s="12" t="s">
        <v>86</v>
      </c>
      <c r="E592" s="9" t="s">
        <v>87</v>
      </c>
      <c r="F592" s="9">
        <v>4599.6925329428987</v>
      </c>
      <c r="G592" s="19" t="s">
        <v>73</v>
      </c>
      <c r="H592">
        <v>6.3706209216666645</v>
      </c>
    </row>
    <row r="593" spans="1:8" x14ac:dyDescent="0.2">
      <c r="A593" s="25">
        <v>43361</v>
      </c>
      <c r="B593" s="26">
        <v>0.65277777777777801</v>
      </c>
      <c r="C593" s="5" t="s">
        <v>219</v>
      </c>
      <c r="D593" s="12" t="s">
        <v>94</v>
      </c>
      <c r="E593" s="9" t="s">
        <v>95</v>
      </c>
      <c r="F593" s="9">
        <v>148340.0841874085</v>
      </c>
      <c r="G593" s="19" t="s">
        <v>97</v>
      </c>
      <c r="H593">
        <v>0.17999999999999997</v>
      </c>
    </row>
    <row r="594" spans="1:8" x14ac:dyDescent="0.2">
      <c r="A594" s="25">
        <v>43361</v>
      </c>
      <c r="B594" s="26">
        <v>0.66874999999999996</v>
      </c>
      <c r="C594" s="5" t="s">
        <v>141</v>
      </c>
      <c r="D594" s="12" t="s">
        <v>142</v>
      </c>
      <c r="E594" s="9" t="s">
        <v>71</v>
      </c>
      <c r="F594" s="9">
        <v>1314.1978665551139</v>
      </c>
      <c r="G594" s="19" t="s">
        <v>73</v>
      </c>
      <c r="H594">
        <v>636.96365567999987</v>
      </c>
    </row>
    <row r="595" spans="1:8" x14ac:dyDescent="0.2">
      <c r="A595" s="25">
        <v>43361</v>
      </c>
      <c r="B595" s="26">
        <v>0.66874999999999996</v>
      </c>
      <c r="C595" s="5" t="s">
        <v>141</v>
      </c>
      <c r="D595" s="12" t="s">
        <v>86</v>
      </c>
      <c r="E595" s="9" t="s">
        <v>87</v>
      </c>
      <c r="F595" s="9">
        <v>4599.6925329428987</v>
      </c>
      <c r="G595" s="19" t="s">
        <v>73</v>
      </c>
      <c r="H595">
        <v>7.2382233599999992</v>
      </c>
    </row>
    <row r="596" spans="1:8" x14ac:dyDescent="0.2">
      <c r="A596" s="25">
        <v>43361</v>
      </c>
      <c r="B596" s="26">
        <v>0.66874999999999996</v>
      </c>
      <c r="C596" s="5" t="s">
        <v>141</v>
      </c>
      <c r="D596" s="12" t="s">
        <v>94</v>
      </c>
      <c r="E596" s="9" t="s">
        <v>95</v>
      </c>
      <c r="F596" s="9">
        <v>126491.54465592973</v>
      </c>
      <c r="G596" s="19" t="s">
        <v>97</v>
      </c>
      <c r="H596">
        <v>0.17999999999999997</v>
      </c>
    </row>
    <row r="597" spans="1:8" x14ac:dyDescent="0.2">
      <c r="A597" s="25">
        <v>43361</v>
      </c>
      <c r="B597" s="26">
        <v>0.66874999999999996</v>
      </c>
      <c r="C597" s="5" t="s">
        <v>141</v>
      </c>
      <c r="D597" s="12" t="s">
        <v>132</v>
      </c>
      <c r="E597" s="9" t="s">
        <v>133</v>
      </c>
      <c r="F597" s="9">
        <v>328.54946663877848</v>
      </c>
      <c r="G597" s="19" t="s">
        <v>134</v>
      </c>
      <c r="H597">
        <v>5.3870414524999992</v>
      </c>
    </row>
    <row r="598" spans="1:8" x14ac:dyDescent="0.2">
      <c r="A598" s="25">
        <v>43361</v>
      </c>
      <c r="B598" s="26">
        <v>0.69861111111111096</v>
      </c>
      <c r="C598" s="5" t="s">
        <v>124</v>
      </c>
      <c r="D598" s="12" t="s">
        <v>102</v>
      </c>
      <c r="E598" s="9" t="s">
        <v>103</v>
      </c>
      <c r="F598" s="9">
        <v>287.48078330893117</v>
      </c>
      <c r="G598" s="19" t="s">
        <v>73</v>
      </c>
      <c r="H598">
        <v>240.84685575999998</v>
      </c>
    </row>
    <row r="599" spans="1:8" x14ac:dyDescent="0.2">
      <c r="A599" s="25">
        <v>43361</v>
      </c>
      <c r="B599" s="26">
        <v>0.69861111111111096</v>
      </c>
      <c r="C599" s="5" t="s">
        <v>124</v>
      </c>
      <c r="D599" s="12" t="s">
        <v>86</v>
      </c>
      <c r="E599" s="9" t="s">
        <v>87</v>
      </c>
      <c r="F599" s="9">
        <v>9199.3850658857973</v>
      </c>
      <c r="G599" s="19" t="s">
        <v>73</v>
      </c>
      <c r="H599">
        <v>11.494030613333329</v>
      </c>
    </row>
    <row r="600" spans="1:8" x14ac:dyDescent="0.2">
      <c r="A600" s="25">
        <v>43361</v>
      </c>
      <c r="B600" s="26">
        <v>0.69861111111111096</v>
      </c>
      <c r="C600" s="5" t="s">
        <v>124</v>
      </c>
      <c r="D600" s="12" t="s">
        <v>92</v>
      </c>
      <c r="E600" s="9" t="s">
        <v>89</v>
      </c>
      <c r="F600" s="9">
        <v>574.96156661786233</v>
      </c>
      <c r="G600" s="19" t="s">
        <v>73</v>
      </c>
      <c r="H600">
        <v>112.822350875</v>
      </c>
    </row>
    <row r="601" spans="1:8" x14ac:dyDescent="0.2">
      <c r="A601" s="25">
        <v>43361</v>
      </c>
      <c r="B601" s="26">
        <v>0.69861111111111096</v>
      </c>
      <c r="C601" s="5" t="s">
        <v>124</v>
      </c>
      <c r="D601" s="12" t="s">
        <v>121</v>
      </c>
      <c r="E601" s="9" t="s">
        <v>122</v>
      </c>
      <c r="F601" s="9">
        <v>1149.9231332357247</v>
      </c>
      <c r="G601" s="19" t="s">
        <v>73</v>
      </c>
      <c r="H601">
        <v>814.03178385416652</v>
      </c>
    </row>
    <row r="602" spans="1:8" x14ac:dyDescent="0.2">
      <c r="A602" s="25">
        <v>43361</v>
      </c>
      <c r="B602" s="26">
        <v>0.69861111111111096</v>
      </c>
      <c r="C602" s="5" t="s">
        <v>124</v>
      </c>
      <c r="D602" s="12" t="s">
        <v>94</v>
      </c>
      <c r="E602" s="9" t="s">
        <v>95</v>
      </c>
      <c r="F602" s="9">
        <v>113554.90940702781</v>
      </c>
      <c r="G602" s="19" t="s">
        <v>97</v>
      </c>
      <c r="H602">
        <v>0.17999999999999997</v>
      </c>
    </row>
    <row r="603" spans="1:8" x14ac:dyDescent="0.2">
      <c r="A603" s="25">
        <v>43361</v>
      </c>
      <c r="B603" s="26">
        <v>0.69861111111111096</v>
      </c>
      <c r="C603" s="5" t="s">
        <v>124</v>
      </c>
      <c r="D603" s="12" t="s">
        <v>185</v>
      </c>
      <c r="E603" s="9" t="s">
        <v>133</v>
      </c>
      <c r="F603" s="9">
        <v>287.48078330893117</v>
      </c>
      <c r="G603" s="19" t="s">
        <v>134</v>
      </c>
      <c r="H603">
        <v>10.490554407499999</v>
      </c>
    </row>
    <row r="604" spans="1:8" x14ac:dyDescent="0.2">
      <c r="A604" s="25">
        <v>43361</v>
      </c>
      <c r="B604" s="26">
        <v>0.69861111111111096</v>
      </c>
      <c r="C604" s="5" t="s">
        <v>124</v>
      </c>
      <c r="D604" s="12" t="s">
        <v>132</v>
      </c>
      <c r="E604" s="9" t="s">
        <v>133</v>
      </c>
      <c r="F604" s="9">
        <v>287.48078330893117</v>
      </c>
      <c r="G604" s="19" t="s">
        <v>134</v>
      </c>
      <c r="H604">
        <v>5.3870414524999992</v>
      </c>
    </row>
    <row r="605" spans="1:8" x14ac:dyDescent="0.2">
      <c r="A605" s="25">
        <v>43361</v>
      </c>
      <c r="B605" s="26">
        <v>0.71388888888888902</v>
      </c>
      <c r="C605" s="5" t="s">
        <v>200</v>
      </c>
      <c r="D605" s="12" t="s">
        <v>190</v>
      </c>
      <c r="E605" s="9" t="s">
        <v>191</v>
      </c>
      <c r="F605" s="9">
        <v>255.53847405238326</v>
      </c>
      <c r="G605" s="19" t="s">
        <v>73</v>
      </c>
      <c r="H605">
        <v>114.996</v>
      </c>
    </row>
    <row r="606" spans="1:8" x14ac:dyDescent="0.2">
      <c r="A606" s="25">
        <v>43361</v>
      </c>
      <c r="B606" s="26">
        <v>0.71388888888888902</v>
      </c>
      <c r="C606" s="5" t="s">
        <v>200</v>
      </c>
      <c r="D606" s="12" t="s">
        <v>172</v>
      </c>
      <c r="E606" s="9" t="s">
        <v>83</v>
      </c>
      <c r="F606" s="9">
        <v>255.53847405238326</v>
      </c>
      <c r="G606" s="19" t="s">
        <v>73</v>
      </c>
      <c r="H606">
        <v>40.993560713333324</v>
      </c>
    </row>
    <row r="607" spans="1:8" x14ac:dyDescent="0.2">
      <c r="A607" s="25">
        <v>43361</v>
      </c>
      <c r="B607" s="26">
        <v>0.71388888888888902</v>
      </c>
      <c r="C607" s="5" t="s">
        <v>200</v>
      </c>
      <c r="D607" s="12" t="s">
        <v>86</v>
      </c>
      <c r="E607" s="9" t="s">
        <v>87</v>
      </c>
      <c r="F607" s="9">
        <v>3577.5386367333654</v>
      </c>
      <c r="G607" s="19" t="s">
        <v>73</v>
      </c>
      <c r="H607">
        <v>9.2027643066666673</v>
      </c>
    </row>
    <row r="608" spans="1:8" x14ac:dyDescent="0.2">
      <c r="A608" s="25">
        <v>43361</v>
      </c>
      <c r="B608" s="26">
        <v>0.71388888888888902</v>
      </c>
      <c r="C608" s="5" t="s">
        <v>200</v>
      </c>
      <c r="D608" s="12" t="s">
        <v>118</v>
      </c>
      <c r="E608" s="9" t="s">
        <v>119</v>
      </c>
      <c r="F608" s="9">
        <v>255.53847405238326</v>
      </c>
      <c r="G608" s="19" t="s">
        <v>73</v>
      </c>
      <c r="H608">
        <v>670.23309377999999</v>
      </c>
    </row>
    <row r="609" spans="1:8" x14ac:dyDescent="0.2">
      <c r="A609" s="25">
        <v>43361</v>
      </c>
      <c r="B609" s="26">
        <v>0.71388888888888902</v>
      </c>
      <c r="C609" s="5" t="s">
        <v>200</v>
      </c>
      <c r="D609" s="12" t="s">
        <v>92</v>
      </c>
      <c r="E609" s="9" t="s">
        <v>89</v>
      </c>
      <c r="F609" s="9">
        <v>255.53847405238326</v>
      </c>
      <c r="G609" s="19" t="s">
        <v>73</v>
      </c>
      <c r="H609">
        <v>186.36959076666668</v>
      </c>
    </row>
    <row r="610" spans="1:8" x14ac:dyDescent="0.2">
      <c r="A610" s="25">
        <v>43361</v>
      </c>
      <c r="B610" s="26">
        <v>0.71388888888888902</v>
      </c>
      <c r="C610" s="5" t="s">
        <v>200</v>
      </c>
      <c r="D610" s="12" t="s">
        <v>121</v>
      </c>
      <c r="E610" s="9" t="s">
        <v>122</v>
      </c>
      <c r="F610" s="9">
        <v>1277.6923702619165</v>
      </c>
      <c r="G610" s="19" t="s">
        <v>73</v>
      </c>
      <c r="H610">
        <v>831.26471399999991</v>
      </c>
    </row>
    <row r="611" spans="1:8" x14ac:dyDescent="0.2">
      <c r="A611" s="25">
        <v>43361</v>
      </c>
      <c r="B611" s="26">
        <v>0.71388888888888902</v>
      </c>
      <c r="C611" s="5" t="s">
        <v>200</v>
      </c>
      <c r="D611" s="12" t="s">
        <v>94</v>
      </c>
      <c r="E611" s="9" t="s">
        <v>95</v>
      </c>
      <c r="F611" s="9">
        <v>103493.08199121521</v>
      </c>
      <c r="G611" s="19" t="s">
        <v>97</v>
      </c>
      <c r="H611">
        <v>0.17999999999999997</v>
      </c>
    </row>
    <row r="612" spans="1:8" x14ac:dyDescent="0.2">
      <c r="A612" s="25">
        <v>43361</v>
      </c>
      <c r="B612" s="26">
        <v>0.71388888888888902</v>
      </c>
      <c r="C612" s="5" t="s">
        <v>200</v>
      </c>
      <c r="D612" s="12" t="s">
        <v>130</v>
      </c>
      <c r="E612" s="9" t="s">
        <v>95</v>
      </c>
      <c r="F612" s="9">
        <v>1277.6923702619165</v>
      </c>
      <c r="G612" s="19" t="s">
        <v>97</v>
      </c>
      <c r="H612">
        <v>82.447887960000003</v>
      </c>
    </row>
    <row r="613" spans="1:8" x14ac:dyDescent="0.2">
      <c r="A613" s="25">
        <v>43361</v>
      </c>
      <c r="B613" s="26">
        <v>0.71388888888888902</v>
      </c>
      <c r="C613" s="5" t="s">
        <v>200</v>
      </c>
      <c r="D613" s="12" t="s">
        <v>132</v>
      </c>
      <c r="E613" s="9" t="s">
        <v>133</v>
      </c>
      <c r="F613" s="9">
        <v>255.53847405238326</v>
      </c>
      <c r="G613" s="19" t="s">
        <v>134</v>
      </c>
      <c r="H613">
        <v>12.475253889999999</v>
      </c>
    </row>
    <row r="614" spans="1:8" x14ac:dyDescent="0.2">
      <c r="A614" s="25">
        <v>43361</v>
      </c>
      <c r="B614" s="26">
        <v>0.72222222222222199</v>
      </c>
      <c r="C614" s="5" t="s">
        <v>135</v>
      </c>
      <c r="D614" s="12" t="s">
        <v>102</v>
      </c>
      <c r="E614" s="9" t="s">
        <v>103</v>
      </c>
      <c r="F614" s="9">
        <v>287.48078330893117</v>
      </c>
      <c r="G614" s="19" t="s">
        <v>73</v>
      </c>
      <c r="H614">
        <v>61.490341069999992</v>
      </c>
    </row>
    <row r="615" spans="1:8" x14ac:dyDescent="0.2">
      <c r="A615" s="25">
        <v>43361</v>
      </c>
      <c r="B615" s="26">
        <v>0.72222222222222199</v>
      </c>
      <c r="C615" s="5" t="s">
        <v>135</v>
      </c>
      <c r="D615" s="8" t="s">
        <v>137</v>
      </c>
      <c r="E615" s="9" t="s">
        <v>138</v>
      </c>
      <c r="F615" s="9">
        <v>574.96156661786233</v>
      </c>
      <c r="G615" s="19" t="s">
        <v>73</v>
      </c>
      <c r="H615">
        <v>51.723137759999993</v>
      </c>
    </row>
    <row r="616" spans="1:8" x14ac:dyDescent="0.2">
      <c r="A616" s="25">
        <v>43361</v>
      </c>
      <c r="B616" s="26">
        <v>0.72222222222222199</v>
      </c>
      <c r="C616" s="5" t="s">
        <v>135</v>
      </c>
      <c r="D616" s="12" t="s">
        <v>86</v>
      </c>
      <c r="E616" s="9" t="s">
        <v>87</v>
      </c>
      <c r="F616" s="9">
        <v>6612.0580161054177</v>
      </c>
      <c r="G616" s="19" t="s">
        <v>73</v>
      </c>
      <c r="H616">
        <v>11.494030613333329</v>
      </c>
    </row>
    <row r="617" spans="1:8" x14ac:dyDescent="0.2">
      <c r="A617" s="25">
        <v>43361</v>
      </c>
      <c r="B617" s="26">
        <v>0.72222222222222199</v>
      </c>
      <c r="C617" s="5" t="s">
        <v>135</v>
      </c>
      <c r="D617" s="12" t="s">
        <v>92</v>
      </c>
      <c r="E617" s="9" t="s">
        <v>89</v>
      </c>
      <c r="F617" s="9">
        <v>287.48078330893117</v>
      </c>
      <c r="G617" s="19" t="s">
        <v>73</v>
      </c>
      <c r="H617">
        <v>159.13095827000001</v>
      </c>
    </row>
    <row r="618" spans="1:8" x14ac:dyDescent="0.2">
      <c r="A618" s="25">
        <v>43361</v>
      </c>
      <c r="B618" s="26">
        <v>0.72222222222222199</v>
      </c>
      <c r="C618" s="5" t="s">
        <v>135</v>
      </c>
      <c r="D618" s="12" t="s">
        <v>94</v>
      </c>
      <c r="E618" s="9" t="s">
        <v>95</v>
      </c>
      <c r="F618" s="9">
        <v>111255.06314055636</v>
      </c>
      <c r="G618" s="19" t="s">
        <v>97</v>
      </c>
      <c r="H618">
        <v>0.17999999999999997</v>
      </c>
    </row>
    <row r="619" spans="1:8" x14ac:dyDescent="0.2">
      <c r="A619" s="25">
        <v>43361</v>
      </c>
      <c r="B619" s="26">
        <v>0.72222222222222199</v>
      </c>
      <c r="C619" s="5" t="s">
        <v>135</v>
      </c>
      <c r="D619" s="12" t="s">
        <v>98</v>
      </c>
      <c r="E619" s="9" t="s">
        <v>95</v>
      </c>
      <c r="F619" s="9">
        <v>287.48078330893117</v>
      </c>
      <c r="G619" s="19" t="s">
        <v>97</v>
      </c>
      <c r="H619">
        <v>11.494030613333329</v>
      </c>
    </row>
    <row r="620" spans="1:8" x14ac:dyDescent="0.2">
      <c r="A620" s="25">
        <v>43361</v>
      </c>
      <c r="B620" s="26">
        <v>0.73055555555555596</v>
      </c>
      <c r="C620" s="26" t="s">
        <v>116</v>
      </c>
      <c r="D620" s="12" t="s">
        <v>86</v>
      </c>
      <c r="E620" s="9" t="s">
        <v>87</v>
      </c>
      <c r="F620" s="9">
        <v>11039.262079062957</v>
      </c>
      <c r="G620" s="19" t="s">
        <v>73</v>
      </c>
      <c r="H620">
        <v>6.3706209216666645</v>
      </c>
    </row>
    <row r="621" spans="1:8" x14ac:dyDescent="0.2">
      <c r="A621" s="25">
        <v>43361</v>
      </c>
      <c r="B621" s="26">
        <v>0.73055555555555596</v>
      </c>
      <c r="C621" s="26" t="s">
        <v>116</v>
      </c>
      <c r="D621" s="12" t="s">
        <v>88</v>
      </c>
      <c r="E621" s="9" t="s">
        <v>89</v>
      </c>
      <c r="F621" s="9">
        <v>3679.7540263543187</v>
      </c>
      <c r="G621" s="19" t="s">
        <v>73</v>
      </c>
      <c r="H621">
        <v>453.05916586666666</v>
      </c>
    </row>
    <row r="622" spans="1:8" x14ac:dyDescent="0.2">
      <c r="A622" s="25">
        <v>43361</v>
      </c>
      <c r="B622" s="26">
        <v>0.73055555555555596</v>
      </c>
      <c r="C622" s="26" t="s">
        <v>116</v>
      </c>
      <c r="D622" s="12" t="s">
        <v>92</v>
      </c>
      <c r="E622" s="9" t="s">
        <v>89</v>
      </c>
      <c r="F622" s="9">
        <v>919.93850658857968</v>
      </c>
      <c r="G622" s="19" t="s">
        <v>73</v>
      </c>
      <c r="H622">
        <v>159.13095827000001</v>
      </c>
    </row>
    <row r="623" spans="1:8" x14ac:dyDescent="0.2">
      <c r="A623" s="25">
        <v>43361</v>
      </c>
      <c r="B623" s="26">
        <v>0.73055555555555596</v>
      </c>
      <c r="C623" s="26" t="s">
        <v>116</v>
      </c>
      <c r="D623" s="12" t="s">
        <v>94</v>
      </c>
      <c r="E623" s="9" t="s">
        <v>95</v>
      </c>
      <c r="F623" s="9">
        <v>366135.5256222547</v>
      </c>
      <c r="G623" s="19" t="s">
        <v>97</v>
      </c>
      <c r="H623">
        <v>0.17999999999999997</v>
      </c>
    </row>
    <row r="624" spans="1:8" x14ac:dyDescent="0.2">
      <c r="A624" s="25">
        <v>43361</v>
      </c>
      <c r="B624" s="26">
        <v>0.73055555555555596</v>
      </c>
      <c r="C624" s="26" t="s">
        <v>116</v>
      </c>
      <c r="D624" s="12" t="s">
        <v>98</v>
      </c>
      <c r="E624" s="9" t="s">
        <v>95</v>
      </c>
      <c r="F624" s="9">
        <v>919.93850658857968</v>
      </c>
      <c r="G624" s="19" t="s">
        <v>97</v>
      </c>
      <c r="H624">
        <v>3.5913609683333325</v>
      </c>
    </row>
    <row r="625" spans="1:8" x14ac:dyDescent="0.2">
      <c r="A625" s="25">
        <v>43383</v>
      </c>
      <c r="B625" s="26">
        <v>0.625</v>
      </c>
      <c r="C625" s="5" t="s">
        <v>68</v>
      </c>
      <c r="D625" s="12" t="s">
        <v>69</v>
      </c>
      <c r="E625" s="9" t="s">
        <v>71</v>
      </c>
      <c r="F625" s="9">
        <v>328.54946663877848</v>
      </c>
      <c r="G625" s="19" t="s">
        <v>73</v>
      </c>
      <c r="H625">
        <v>497.96714771999984</v>
      </c>
    </row>
    <row r="626" spans="1:8" x14ac:dyDescent="0.2">
      <c r="A626" s="25">
        <v>43383</v>
      </c>
      <c r="B626" s="26">
        <v>0.625</v>
      </c>
      <c r="C626" s="5" t="s">
        <v>68</v>
      </c>
      <c r="D626" s="12" t="s">
        <v>102</v>
      </c>
      <c r="E626" s="9" t="s">
        <v>103</v>
      </c>
      <c r="F626" s="9">
        <v>328.54946663877848</v>
      </c>
      <c r="G626" s="19" t="s">
        <v>73</v>
      </c>
      <c r="H626">
        <v>91.131242719999989</v>
      </c>
    </row>
    <row r="627" spans="1:8" x14ac:dyDescent="0.2">
      <c r="A627" s="25">
        <v>43383</v>
      </c>
      <c r="B627" s="26">
        <v>0.625</v>
      </c>
      <c r="C627" s="5" t="s">
        <v>68</v>
      </c>
      <c r="D627" s="12" t="s">
        <v>105</v>
      </c>
      <c r="E627" s="9" t="s">
        <v>106</v>
      </c>
      <c r="F627" s="9">
        <v>328.54946663877848</v>
      </c>
      <c r="G627" s="19" t="s">
        <v>73</v>
      </c>
      <c r="H627">
        <v>240.84685576000001</v>
      </c>
    </row>
    <row r="628" spans="1:8" x14ac:dyDescent="0.2">
      <c r="A628" s="25">
        <v>43383</v>
      </c>
      <c r="B628" s="26">
        <v>0.625</v>
      </c>
      <c r="C628" s="5" t="s">
        <v>68</v>
      </c>
      <c r="D628" s="12" t="s">
        <v>86</v>
      </c>
      <c r="E628" s="9" t="s">
        <v>87</v>
      </c>
      <c r="F628" s="9">
        <v>1642.7473331938927</v>
      </c>
      <c r="G628" s="19" t="s">
        <v>73</v>
      </c>
      <c r="H628">
        <v>9.2027643066666673</v>
      </c>
    </row>
    <row r="629" spans="1:8" x14ac:dyDescent="0.2">
      <c r="A629" s="25">
        <v>43383</v>
      </c>
      <c r="B629" s="26">
        <v>0.625</v>
      </c>
      <c r="C629" s="5" t="s">
        <v>68</v>
      </c>
      <c r="D629" s="12" t="s">
        <v>88</v>
      </c>
      <c r="E629" s="9" t="s">
        <v>89</v>
      </c>
      <c r="F629" s="9">
        <v>985.64839991633551</v>
      </c>
      <c r="G629" s="19" t="s">
        <v>73</v>
      </c>
      <c r="H629">
        <v>422.18257214999988</v>
      </c>
    </row>
    <row r="630" spans="1:8" x14ac:dyDescent="0.2">
      <c r="A630" s="25">
        <v>43383</v>
      </c>
      <c r="B630" s="26">
        <v>0.625</v>
      </c>
      <c r="C630" s="5" t="s">
        <v>68</v>
      </c>
      <c r="D630" s="12" t="s">
        <v>92</v>
      </c>
      <c r="E630" s="9" t="s">
        <v>89</v>
      </c>
      <c r="F630" s="9">
        <v>657.09893327755697</v>
      </c>
      <c r="G630" s="19" t="s">
        <v>73</v>
      </c>
      <c r="H630">
        <v>76.353203359999995</v>
      </c>
    </row>
    <row r="631" spans="1:8" x14ac:dyDescent="0.2">
      <c r="A631" s="25">
        <v>43383</v>
      </c>
      <c r="B631" s="26">
        <v>0.625</v>
      </c>
      <c r="C631" s="5" t="s">
        <v>68</v>
      </c>
      <c r="D631" s="12" t="s">
        <v>94</v>
      </c>
      <c r="E631" s="9" t="s">
        <v>95</v>
      </c>
      <c r="F631" s="9">
        <v>129119.94038903996</v>
      </c>
      <c r="G631" s="19" t="s">
        <v>97</v>
      </c>
      <c r="H631">
        <v>0.17999999999999997</v>
      </c>
    </row>
    <row r="632" spans="1:8" x14ac:dyDescent="0.2">
      <c r="A632" s="50">
        <v>43389</v>
      </c>
      <c r="B632" s="51">
        <v>0.53680555555555598</v>
      </c>
      <c r="C632" s="49" t="s">
        <v>173</v>
      </c>
      <c r="D632" s="57" t="s">
        <v>69</v>
      </c>
      <c r="E632" s="53" t="s">
        <v>71</v>
      </c>
      <c r="F632" s="9">
        <v>187.67907380316441</v>
      </c>
      <c r="G632" s="60" t="s">
        <v>73</v>
      </c>
      <c r="H632">
        <v>645.44516328249983</v>
      </c>
    </row>
    <row r="633" spans="1:8" x14ac:dyDescent="0.2">
      <c r="A633" s="50">
        <v>43389</v>
      </c>
      <c r="B633" s="51">
        <v>0.53680555555555598</v>
      </c>
      <c r="C633" s="49" t="s">
        <v>173</v>
      </c>
      <c r="D633" s="57" t="s">
        <v>86</v>
      </c>
      <c r="E633" s="53" t="s">
        <v>87</v>
      </c>
      <c r="F633" s="9">
        <v>5442.693140291768</v>
      </c>
      <c r="G633" s="60" t="s">
        <v>73</v>
      </c>
      <c r="H633">
        <v>14.137154999999998</v>
      </c>
    </row>
    <row r="634" spans="1:8" x14ac:dyDescent="0.2">
      <c r="A634" s="50">
        <v>43389</v>
      </c>
      <c r="B634" s="51">
        <v>0.53680555555555598</v>
      </c>
      <c r="C634" s="49" t="s">
        <v>173</v>
      </c>
      <c r="D634" s="57" t="s">
        <v>88</v>
      </c>
      <c r="E634" s="53" t="s">
        <v>89</v>
      </c>
      <c r="F634" s="9">
        <v>938.3953690158221</v>
      </c>
      <c r="G634" s="60" t="s">
        <v>73</v>
      </c>
      <c r="H634">
        <v>290.31956788333332</v>
      </c>
    </row>
    <row r="635" spans="1:8" x14ac:dyDescent="0.2">
      <c r="A635" s="50">
        <v>43389</v>
      </c>
      <c r="B635" s="51">
        <v>0.53680555555555598</v>
      </c>
      <c r="C635" s="49" t="s">
        <v>173</v>
      </c>
      <c r="D635" s="57" t="s">
        <v>94</v>
      </c>
      <c r="E635" s="53" t="s">
        <v>95</v>
      </c>
      <c r="F635" s="9">
        <v>74133.234152249948</v>
      </c>
      <c r="G635" s="60" t="s">
        <v>97</v>
      </c>
      <c r="H635">
        <v>0.19090395233333335</v>
      </c>
    </row>
    <row r="636" spans="1:8" x14ac:dyDescent="0.2">
      <c r="A636" s="74">
        <v>43389</v>
      </c>
      <c r="B636" s="75">
        <v>0.54861111111111105</v>
      </c>
      <c r="C636" s="69" t="s">
        <v>158</v>
      </c>
      <c r="D636" s="80" t="s">
        <v>266</v>
      </c>
      <c r="E636" s="69" t="s">
        <v>110</v>
      </c>
      <c r="F636" s="9">
        <v>150.14325904253153</v>
      </c>
      <c r="G636" s="60" t="s">
        <v>73</v>
      </c>
      <c r="H636">
        <v>149.94809069999997</v>
      </c>
    </row>
    <row r="637" spans="1:8" x14ac:dyDescent="0.2">
      <c r="A637" s="74">
        <v>43389</v>
      </c>
      <c r="B637" s="75">
        <v>0.54861111111111105</v>
      </c>
      <c r="C637" s="69" t="s">
        <v>158</v>
      </c>
      <c r="D637" s="80" t="s">
        <v>69</v>
      </c>
      <c r="E637" s="69" t="s">
        <v>71</v>
      </c>
      <c r="F637" s="9">
        <v>450.4297771275946</v>
      </c>
      <c r="G637" s="60" t="s">
        <v>73</v>
      </c>
      <c r="H637">
        <v>413.20547872500003</v>
      </c>
    </row>
    <row r="638" spans="1:8" x14ac:dyDescent="0.2">
      <c r="A638" s="74">
        <v>43389</v>
      </c>
      <c r="B638" s="75">
        <v>0.54861111111111105</v>
      </c>
      <c r="C638" s="69" t="s">
        <v>158</v>
      </c>
      <c r="D638" s="80" t="s">
        <v>69</v>
      </c>
      <c r="E638" s="69" t="s">
        <v>71</v>
      </c>
      <c r="F638" s="9">
        <v>150.14325904253153</v>
      </c>
      <c r="G638" s="60" t="s">
        <v>73</v>
      </c>
      <c r="H638">
        <v>145.71872516249999</v>
      </c>
    </row>
    <row r="639" spans="1:8" x14ac:dyDescent="0.2">
      <c r="A639" s="74">
        <v>43389</v>
      </c>
      <c r="B639" s="75">
        <v>0.54861111111111105</v>
      </c>
      <c r="C639" s="69" t="s">
        <v>158</v>
      </c>
      <c r="D639" s="80" t="s">
        <v>190</v>
      </c>
      <c r="E639" s="69" t="s">
        <v>191</v>
      </c>
      <c r="F639" s="9">
        <v>300.28651808506305</v>
      </c>
      <c r="G639" s="60" t="s">
        <v>73</v>
      </c>
      <c r="H639">
        <v>48.672000000000004</v>
      </c>
    </row>
    <row r="640" spans="1:8" x14ac:dyDescent="0.2">
      <c r="A640" s="74">
        <v>43389</v>
      </c>
      <c r="B640" s="75">
        <v>0.54861111111111105</v>
      </c>
      <c r="C640" s="69" t="s">
        <v>158</v>
      </c>
      <c r="D640" s="80" t="s">
        <v>86</v>
      </c>
      <c r="E640" s="69" t="s">
        <v>87</v>
      </c>
      <c r="F640" s="9">
        <v>5405.157325531135</v>
      </c>
      <c r="G640" s="60" t="s">
        <v>73</v>
      </c>
      <c r="H640">
        <v>10.305985995</v>
      </c>
    </row>
    <row r="641" spans="1:8" x14ac:dyDescent="0.2">
      <c r="A641" s="74">
        <v>43389</v>
      </c>
      <c r="B641" s="75">
        <v>0.54861111111111105</v>
      </c>
      <c r="C641" s="69" t="s">
        <v>158</v>
      </c>
      <c r="D641" s="80" t="s">
        <v>403</v>
      </c>
      <c r="E641" s="69" t="s">
        <v>119</v>
      </c>
      <c r="F641" s="9">
        <v>150.14325904253153</v>
      </c>
      <c r="G641" s="60" t="s">
        <v>73</v>
      </c>
      <c r="H641">
        <v>108.64665416666666</v>
      </c>
    </row>
    <row r="642" spans="1:8" x14ac:dyDescent="0.2">
      <c r="A642" s="74">
        <v>43389</v>
      </c>
      <c r="B642" s="75">
        <v>0.54861111111111105</v>
      </c>
      <c r="C642" s="69" t="s">
        <v>158</v>
      </c>
      <c r="D642" s="80" t="s">
        <v>88</v>
      </c>
      <c r="E642" s="69" t="s">
        <v>89</v>
      </c>
      <c r="F642" s="9">
        <v>600.5730361701261</v>
      </c>
      <c r="G642" s="60" t="s">
        <v>73</v>
      </c>
      <c r="H642">
        <v>259.70896212000002</v>
      </c>
    </row>
    <row r="643" spans="1:8" x14ac:dyDescent="0.2">
      <c r="A643" s="74">
        <v>43389</v>
      </c>
      <c r="B643" s="75">
        <v>0.54861111111111105</v>
      </c>
      <c r="C643" s="69" t="s">
        <v>158</v>
      </c>
      <c r="D643" s="80" t="s">
        <v>94</v>
      </c>
      <c r="E643" s="69" t="s">
        <v>95</v>
      </c>
      <c r="F643" s="9">
        <v>53751.286737226284</v>
      </c>
      <c r="G643" s="60" t="s">
        <v>97</v>
      </c>
      <c r="H643">
        <v>0.19090395233333335</v>
      </c>
    </row>
    <row r="644" spans="1:8" x14ac:dyDescent="0.2">
      <c r="A644" s="74">
        <v>43389</v>
      </c>
      <c r="B644" s="75">
        <v>0.57638888888888895</v>
      </c>
      <c r="C644" s="69" t="s">
        <v>189</v>
      </c>
      <c r="D644" s="80" t="s">
        <v>296</v>
      </c>
      <c r="E644" s="69" t="s">
        <v>103</v>
      </c>
      <c r="F644" s="9">
        <v>321.73555509113896</v>
      </c>
      <c r="G644" s="60" t="s">
        <v>73</v>
      </c>
      <c r="H644">
        <v>91.131242719999989</v>
      </c>
    </row>
    <row r="645" spans="1:8" x14ac:dyDescent="0.2">
      <c r="A645" s="74">
        <v>43389</v>
      </c>
      <c r="B645" s="75">
        <v>0.57638888888888895</v>
      </c>
      <c r="C645" s="69" t="s">
        <v>189</v>
      </c>
      <c r="D645" s="80" t="s">
        <v>86</v>
      </c>
      <c r="E645" s="69" t="s">
        <v>87</v>
      </c>
      <c r="F645" s="9">
        <v>9008.5955425518914</v>
      </c>
      <c r="G645" s="60" t="s">
        <v>73</v>
      </c>
      <c r="H645">
        <v>12.770039751666664</v>
      </c>
    </row>
    <row r="646" spans="1:8" x14ac:dyDescent="0.2">
      <c r="A646" s="74">
        <v>43389</v>
      </c>
      <c r="B646" s="75">
        <v>0.57638888888888895</v>
      </c>
      <c r="C646" s="69" t="s">
        <v>189</v>
      </c>
      <c r="D646" s="80" t="s">
        <v>94</v>
      </c>
      <c r="E646" s="69" t="s">
        <v>95</v>
      </c>
      <c r="F646" s="9">
        <v>143172.32201555686</v>
      </c>
      <c r="G646" s="60" t="s">
        <v>97</v>
      </c>
      <c r="H646">
        <v>0.19090395233333335</v>
      </c>
    </row>
    <row r="647" spans="1:8" x14ac:dyDescent="0.2">
      <c r="A647" s="74">
        <v>43389</v>
      </c>
      <c r="B647" s="75">
        <v>0.57638888888888895</v>
      </c>
      <c r="C647" s="69" t="s">
        <v>189</v>
      </c>
      <c r="D647" s="80" t="s">
        <v>98</v>
      </c>
      <c r="E647" s="69" t="s">
        <v>95</v>
      </c>
      <c r="F647" s="9">
        <v>321.73555509113896</v>
      </c>
      <c r="G647" s="60" t="s">
        <v>97</v>
      </c>
      <c r="H647">
        <v>3.5913609683333325</v>
      </c>
    </row>
    <row r="648" spans="1:8" x14ac:dyDescent="0.2">
      <c r="A648" s="50">
        <v>43389</v>
      </c>
      <c r="B648" s="51">
        <v>0.59027777777777801</v>
      </c>
      <c r="C648" s="49" t="s">
        <v>170</v>
      </c>
      <c r="D648" s="57" t="s">
        <v>86</v>
      </c>
      <c r="E648" s="53" t="s">
        <v>87</v>
      </c>
      <c r="F648" s="9">
        <v>9330.3310976430294</v>
      </c>
      <c r="G648" s="60" t="s">
        <v>73</v>
      </c>
      <c r="H648">
        <v>15.598517948333333</v>
      </c>
    </row>
    <row r="649" spans="1:8" x14ac:dyDescent="0.2">
      <c r="A649" s="50">
        <v>43389</v>
      </c>
      <c r="B649" s="51">
        <v>0.59027777777777801</v>
      </c>
      <c r="C649" s="49" t="s">
        <v>170</v>
      </c>
      <c r="D649" s="57" t="s">
        <v>88</v>
      </c>
      <c r="E649" s="53" t="s">
        <v>89</v>
      </c>
      <c r="F649" s="9">
        <v>321.73555509113896</v>
      </c>
      <c r="G649" s="60" t="s">
        <v>73</v>
      </c>
      <c r="H649">
        <v>337.38084788249995</v>
      </c>
    </row>
    <row r="650" spans="1:8" x14ac:dyDescent="0.2">
      <c r="A650" s="50">
        <v>43389</v>
      </c>
      <c r="B650" s="51">
        <v>0.59027777777777801</v>
      </c>
      <c r="C650" s="49" t="s">
        <v>170</v>
      </c>
      <c r="D650" s="57" t="s">
        <v>391</v>
      </c>
      <c r="E650" s="53" t="s">
        <v>89</v>
      </c>
      <c r="F650" s="9">
        <v>1286.9422203645559</v>
      </c>
      <c r="G650" s="60" t="s">
        <v>73</v>
      </c>
      <c r="H650">
        <v>169.36102250666661</v>
      </c>
    </row>
    <row r="651" spans="1:8" x14ac:dyDescent="0.2">
      <c r="A651" s="50">
        <v>43389</v>
      </c>
      <c r="B651" s="51">
        <v>0.59027777777777801</v>
      </c>
      <c r="C651" s="49" t="s">
        <v>170</v>
      </c>
      <c r="D651" s="57" t="s">
        <v>94</v>
      </c>
      <c r="E651" s="53" t="s">
        <v>95</v>
      </c>
      <c r="F651" s="9">
        <v>126120.33759572648</v>
      </c>
      <c r="G651" s="60" t="s">
        <v>97</v>
      </c>
      <c r="H651">
        <v>0.19090395233333335</v>
      </c>
    </row>
    <row r="652" spans="1:8" x14ac:dyDescent="0.2">
      <c r="A652" s="50">
        <v>43389</v>
      </c>
      <c r="B652" s="51">
        <v>0.59027777777777801</v>
      </c>
      <c r="C652" s="49" t="s">
        <v>170</v>
      </c>
      <c r="D652" s="57" t="s">
        <v>234</v>
      </c>
      <c r="E652" s="53" t="s">
        <v>235</v>
      </c>
      <c r="F652" s="9">
        <v>321.73555509113896</v>
      </c>
      <c r="G652" s="60" t="s">
        <v>134</v>
      </c>
      <c r="H652">
        <v>0.53721188999999991</v>
      </c>
    </row>
    <row r="653" spans="1:8" x14ac:dyDescent="0.2">
      <c r="A653" s="25">
        <v>43389</v>
      </c>
      <c r="B653" s="26">
        <v>0.60416666666666696</v>
      </c>
      <c r="C653" s="5" t="s">
        <v>144</v>
      </c>
      <c r="D653" s="12" t="s">
        <v>69</v>
      </c>
      <c r="E653" s="9" t="s">
        <v>71</v>
      </c>
      <c r="F653" s="9">
        <v>328.54946663877848</v>
      </c>
      <c r="G653" s="19" t="s">
        <v>73</v>
      </c>
      <c r="H653">
        <v>539.30418893999979</v>
      </c>
    </row>
    <row r="654" spans="1:8" x14ac:dyDescent="0.2">
      <c r="A654" s="25">
        <v>43389</v>
      </c>
      <c r="B654" s="26">
        <v>0.60416666666666696</v>
      </c>
      <c r="C654" s="5" t="s">
        <v>144</v>
      </c>
      <c r="D654" s="12" t="s">
        <v>146</v>
      </c>
      <c r="E654" s="9" t="s">
        <v>147</v>
      </c>
      <c r="F654" s="9">
        <v>164.27473331938924</v>
      </c>
      <c r="G654" s="19" t="s">
        <v>73</v>
      </c>
      <c r="H654">
        <v>301.05856969999996</v>
      </c>
    </row>
    <row r="655" spans="1:8" x14ac:dyDescent="0.2">
      <c r="A655" s="25">
        <v>43389</v>
      </c>
      <c r="B655" s="26">
        <v>0.60416666666666696</v>
      </c>
      <c r="C655" s="5" t="s">
        <v>144</v>
      </c>
      <c r="D655" s="12" t="s">
        <v>86</v>
      </c>
      <c r="E655" s="9" t="s">
        <v>87</v>
      </c>
      <c r="F655" s="9">
        <v>1971.296799832671</v>
      </c>
      <c r="G655" s="19" t="s">
        <v>73</v>
      </c>
      <c r="H655">
        <v>4.8490441650000005</v>
      </c>
    </row>
    <row r="656" spans="1:8" x14ac:dyDescent="0.2">
      <c r="A656" s="25">
        <v>43389</v>
      </c>
      <c r="B656" s="26">
        <v>0.60416666666666696</v>
      </c>
      <c r="C656" s="5" t="s">
        <v>144</v>
      </c>
      <c r="D656" s="8" t="s">
        <v>121</v>
      </c>
      <c r="E656" s="9" t="s">
        <v>122</v>
      </c>
      <c r="F656" s="9">
        <v>164.27473331938924</v>
      </c>
      <c r="G656" s="19" t="s">
        <v>73</v>
      </c>
      <c r="H656">
        <v>596.74109351249979</v>
      </c>
    </row>
    <row r="657" spans="1:8" x14ac:dyDescent="0.2">
      <c r="A657" s="25">
        <v>43389</v>
      </c>
      <c r="B657" s="26">
        <v>0.60416666666666696</v>
      </c>
      <c r="C657" s="5" t="s">
        <v>144</v>
      </c>
      <c r="D657" s="12" t="s">
        <v>94</v>
      </c>
      <c r="E657" s="9" t="s">
        <v>95</v>
      </c>
      <c r="F657" s="9">
        <v>62260.123928048532</v>
      </c>
      <c r="G657" s="19" t="s">
        <v>97</v>
      </c>
      <c r="H657">
        <v>0.17999999999999997</v>
      </c>
    </row>
    <row r="658" spans="1:8" x14ac:dyDescent="0.2">
      <c r="A658" s="25">
        <v>43389</v>
      </c>
      <c r="B658" s="26">
        <v>0.60416666666666696</v>
      </c>
      <c r="C658" s="5" t="s">
        <v>144</v>
      </c>
      <c r="D658" s="12" t="s">
        <v>148</v>
      </c>
      <c r="E658" s="9" t="s">
        <v>149</v>
      </c>
      <c r="F658" s="9">
        <v>164.27473331938924</v>
      </c>
      <c r="G658" s="19" t="s">
        <v>73</v>
      </c>
      <c r="H658">
        <v>4386.8534441999991</v>
      </c>
    </row>
    <row r="659" spans="1:8" x14ac:dyDescent="0.2">
      <c r="A659" s="25">
        <v>43389</v>
      </c>
      <c r="B659" s="26">
        <v>0.60416666666666696</v>
      </c>
      <c r="C659" s="5" t="s">
        <v>144</v>
      </c>
      <c r="D659" s="12" t="s">
        <v>151</v>
      </c>
      <c r="E659" s="9" t="s">
        <v>153</v>
      </c>
      <c r="F659" s="9">
        <v>164.27473331938924</v>
      </c>
      <c r="G659" s="19" t="s">
        <v>73</v>
      </c>
      <c r="H659">
        <v>3315.228297291666</v>
      </c>
    </row>
    <row r="660" spans="1:8" x14ac:dyDescent="0.2">
      <c r="A660" s="25">
        <v>43389</v>
      </c>
      <c r="B660" s="26">
        <v>0.61458333333333304</v>
      </c>
      <c r="C660" s="5" t="s">
        <v>113</v>
      </c>
      <c r="D660" s="12" t="s">
        <v>69</v>
      </c>
      <c r="E660" s="9" t="s">
        <v>71</v>
      </c>
      <c r="F660" s="9">
        <v>229.98462664714492</v>
      </c>
      <c r="G660" s="19" t="s">
        <v>73</v>
      </c>
      <c r="H660">
        <v>538.67979792749998</v>
      </c>
    </row>
    <row r="661" spans="1:8" x14ac:dyDescent="0.2">
      <c r="A661" s="25">
        <v>43389</v>
      </c>
      <c r="B661" s="26">
        <v>0.61458333333333304</v>
      </c>
      <c r="C661" s="5" t="s">
        <v>113</v>
      </c>
      <c r="D661" s="12" t="s">
        <v>86</v>
      </c>
      <c r="E661" s="9" t="s">
        <v>87</v>
      </c>
      <c r="F661" s="9">
        <v>2069.8616398243043</v>
      </c>
      <c r="G661" s="19" t="s">
        <v>73</v>
      </c>
      <c r="H661">
        <v>7.2382233599999992</v>
      </c>
    </row>
    <row r="662" spans="1:8" x14ac:dyDescent="0.2">
      <c r="A662" s="25">
        <v>43389</v>
      </c>
      <c r="B662" s="26">
        <v>0.61458333333333304</v>
      </c>
      <c r="C662" s="5" t="s">
        <v>113</v>
      </c>
      <c r="D662" s="12" t="s">
        <v>88</v>
      </c>
      <c r="E662" s="9" t="s">
        <v>89</v>
      </c>
      <c r="F662" s="9">
        <v>229.98462664714492</v>
      </c>
      <c r="G662" s="19" t="s">
        <v>73</v>
      </c>
      <c r="H662">
        <v>337.38084788249995</v>
      </c>
    </row>
    <row r="663" spans="1:8" x14ac:dyDescent="0.2">
      <c r="A663" s="25">
        <v>43389</v>
      </c>
      <c r="B663" s="26">
        <v>0.61458333333333304</v>
      </c>
      <c r="C663" s="5" t="s">
        <v>113</v>
      </c>
      <c r="D663" s="12" t="s">
        <v>92</v>
      </c>
      <c r="E663" s="9" t="s">
        <v>89</v>
      </c>
      <c r="F663" s="9">
        <v>229.98462664714492</v>
      </c>
      <c r="G663" s="19" t="s">
        <v>73</v>
      </c>
      <c r="H663">
        <v>172.0334684</v>
      </c>
    </row>
    <row r="664" spans="1:8" x14ac:dyDescent="0.2">
      <c r="A664" s="25">
        <v>43389</v>
      </c>
      <c r="B664" s="26">
        <v>0.61458333333333304</v>
      </c>
      <c r="C664" s="5" t="s">
        <v>113</v>
      </c>
      <c r="D664" s="12" t="s">
        <v>94</v>
      </c>
      <c r="E664" s="9" t="s">
        <v>95</v>
      </c>
      <c r="F664" s="9">
        <v>95213.635431917995</v>
      </c>
      <c r="G664" s="19" t="s">
        <v>97</v>
      </c>
      <c r="H664">
        <v>0.17999999999999997</v>
      </c>
    </row>
    <row r="665" spans="1:8" x14ac:dyDescent="0.2">
      <c r="A665" s="25">
        <v>43389</v>
      </c>
      <c r="B665" s="26">
        <v>0.64236111111111105</v>
      </c>
      <c r="C665" s="5" t="s">
        <v>108</v>
      </c>
      <c r="D665" s="12" t="s">
        <v>109</v>
      </c>
      <c r="E665" s="9" t="s">
        <v>110</v>
      </c>
      <c r="F665" s="9">
        <v>143.74039165446558</v>
      </c>
      <c r="G665" s="19" t="s">
        <v>73</v>
      </c>
      <c r="H665">
        <v>90.317570909999986</v>
      </c>
    </row>
    <row r="666" spans="1:8" x14ac:dyDescent="0.2">
      <c r="A666" s="25">
        <v>43389</v>
      </c>
      <c r="B666" s="26">
        <v>0.64236111111111105</v>
      </c>
      <c r="C666" s="5" t="s">
        <v>108</v>
      </c>
      <c r="D666" s="12" t="s">
        <v>69</v>
      </c>
      <c r="E666" s="9" t="s">
        <v>71</v>
      </c>
      <c r="F666" s="9">
        <v>143.74039165446558</v>
      </c>
      <c r="G666" s="19" t="s">
        <v>73</v>
      </c>
      <c r="H666">
        <v>98.936523074999968</v>
      </c>
    </row>
    <row r="667" spans="1:8" x14ac:dyDescent="0.2">
      <c r="A667" s="25">
        <v>43389</v>
      </c>
      <c r="B667" s="26">
        <v>0.64236111111111105</v>
      </c>
      <c r="C667" s="5" t="s">
        <v>108</v>
      </c>
      <c r="D667" s="12" t="s">
        <v>86</v>
      </c>
      <c r="E667" s="9" t="s">
        <v>87</v>
      </c>
      <c r="F667" s="9">
        <v>4743.432924597364</v>
      </c>
      <c r="G667" s="19" t="s">
        <v>73</v>
      </c>
      <c r="H667">
        <v>6.3706209216666645</v>
      </c>
    </row>
    <row r="668" spans="1:8" x14ac:dyDescent="0.2">
      <c r="A668" s="25">
        <v>43389</v>
      </c>
      <c r="B668" s="26">
        <v>0.64236111111111105</v>
      </c>
      <c r="C668" s="5" t="s">
        <v>108</v>
      </c>
      <c r="D668" s="12" t="s">
        <v>88</v>
      </c>
      <c r="E668" s="9" t="s">
        <v>89</v>
      </c>
      <c r="F668" s="9">
        <v>143.74039165446558</v>
      </c>
      <c r="G668" s="19" t="s">
        <v>73</v>
      </c>
      <c r="H668">
        <v>337.38084788249995</v>
      </c>
    </row>
    <row r="669" spans="1:8" x14ac:dyDescent="0.2">
      <c r="A669" s="25">
        <v>43389</v>
      </c>
      <c r="B669" s="26">
        <v>0.64236111111111105</v>
      </c>
      <c r="C669" s="5" t="s">
        <v>108</v>
      </c>
      <c r="D669" s="12" t="s">
        <v>94</v>
      </c>
      <c r="E669" s="9" t="s">
        <v>95</v>
      </c>
      <c r="F669" s="9">
        <v>52321.502562225476</v>
      </c>
      <c r="G669" s="19" t="s">
        <v>97</v>
      </c>
      <c r="H669">
        <v>0.17999999999999997</v>
      </c>
    </row>
    <row r="670" spans="1:8" x14ac:dyDescent="0.2">
      <c r="A670" s="74">
        <v>43390</v>
      </c>
      <c r="B670" s="75">
        <v>0.51666666666666705</v>
      </c>
      <c r="C670" s="69" t="s">
        <v>226</v>
      </c>
      <c r="D670" s="80" t="s">
        <v>296</v>
      </c>
      <c r="E670" s="69" t="s">
        <v>103</v>
      </c>
      <c r="F670" s="9">
        <v>375.35814760632883</v>
      </c>
      <c r="G670" s="60" t="s">
        <v>73</v>
      </c>
      <c r="H670">
        <v>197.83848866</v>
      </c>
    </row>
    <row r="671" spans="1:8" x14ac:dyDescent="0.2">
      <c r="A671" s="74">
        <v>43390</v>
      </c>
      <c r="B671" s="75">
        <v>0.51666666666666705</v>
      </c>
      <c r="C671" s="69" t="s">
        <v>226</v>
      </c>
      <c r="D671" s="80" t="s">
        <v>393</v>
      </c>
      <c r="E671" s="69" t="s">
        <v>147</v>
      </c>
      <c r="F671" s="9">
        <v>375.35814760632883</v>
      </c>
      <c r="G671" s="60" t="s">
        <v>73</v>
      </c>
      <c r="H671">
        <v>481.69371151999997</v>
      </c>
    </row>
    <row r="672" spans="1:8" x14ac:dyDescent="0.2">
      <c r="A672" s="74">
        <v>43390</v>
      </c>
      <c r="B672" s="75">
        <v>0.51666666666666705</v>
      </c>
      <c r="C672" s="69" t="s">
        <v>226</v>
      </c>
      <c r="D672" s="80" t="s">
        <v>421</v>
      </c>
      <c r="E672" s="69" t="s">
        <v>422</v>
      </c>
      <c r="F672" s="9">
        <v>375.35814760632883</v>
      </c>
      <c r="G672" s="60" t="s">
        <v>73</v>
      </c>
      <c r="H672">
        <v>46.533231079999993</v>
      </c>
    </row>
    <row r="673" spans="1:8" x14ac:dyDescent="0.2">
      <c r="A673" s="74">
        <v>43390</v>
      </c>
      <c r="B673" s="75">
        <v>0.51666666666666705</v>
      </c>
      <c r="C673" s="69" t="s">
        <v>226</v>
      </c>
      <c r="D673" s="80" t="s">
        <v>86</v>
      </c>
      <c r="E673" s="69" t="s">
        <v>87</v>
      </c>
      <c r="F673" s="9">
        <v>15765.042199465812</v>
      </c>
      <c r="G673" s="60" t="s">
        <v>73</v>
      </c>
      <c r="H673">
        <v>14.137154999999998</v>
      </c>
    </row>
    <row r="674" spans="1:8" x14ac:dyDescent="0.2">
      <c r="A674" s="74">
        <v>43390</v>
      </c>
      <c r="B674" s="75">
        <v>0.51666666666666705</v>
      </c>
      <c r="C674" s="69" t="s">
        <v>226</v>
      </c>
      <c r="D674" s="80" t="s">
        <v>88</v>
      </c>
      <c r="E674" s="69" t="s">
        <v>89</v>
      </c>
      <c r="F674" s="9">
        <v>375.35814760632883</v>
      </c>
      <c r="G674" s="60" t="s">
        <v>73</v>
      </c>
      <c r="H674">
        <v>929.12524250000001</v>
      </c>
    </row>
    <row r="675" spans="1:8" x14ac:dyDescent="0.2">
      <c r="A675" s="74">
        <v>43390</v>
      </c>
      <c r="B675" s="75">
        <v>0.51666666666666705</v>
      </c>
      <c r="C675" s="69" t="s">
        <v>226</v>
      </c>
      <c r="D675" s="80" t="s">
        <v>423</v>
      </c>
      <c r="E675" s="69" t="s">
        <v>89</v>
      </c>
      <c r="F675" s="9">
        <v>1126.0744428189864</v>
      </c>
      <c r="G675" s="60" t="s">
        <v>73</v>
      </c>
      <c r="H675">
        <v>344.95967195833327</v>
      </c>
    </row>
    <row r="676" spans="1:8" x14ac:dyDescent="0.2">
      <c r="A676" s="74">
        <v>43390</v>
      </c>
      <c r="B676" s="75">
        <v>0.51666666666666705</v>
      </c>
      <c r="C676" s="69" t="s">
        <v>226</v>
      </c>
      <c r="D676" s="80" t="s">
        <v>94</v>
      </c>
      <c r="E676" s="69" t="s">
        <v>95</v>
      </c>
      <c r="F676" s="9">
        <v>154272.19866620115</v>
      </c>
      <c r="G676" s="60" t="s">
        <v>97</v>
      </c>
      <c r="H676">
        <v>0.19090395233333335</v>
      </c>
    </row>
    <row r="677" spans="1:8" x14ac:dyDescent="0.2">
      <c r="A677" s="50">
        <v>43390</v>
      </c>
      <c r="B677" s="51">
        <v>0.53125</v>
      </c>
      <c r="C677" s="49" t="s">
        <v>222</v>
      </c>
      <c r="D677" s="57" t="s">
        <v>86</v>
      </c>
      <c r="E677" s="53" t="s">
        <v>87</v>
      </c>
      <c r="F677" s="9">
        <v>9759.3118377645496</v>
      </c>
      <c r="G677" s="60" t="s">
        <v>73</v>
      </c>
      <c r="H677">
        <v>11.494030613333329</v>
      </c>
    </row>
    <row r="678" spans="1:8" x14ac:dyDescent="0.2">
      <c r="A678" s="50">
        <v>43390</v>
      </c>
      <c r="B678" s="51">
        <v>0.53125</v>
      </c>
      <c r="C678" s="49" t="s">
        <v>222</v>
      </c>
      <c r="D678" s="57" t="s">
        <v>92</v>
      </c>
      <c r="E678" s="53" t="s">
        <v>89</v>
      </c>
      <c r="F678" s="9">
        <v>1126.0744428189864</v>
      </c>
      <c r="G678" s="60" t="s">
        <v>73</v>
      </c>
      <c r="H678">
        <v>79.104450802499997</v>
      </c>
    </row>
    <row r="679" spans="1:8" x14ac:dyDescent="0.2">
      <c r="A679" s="50">
        <v>43390</v>
      </c>
      <c r="B679" s="51">
        <v>0.53125</v>
      </c>
      <c r="C679" s="49" t="s">
        <v>222</v>
      </c>
      <c r="D679" s="57" t="s">
        <v>94</v>
      </c>
      <c r="E679" s="53" t="s">
        <v>95</v>
      </c>
      <c r="F679" s="9">
        <v>156899.70569944545</v>
      </c>
      <c r="G679" s="60" t="s">
        <v>97</v>
      </c>
      <c r="H679">
        <v>0.19090395233333335</v>
      </c>
    </row>
    <row r="680" spans="1:8" x14ac:dyDescent="0.2">
      <c r="A680" s="50">
        <v>43390</v>
      </c>
      <c r="B680" s="51">
        <v>0.54513888888888895</v>
      </c>
      <c r="C680" s="49" t="s">
        <v>224</v>
      </c>
      <c r="D680" s="57" t="s">
        <v>86</v>
      </c>
      <c r="E680" s="53" t="s">
        <v>87</v>
      </c>
      <c r="F680" s="9">
        <v>11260.744428189866</v>
      </c>
      <c r="G680" s="60" t="s">
        <v>73</v>
      </c>
      <c r="H680">
        <v>15.598517948333333</v>
      </c>
    </row>
    <row r="681" spans="1:8" x14ac:dyDescent="0.2">
      <c r="A681" s="50">
        <v>43390</v>
      </c>
      <c r="B681" s="51">
        <v>0.54513888888888895</v>
      </c>
      <c r="C681" s="49" t="s">
        <v>224</v>
      </c>
      <c r="D681" s="57" t="s">
        <v>287</v>
      </c>
      <c r="E681" s="53" t="s">
        <v>288</v>
      </c>
      <c r="F681" s="9">
        <v>375.35814760632883</v>
      </c>
      <c r="G681" s="60" t="s">
        <v>73</v>
      </c>
      <c r="H681">
        <v>4.9939500037500002</v>
      </c>
    </row>
    <row r="682" spans="1:8" x14ac:dyDescent="0.2">
      <c r="A682" s="50">
        <v>43390</v>
      </c>
      <c r="B682" s="51">
        <v>0.54513888888888895</v>
      </c>
      <c r="C682" s="49" t="s">
        <v>224</v>
      </c>
      <c r="D682" s="57" t="s">
        <v>88</v>
      </c>
      <c r="E682" s="53" t="s">
        <v>89</v>
      </c>
      <c r="F682" s="9">
        <v>1126.0744428189864</v>
      </c>
      <c r="G682" s="60" t="s">
        <v>73</v>
      </c>
      <c r="H682">
        <v>740.35757136666655</v>
      </c>
    </row>
    <row r="683" spans="1:8" x14ac:dyDescent="0.2">
      <c r="A683" s="50">
        <v>43390</v>
      </c>
      <c r="B683" s="51">
        <v>0.54513888888888895</v>
      </c>
      <c r="C683" s="49" t="s">
        <v>224</v>
      </c>
      <c r="D683" s="57" t="s">
        <v>92</v>
      </c>
      <c r="E683" s="53" t="s">
        <v>89</v>
      </c>
      <c r="F683" s="9">
        <v>1126.0744428189864</v>
      </c>
      <c r="G683" s="60" t="s">
        <v>73</v>
      </c>
      <c r="H683">
        <v>76.353203359999995</v>
      </c>
    </row>
    <row r="684" spans="1:8" x14ac:dyDescent="0.2">
      <c r="A684" s="50">
        <v>43390</v>
      </c>
      <c r="B684" s="51">
        <v>0.54513888888888895</v>
      </c>
      <c r="C684" s="49" t="s">
        <v>224</v>
      </c>
      <c r="D684" s="57" t="s">
        <v>94</v>
      </c>
      <c r="E684" s="53" t="s">
        <v>95</v>
      </c>
      <c r="F684" s="9">
        <v>144888.24497604292</v>
      </c>
      <c r="G684" s="60" t="s">
        <v>97</v>
      </c>
      <c r="H684">
        <v>0.19090395233333335</v>
      </c>
    </row>
    <row r="685" spans="1:8" x14ac:dyDescent="0.2">
      <c r="A685" s="74">
        <v>43390</v>
      </c>
      <c r="B685" s="75">
        <v>0.5625</v>
      </c>
      <c r="C685" s="69" t="s">
        <v>219</v>
      </c>
      <c r="D685" s="80" t="s">
        <v>86</v>
      </c>
      <c r="E685" s="69" t="s">
        <v>87</v>
      </c>
      <c r="F685" s="9">
        <v>10134.669985370878</v>
      </c>
      <c r="G685" s="60" t="s">
        <v>73</v>
      </c>
      <c r="H685">
        <v>10.305985995</v>
      </c>
    </row>
    <row r="686" spans="1:8" x14ac:dyDescent="0.2">
      <c r="A686" s="74">
        <v>43390</v>
      </c>
      <c r="B686" s="75">
        <v>0.5625</v>
      </c>
      <c r="C686" s="69" t="s">
        <v>219</v>
      </c>
      <c r="D686" s="80" t="s">
        <v>88</v>
      </c>
      <c r="E686" s="69" t="s">
        <v>89</v>
      </c>
      <c r="F686" s="9">
        <v>2627.5070332443015</v>
      </c>
      <c r="G686" s="60" t="s">
        <v>73</v>
      </c>
      <c r="H686">
        <v>354.67294463999997</v>
      </c>
    </row>
    <row r="687" spans="1:8" x14ac:dyDescent="0.2">
      <c r="A687" s="74">
        <v>43390</v>
      </c>
      <c r="B687" s="75">
        <v>0.5625</v>
      </c>
      <c r="C687" s="69" t="s">
        <v>219</v>
      </c>
      <c r="D687" s="80" t="s">
        <v>391</v>
      </c>
      <c r="E687" s="69" t="s">
        <v>89</v>
      </c>
      <c r="F687" s="9">
        <v>750.71629521265766</v>
      </c>
      <c r="G687" s="60" t="s">
        <v>73</v>
      </c>
      <c r="H687">
        <v>123.47705335999997</v>
      </c>
    </row>
    <row r="688" spans="1:8" x14ac:dyDescent="0.2">
      <c r="A688" s="74">
        <v>43390</v>
      </c>
      <c r="B688" s="75">
        <v>0.5625</v>
      </c>
      <c r="C688" s="69" t="s">
        <v>219</v>
      </c>
      <c r="D688" s="80" t="s">
        <v>94</v>
      </c>
      <c r="E688" s="69" t="s">
        <v>95</v>
      </c>
      <c r="F688" s="9">
        <v>153146.12422338218</v>
      </c>
      <c r="G688" s="60" t="s">
        <v>97</v>
      </c>
      <c r="H688">
        <v>0.19090395233333335</v>
      </c>
    </row>
    <row r="689" spans="1:8" x14ac:dyDescent="0.2">
      <c r="A689" s="25">
        <v>43390</v>
      </c>
      <c r="B689" s="26">
        <v>0.58819444444444402</v>
      </c>
      <c r="C689" s="26" t="s">
        <v>124</v>
      </c>
      <c r="D689" s="12" t="s">
        <v>102</v>
      </c>
      <c r="E689" s="9" t="s">
        <v>103</v>
      </c>
      <c r="F689" s="9">
        <v>627.23079994675891</v>
      </c>
      <c r="G689" s="19" t="s">
        <v>73</v>
      </c>
      <c r="H689">
        <v>95.033097499999997</v>
      </c>
    </row>
    <row r="690" spans="1:8" x14ac:dyDescent="0.2">
      <c r="A690" s="25">
        <v>43390</v>
      </c>
      <c r="B690" s="26">
        <v>0.58819444444444402</v>
      </c>
      <c r="C690" s="26" t="s">
        <v>124</v>
      </c>
      <c r="D690" s="12" t="s">
        <v>86</v>
      </c>
      <c r="E690" s="9" t="s">
        <v>87</v>
      </c>
      <c r="F690" s="9">
        <v>4181.538666311727</v>
      </c>
      <c r="G690" s="19" t="s">
        <v>73</v>
      </c>
      <c r="H690">
        <v>7.2382233599999992</v>
      </c>
    </row>
    <row r="691" spans="1:8" x14ac:dyDescent="0.2">
      <c r="A691" s="25">
        <v>43390</v>
      </c>
      <c r="B691" s="26">
        <v>0.58819444444444402</v>
      </c>
      <c r="C691" s="26" t="s">
        <v>124</v>
      </c>
      <c r="D691" s="12" t="s">
        <v>126</v>
      </c>
      <c r="E691" s="9" t="s">
        <v>127</v>
      </c>
      <c r="F691" s="9">
        <v>209.07693331558633</v>
      </c>
      <c r="G691" s="19" t="s">
        <v>73</v>
      </c>
      <c r="H691">
        <v>7.0827146549999993</v>
      </c>
    </row>
    <row r="692" spans="1:8" x14ac:dyDescent="0.2">
      <c r="A692" s="25">
        <v>43390</v>
      </c>
      <c r="B692" s="26">
        <v>0.58819444444444402</v>
      </c>
      <c r="C692" s="26" t="s">
        <v>124</v>
      </c>
      <c r="D692" s="12" t="s">
        <v>94</v>
      </c>
      <c r="E692" s="9" t="s">
        <v>95</v>
      </c>
      <c r="F692" s="9">
        <v>85721.542659390398</v>
      </c>
      <c r="G692" s="19" t="s">
        <v>97</v>
      </c>
      <c r="H692">
        <v>0.17999999999999997</v>
      </c>
    </row>
    <row r="693" spans="1:8" x14ac:dyDescent="0.2">
      <c r="A693" s="25">
        <v>43390</v>
      </c>
      <c r="B693" s="26">
        <v>0.58819444444444402</v>
      </c>
      <c r="C693" s="26" t="s">
        <v>124</v>
      </c>
      <c r="D693" s="12" t="s">
        <v>98</v>
      </c>
      <c r="E693" s="9" t="s">
        <v>95</v>
      </c>
      <c r="F693" s="9">
        <v>209.07693331558633</v>
      </c>
      <c r="G693" s="19" t="s">
        <v>97</v>
      </c>
      <c r="H693">
        <v>3.5913609683333325</v>
      </c>
    </row>
    <row r="694" spans="1:8" x14ac:dyDescent="0.2">
      <c r="A694" s="25">
        <v>43390</v>
      </c>
      <c r="B694" s="26">
        <v>0.58819444444444402</v>
      </c>
      <c r="C694" s="26" t="s">
        <v>124</v>
      </c>
      <c r="D694" s="12" t="s">
        <v>130</v>
      </c>
      <c r="E694" s="9" t="s">
        <v>95</v>
      </c>
      <c r="F694" s="9">
        <v>1045.3846665779317</v>
      </c>
      <c r="G694" s="19" t="s">
        <v>97</v>
      </c>
      <c r="H694">
        <v>82.447887960000003</v>
      </c>
    </row>
    <row r="695" spans="1:8" x14ac:dyDescent="0.2">
      <c r="A695" s="25">
        <v>43390</v>
      </c>
      <c r="B695" s="26">
        <v>0.58819444444444402</v>
      </c>
      <c r="C695" s="26" t="s">
        <v>124</v>
      </c>
      <c r="D695" s="12" t="s">
        <v>132</v>
      </c>
      <c r="E695" s="9" t="s">
        <v>133</v>
      </c>
      <c r="F695" s="9">
        <v>209.07693331558633</v>
      </c>
      <c r="G695" s="19" t="s">
        <v>134</v>
      </c>
      <c r="H695">
        <v>55.910877230000004</v>
      </c>
    </row>
    <row r="696" spans="1:8" x14ac:dyDescent="0.2">
      <c r="A696" s="25">
        <v>43390</v>
      </c>
      <c r="B696" s="26">
        <v>0.59027777777777801</v>
      </c>
      <c r="C696" s="5" t="s">
        <v>200</v>
      </c>
      <c r="D696" s="12" t="s">
        <v>261</v>
      </c>
      <c r="E696" s="9" t="s">
        <v>191</v>
      </c>
      <c r="F696" s="9">
        <v>689.95387994143482</v>
      </c>
      <c r="G696" s="19" t="s">
        <v>73</v>
      </c>
      <c r="H696">
        <v>80.289999999999992</v>
      </c>
    </row>
    <row r="697" spans="1:8" x14ac:dyDescent="0.2">
      <c r="A697" s="25">
        <v>43390</v>
      </c>
      <c r="B697" s="26">
        <v>0.59027777777777801</v>
      </c>
      <c r="C697" s="5" t="s">
        <v>200</v>
      </c>
      <c r="D697" s="12" t="s">
        <v>86</v>
      </c>
      <c r="E697" s="9" t="s">
        <v>87</v>
      </c>
      <c r="F697" s="9">
        <v>1149.9231332357247</v>
      </c>
      <c r="G697" s="19" t="s">
        <v>73</v>
      </c>
      <c r="H697">
        <v>7.2382233599999992</v>
      </c>
    </row>
    <row r="698" spans="1:8" x14ac:dyDescent="0.2">
      <c r="A698" s="25">
        <v>43390</v>
      </c>
      <c r="B698" s="26">
        <v>0.59027777777777801</v>
      </c>
      <c r="C698" s="5" t="s">
        <v>200</v>
      </c>
      <c r="D698" s="12" t="s">
        <v>121</v>
      </c>
      <c r="E698" s="9" t="s">
        <v>122</v>
      </c>
      <c r="F698" s="9">
        <v>459.96925329428984</v>
      </c>
      <c r="G698" s="19" t="s">
        <v>73</v>
      </c>
      <c r="H698">
        <v>596.74109351249979</v>
      </c>
    </row>
    <row r="699" spans="1:8" x14ac:dyDescent="0.2">
      <c r="A699" s="25">
        <v>43390</v>
      </c>
      <c r="B699" s="26">
        <v>0.59027777777777801</v>
      </c>
      <c r="C699" s="5" t="s">
        <v>200</v>
      </c>
      <c r="D699" s="12" t="s">
        <v>94</v>
      </c>
      <c r="E699" s="9" t="s">
        <v>95</v>
      </c>
      <c r="F699" s="9">
        <v>92223.835285505105</v>
      </c>
      <c r="G699" s="19" t="s">
        <v>97</v>
      </c>
      <c r="H699">
        <v>0.17999999999999997</v>
      </c>
    </row>
    <row r="700" spans="1:8" x14ac:dyDescent="0.2">
      <c r="A700" s="25">
        <v>43390</v>
      </c>
      <c r="B700" s="26">
        <v>0.59027777777777801</v>
      </c>
      <c r="C700" s="5" t="s">
        <v>200</v>
      </c>
      <c r="D700" s="8" t="s">
        <v>156</v>
      </c>
      <c r="E700" s="9" t="s">
        <v>157</v>
      </c>
      <c r="F700" s="9">
        <v>229.98462664714492</v>
      </c>
      <c r="G700" s="19" t="s">
        <v>97</v>
      </c>
      <c r="H700">
        <v>11.494030613333329</v>
      </c>
    </row>
    <row r="701" spans="1:8" x14ac:dyDescent="0.2">
      <c r="A701" s="25">
        <v>43390</v>
      </c>
      <c r="B701" s="26">
        <v>0.62013888888888902</v>
      </c>
      <c r="C701" s="5" t="s">
        <v>135</v>
      </c>
      <c r="D701" s="12" t="s">
        <v>102</v>
      </c>
      <c r="E701" s="9" t="s">
        <v>103</v>
      </c>
      <c r="F701" s="9">
        <v>511.07694810476653</v>
      </c>
      <c r="G701" s="19" t="s">
        <v>73</v>
      </c>
      <c r="H701">
        <v>132.88925699999999</v>
      </c>
    </row>
    <row r="702" spans="1:8" x14ac:dyDescent="0.2">
      <c r="A702" s="25">
        <v>43390</v>
      </c>
      <c r="B702" s="26">
        <v>0.62013888888888902</v>
      </c>
      <c r="C702" s="5" t="s">
        <v>135</v>
      </c>
      <c r="D702" s="8" t="s">
        <v>137</v>
      </c>
      <c r="E702" s="9" t="s">
        <v>138</v>
      </c>
      <c r="F702" s="9">
        <v>255.53847405238326</v>
      </c>
      <c r="G702" s="19" t="s">
        <v>73</v>
      </c>
      <c r="H702">
        <v>57.264902519999993</v>
      </c>
    </row>
    <row r="703" spans="1:8" x14ac:dyDescent="0.2">
      <c r="A703" s="25">
        <v>43390</v>
      </c>
      <c r="B703" s="26">
        <v>0.62013888888888902</v>
      </c>
      <c r="C703" s="5" t="s">
        <v>135</v>
      </c>
      <c r="D703" s="12" t="s">
        <v>81</v>
      </c>
      <c r="E703" s="9" t="s">
        <v>83</v>
      </c>
      <c r="F703" s="9">
        <v>255.53847405238326</v>
      </c>
      <c r="G703" s="19" t="s">
        <v>73</v>
      </c>
      <c r="H703">
        <v>40.993560713333324</v>
      </c>
    </row>
    <row r="704" spans="1:8" x14ac:dyDescent="0.2">
      <c r="A704" s="25">
        <v>43390</v>
      </c>
      <c r="B704" s="26">
        <v>0.62013888888888902</v>
      </c>
      <c r="C704" s="5" t="s">
        <v>135</v>
      </c>
      <c r="D704" s="12" t="s">
        <v>86</v>
      </c>
      <c r="E704" s="9" t="s">
        <v>87</v>
      </c>
      <c r="F704" s="9">
        <v>2810.9232145762157</v>
      </c>
      <c r="G704" s="19" t="s">
        <v>73</v>
      </c>
      <c r="H704">
        <v>4.8490441650000005</v>
      </c>
    </row>
    <row r="705" spans="1:8" x14ac:dyDescent="0.2">
      <c r="A705" s="25">
        <v>43390</v>
      </c>
      <c r="B705" s="26">
        <v>0.62013888888888902</v>
      </c>
      <c r="C705" s="5" t="s">
        <v>135</v>
      </c>
      <c r="D705" s="12" t="s">
        <v>88</v>
      </c>
      <c r="E705" s="9" t="s">
        <v>89</v>
      </c>
      <c r="F705" s="9">
        <v>255.53847405238326</v>
      </c>
      <c r="G705" s="19" t="s">
        <v>73</v>
      </c>
      <c r="H705">
        <v>242.92658833999991</v>
      </c>
    </row>
    <row r="706" spans="1:8" x14ac:dyDescent="0.2">
      <c r="A706" s="25">
        <v>43390</v>
      </c>
      <c r="B706" s="26">
        <v>0.62013888888888902</v>
      </c>
      <c r="C706" s="5" t="s">
        <v>135</v>
      </c>
      <c r="D706" s="12" t="s">
        <v>92</v>
      </c>
      <c r="E706" s="9" t="s">
        <v>89</v>
      </c>
      <c r="F706" s="9">
        <v>255.53847405238326</v>
      </c>
      <c r="G706" s="19" t="s">
        <v>73</v>
      </c>
      <c r="H706">
        <v>172.0334684</v>
      </c>
    </row>
    <row r="707" spans="1:8" x14ac:dyDescent="0.2">
      <c r="A707" s="25">
        <v>43390</v>
      </c>
      <c r="B707" s="26">
        <v>0.62013888888888902</v>
      </c>
      <c r="C707" s="5" t="s">
        <v>135</v>
      </c>
      <c r="D707" s="12" t="s">
        <v>94</v>
      </c>
      <c r="E707" s="9" t="s">
        <v>95</v>
      </c>
      <c r="F707" s="9">
        <v>93527.081503172274</v>
      </c>
      <c r="G707" s="19" t="s">
        <v>97</v>
      </c>
      <c r="H707">
        <v>0.17999999999999997</v>
      </c>
    </row>
    <row r="708" spans="1:8" x14ac:dyDescent="0.2">
      <c r="A708" s="25">
        <v>43390</v>
      </c>
      <c r="B708" s="26">
        <v>0.62013888888888902</v>
      </c>
      <c r="C708" s="5" t="s">
        <v>135</v>
      </c>
      <c r="D708" s="12" t="s">
        <v>130</v>
      </c>
      <c r="E708" s="9" t="s">
        <v>95</v>
      </c>
      <c r="F708" s="9">
        <v>8688.3081177810309</v>
      </c>
      <c r="G708" s="19" t="s">
        <v>97</v>
      </c>
      <c r="H708">
        <v>82.447887960000003</v>
      </c>
    </row>
    <row r="709" spans="1:8" x14ac:dyDescent="0.2">
      <c r="A709" s="25">
        <v>43390</v>
      </c>
      <c r="B709" s="26">
        <v>0.62777777777777799</v>
      </c>
      <c r="C709" s="5" t="s">
        <v>116</v>
      </c>
      <c r="D709" s="12" t="s">
        <v>86</v>
      </c>
      <c r="E709" s="9" t="s">
        <v>87</v>
      </c>
      <c r="F709" s="9">
        <v>4024.7309663250362</v>
      </c>
      <c r="G709" s="19" t="s">
        <v>73</v>
      </c>
      <c r="H709">
        <v>6.3706209216666645</v>
      </c>
    </row>
    <row r="710" spans="1:8" x14ac:dyDescent="0.2">
      <c r="A710" s="25">
        <v>43390</v>
      </c>
      <c r="B710" s="26">
        <v>0.62777777777777799</v>
      </c>
      <c r="C710" s="5" t="s">
        <v>116</v>
      </c>
      <c r="D710" s="12" t="s">
        <v>118</v>
      </c>
      <c r="E710" s="9" t="s">
        <v>119</v>
      </c>
      <c r="F710" s="9">
        <v>287.48078330893117</v>
      </c>
      <c r="G710" s="19" t="s">
        <v>73</v>
      </c>
      <c r="H710">
        <v>2339.6551702399997</v>
      </c>
    </row>
    <row r="711" spans="1:8" x14ac:dyDescent="0.2">
      <c r="A711" s="25">
        <v>43390</v>
      </c>
      <c r="B711" s="26">
        <v>0.62777777777777799</v>
      </c>
      <c r="C711" s="5" t="s">
        <v>116</v>
      </c>
      <c r="D711" s="12" t="s">
        <v>88</v>
      </c>
      <c r="E711" s="9" t="s">
        <v>89</v>
      </c>
      <c r="F711" s="9">
        <v>287.48078330893117</v>
      </c>
      <c r="G711" s="19" t="s">
        <v>73</v>
      </c>
      <c r="H711">
        <v>337.38084788249995</v>
      </c>
    </row>
    <row r="712" spans="1:8" x14ac:dyDescent="0.2">
      <c r="A712" s="25">
        <v>43390</v>
      </c>
      <c r="B712" s="26">
        <v>0.62777777777777799</v>
      </c>
      <c r="C712" s="5" t="s">
        <v>116</v>
      </c>
      <c r="D712" s="8" t="s">
        <v>121</v>
      </c>
      <c r="E712" s="9" t="s">
        <v>122</v>
      </c>
      <c r="F712" s="9">
        <v>862.44234992679355</v>
      </c>
      <c r="G712" s="19" t="s">
        <v>73</v>
      </c>
      <c r="H712">
        <v>537.43808448000004</v>
      </c>
    </row>
    <row r="713" spans="1:8" x14ac:dyDescent="0.2">
      <c r="A713" s="25">
        <v>43390</v>
      </c>
      <c r="B713" s="26">
        <v>0.62777777777777799</v>
      </c>
      <c r="C713" s="5" t="s">
        <v>116</v>
      </c>
      <c r="D713" s="12" t="s">
        <v>94</v>
      </c>
      <c r="E713" s="9" t="s">
        <v>95</v>
      </c>
      <c r="F713" s="9">
        <v>128503.91013909224</v>
      </c>
      <c r="G713" s="19" t="s">
        <v>97</v>
      </c>
      <c r="H713">
        <v>0.17999999999999997</v>
      </c>
    </row>
    <row r="714" spans="1:8" x14ac:dyDescent="0.2">
      <c r="A714" s="25"/>
      <c r="B714" s="26"/>
      <c r="C714" s="5"/>
      <c r="D714" s="12"/>
      <c r="G714" s="19"/>
    </row>
    <row r="715" spans="1:8" x14ac:dyDescent="0.2">
      <c r="A715" s="25"/>
      <c r="B715" s="26"/>
      <c r="C715" s="5"/>
      <c r="D715" s="12"/>
      <c r="G715" s="19"/>
    </row>
    <row r="716" spans="1:8" x14ac:dyDescent="0.2">
      <c r="A716" s="25"/>
      <c r="B716" s="26"/>
      <c r="C716" s="5"/>
      <c r="D716" s="12"/>
      <c r="G716" s="19"/>
    </row>
    <row r="717" spans="1:8" x14ac:dyDescent="0.2">
      <c r="A717" s="25"/>
      <c r="B717" s="26"/>
      <c r="C717" s="5"/>
      <c r="D717" s="12"/>
      <c r="G717" s="19"/>
    </row>
    <row r="718" spans="1:8" x14ac:dyDescent="0.2">
      <c r="A718" s="25"/>
      <c r="B718" s="26"/>
      <c r="C718" s="5"/>
      <c r="D718" s="12"/>
      <c r="G718" s="19"/>
    </row>
    <row r="719" spans="1:8" x14ac:dyDescent="0.2">
      <c r="A719" s="25"/>
      <c r="B719" s="26"/>
      <c r="C719" s="5"/>
      <c r="D719" s="12"/>
      <c r="G719" s="19"/>
    </row>
    <row r="720" spans="1:8" x14ac:dyDescent="0.2">
      <c r="A720" s="25"/>
      <c r="B720" s="26"/>
      <c r="C720" s="5"/>
      <c r="D720" s="12"/>
      <c r="G720" s="19"/>
    </row>
    <row r="721" spans="1:7" x14ac:dyDescent="0.2">
      <c r="A721" s="25"/>
      <c r="B721" s="26"/>
      <c r="C721" s="5"/>
      <c r="D721" s="12"/>
      <c r="G721" s="19"/>
    </row>
    <row r="722" spans="1:7" x14ac:dyDescent="0.2">
      <c r="A722" s="25"/>
      <c r="B722" s="26"/>
      <c r="C722" s="5"/>
      <c r="D722" s="12"/>
      <c r="G722" s="19"/>
    </row>
    <row r="723" spans="1:7" x14ac:dyDescent="0.2">
      <c r="A723" s="25"/>
      <c r="B723" s="26"/>
      <c r="C723" s="5"/>
      <c r="D723" s="12"/>
      <c r="G723" s="19"/>
    </row>
    <row r="724" spans="1:7" x14ac:dyDescent="0.2">
      <c r="A724" s="25"/>
      <c r="B724" s="26"/>
      <c r="C724" s="5"/>
      <c r="D724" s="12"/>
      <c r="G724" s="19"/>
    </row>
    <row r="725" spans="1:7" x14ac:dyDescent="0.2">
      <c r="A725" s="25"/>
      <c r="B725" s="26"/>
      <c r="C725" s="5"/>
      <c r="D725" s="12"/>
      <c r="G725" s="19"/>
    </row>
    <row r="726" spans="1:7" x14ac:dyDescent="0.2">
      <c r="A726" s="25"/>
      <c r="B726" s="26"/>
      <c r="C726" s="5"/>
      <c r="D726" s="12"/>
      <c r="G726" s="19"/>
    </row>
    <row r="727" spans="1:7" x14ac:dyDescent="0.2">
      <c r="A727" s="25"/>
      <c r="B727" s="26"/>
      <c r="C727" s="5"/>
      <c r="D727" s="12"/>
      <c r="G727" s="19"/>
    </row>
    <row r="728" spans="1:7" x14ac:dyDescent="0.2">
      <c r="A728" s="25"/>
      <c r="B728" s="26"/>
      <c r="C728" s="5"/>
      <c r="D728" s="12"/>
      <c r="G728" s="19"/>
    </row>
    <row r="729" spans="1:7" x14ac:dyDescent="0.2">
      <c r="A729" s="25"/>
      <c r="B729" s="26"/>
      <c r="C729" s="5"/>
      <c r="D729" s="12"/>
      <c r="G729" s="19"/>
    </row>
    <row r="730" spans="1:7" x14ac:dyDescent="0.2">
      <c r="A730" s="25"/>
      <c r="B730" s="26"/>
      <c r="C730" s="5"/>
      <c r="D730" s="12"/>
      <c r="G730" s="19"/>
    </row>
    <row r="731" spans="1:7" x14ac:dyDescent="0.2">
      <c r="A731" s="25"/>
      <c r="B731" s="26"/>
      <c r="C731" s="5"/>
      <c r="D731" s="12"/>
      <c r="G731" s="19"/>
    </row>
    <row r="732" spans="1:7" x14ac:dyDescent="0.2">
      <c r="A732" s="25"/>
      <c r="B732" s="26"/>
      <c r="C732" s="5"/>
      <c r="D732" s="12"/>
      <c r="G732" s="19"/>
    </row>
    <row r="733" spans="1:7" x14ac:dyDescent="0.2">
      <c r="A733" s="25"/>
      <c r="B733" s="26"/>
      <c r="C733" s="5"/>
      <c r="D733" s="12"/>
      <c r="G733" s="19"/>
    </row>
    <row r="734" spans="1:7" x14ac:dyDescent="0.2">
      <c r="A734" s="25"/>
      <c r="B734" s="26"/>
      <c r="C734" s="5"/>
      <c r="D734" s="12"/>
      <c r="G734" s="19"/>
    </row>
    <row r="735" spans="1:7" x14ac:dyDescent="0.2">
      <c r="A735" s="25"/>
      <c r="B735" s="26"/>
      <c r="C735" s="5"/>
      <c r="D735" s="12"/>
      <c r="G735" s="19"/>
    </row>
    <row r="736" spans="1:7" x14ac:dyDescent="0.2">
      <c r="A736" s="25"/>
      <c r="B736" s="26"/>
      <c r="C736" s="5"/>
      <c r="D736" s="12"/>
      <c r="G736" s="19"/>
    </row>
    <row r="737" spans="1:7" x14ac:dyDescent="0.2">
      <c r="A737" s="25"/>
      <c r="B737" s="26"/>
      <c r="C737" s="5"/>
      <c r="D737" s="12"/>
      <c r="G737" s="19"/>
    </row>
    <row r="738" spans="1:7" x14ac:dyDescent="0.2">
      <c r="A738" s="25"/>
      <c r="B738" s="26"/>
      <c r="C738" s="5"/>
      <c r="G738" s="19"/>
    </row>
    <row r="739" spans="1:7" x14ac:dyDescent="0.2">
      <c r="A739" s="25"/>
      <c r="B739" s="26"/>
      <c r="C739" s="26"/>
      <c r="D739" s="12"/>
      <c r="G739" s="19"/>
    </row>
    <row r="740" spans="1:7" x14ac:dyDescent="0.2">
      <c r="A740" s="25"/>
      <c r="B740" s="26"/>
      <c r="C740" s="26"/>
      <c r="D740" s="12"/>
      <c r="G740" s="19"/>
    </row>
    <row r="741" spans="1:7" x14ac:dyDescent="0.2">
      <c r="A741" s="25"/>
      <c r="B741" s="26"/>
      <c r="C741" s="26"/>
      <c r="D741" s="12"/>
      <c r="G741" s="19"/>
    </row>
    <row r="742" spans="1:7" x14ac:dyDescent="0.2">
      <c r="A742" s="25"/>
      <c r="B742" s="26"/>
      <c r="C742" s="5"/>
      <c r="D742" s="12"/>
      <c r="G742" s="19"/>
    </row>
    <row r="743" spans="1:7" x14ac:dyDescent="0.2">
      <c r="A743" s="25"/>
      <c r="B743" s="26"/>
      <c r="C743" s="5"/>
      <c r="G743" s="19"/>
    </row>
    <row r="744" spans="1:7" x14ac:dyDescent="0.2">
      <c r="A744" s="25"/>
      <c r="B744" s="26"/>
      <c r="C744" s="5"/>
      <c r="D744" s="12"/>
      <c r="G744" s="19"/>
    </row>
    <row r="745" spans="1:7" x14ac:dyDescent="0.2">
      <c r="A745" s="25"/>
      <c r="B745" s="26"/>
      <c r="C745" s="5"/>
      <c r="D745" s="12"/>
      <c r="G745" s="19"/>
    </row>
    <row r="746" spans="1:7" x14ac:dyDescent="0.2">
      <c r="A746" s="25"/>
      <c r="B746" s="26"/>
      <c r="C746" s="5"/>
      <c r="D746" s="12"/>
      <c r="G746" s="19"/>
    </row>
    <row r="747" spans="1:7" x14ac:dyDescent="0.2">
      <c r="A747" s="25"/>
      <c r="B747" s="26"/>
      <c r="C747" s="5"/>
      <c r="D747" s="12"/>
      <c r="G747" s="19"/>
    </row>
    <row r="748" spans="1:7" x14ac:dyDescent="0.2">
      <c r="A748" s="25"/>
      <c r="B748" s="26"/>
      <c r="C748" s="5"/>
      <c r="D748" s="12"/>
      <c r="G748" s="19"/>
    </row>
    <row r="749" spans="1:7" x14ac:dyDescent="0.2">
      <c r="A749" s="25"/>
      <c r="B749" s="26"/>
      <c r="C749" s="5"/>
      <c r="D749" s="12"/>
      <c r="G749" s="19"/>
    </row>
    <row r="750" spans="1:7" x14ac:dyDescent="0.2">
      <c r="A750" s="25"/>
      <c r="B750" s="26"/>
      <c r="C750" s="5"/>
      <c r="D750" s="12"/>
      <c r="G750" s="19"/>
    </row>
    <row r="751" spans="1:7" x14ac:dyDescent="0.2">
      <c r="A751" s="25"/>
      <c r="B751" s="26"/>
      <c r="C751" s="5"/>
      <c r="D751" s="12"/>
      <c r="G751" s="19"/>
    </row>
    <row r="752" spans="1:7" x14ac:dyDescent="0.2">
      <c r="A752" s="25"/>
      <c r="B752" s="26"/>
      <c r="C752" s="5"/>
      <c r="D752" s="12"/>
      <c r="G752" s="19"/>
    </row>
    <row r="753" spans="1:7" x14ac:dyDescent="0.2">
      <c r="A753" s="25"/>
      <c r="B753" s="26"/>
      <c r="C753" s="5"/>
      <c r="D753" s="12"/>
      <c r="G753" s="19"/>
    </row>
    <row r="754" spans="1:7" x14ac:dyDescent="0.2">
      <c r="A754" s="25"/>
      <c r="B754" s="26"/>
      <c r="C754" s="5"/>
      <c r="D754" s="12"/>
      <c r="G754" s="19"/>
    </row>
    <row r="755" spans="1:7" x14ac:dyDescent="0.2">
      <c r="A755" s="25"/>
      <c r="B755" s="26"/>
      <c r="C755" s="5"/>
      <c r="D755" s="41"/>
      <c r="E755" s="38"/>
      <c r="G755" s="43"/>
    </row>
    <row r="756" spans="1:7" x14ac:dyDescent="0.2">
      <c r="A756" s="25"/>
      <c r="B756" s="26"/>
      <c r="C756" s="5"/>
      <c r="D756" s="12"/>
      <c r="G756" s="19"/>
    </row>
    <row r="757" spans="1:7" x14ac:dyDescent="0.2">
      <c r="A757" s="25"/>
      <c r="B757" s="26"/>
      <c r="C757" s="5"/>
      <c r="D757" s="12"/>
      <c r="G757" s="19"/>
    </row>
    <row r="758" spans="1:7" x14ac:dyDescent="0.2">
      <c r="G758" s="9"/>
    </row>
    <row r="759" spans="1:7" x14ac:dyDescent="0.2">
      <c r="A759" s="25"/>
      <c r="B759" s="26"/>
      <c r="C759" s="5"/>
      <c r="D759" s="12"/>
      <c r="G759" s="19"/>
    </row>
    <row r="760" spans="1:7" x14ac:dyDescent="0.2">
      <c r="A760" s="25"/>
      <c r="B760" s="26"/>
      <c r="C760" s="5"/>
      <c r="D760" s="12"/>
      <c r="G760" s="19"/>
    </row>
    <row r="761" spans="1:7" x14ac:dyDescent="0.2">
      <c r="A761" s="25"/>
      <c r="B761" s="26"/>
      <c r="C761" s="5"/>
      <c r="D761" s="12"/>
      <c r="G761" s="19"/>
    </row>
    <row r="762" spans="1:7" x14ac:dyDescent="0.2">
      <c r="A762" s="25"/>
      <c r="B762" s="26"/>
      <c r="C762" s="5"/>
      <c r="D762" s="12"/>
      <c r="G762" s="19"/>
    </row>
    <row r="763" spans="1:7" x14ac:dyDescent="0.2">
      <c r="A763" s="25"/>
      <c r="B763" s="26"/>
      <c r="C763" s="5"/>
      <c r="D763" s="12"/>
      <c r="G763" s="19"/>
    </row>
    <row r="764" spans="1:7" x14ac:dyDescent="0.2">
      <c r="A764" s="25"/>
      <c r="B764" s="26"/>
      <c r="C764" s="5"/>
      <c r="D764" s="12"/>
      <c r="G764" s="19"/>
    </row>
    <row r="765" spans="1:7" x14ac:dyDescent="0.2">
      <c r="A765" s="25"/>
      <c r="B765" s="26"/>
      <c r="C765" s="5"/>
      <c r="D765" s="12"/>
      <c r="G765" s="19"/>
    </row>
    <row r="766" spans="1:7" x14ac:dyDescent="0.2">
      <c r="A766" s="25"/>
      <c r="B766" s="26"/>
      <c r="C766" s="26"/>
      <c r="D766" s="12"/>
      <c r="G766" s="19"/>
    </row>
    <row r="767" spans="1:7" x14ac:dyDescent="0.2">
      <c r="A767" s="25"/>
      <c r="B767" s="26"/>
      <c r="C767" s="26"/>
      <c r="D767" s="12"/>
      <c r="G767" s="19"/>
    </row>
    <row r="768" spans="1:7" x14ac:dyDescent="0.2">
      <c r="A768" s="25"/>
      <c r="B768" s="26"/>
      <c r="C768" s="5"/>
      <c r="D768" s="12"/>
      <c r="G768" s="19"/>
    </row>
    <row r="769" spans="1:7" x14ac:dyDescent="0.2">
      <c r="A769" s="25"/>
      <c r="B769" s="26"/>
      <c r="C769" s="5"/>
      <c r="D769" s="12"/>
      <c r="G769" s="19"/>
    </row>
    <row r="770" spans="1:7" x14ac:dyDescent="0.2">
      <c r="A770" s="25"/>
      <c r="B770" s="26"/>
      <c r="C770" s="5"/>
      <c r="D770" s="12"/>
      <c r="G770" s="19"/>
    </row>
    <row r="771" spans="1:7" x14ac:dyDescent="0.2">
      <c r="A771" s="25"/>
      <c r="B771" s="26"/>
      <c r="C771" s="5"/>
      <c r="D771" s="12"/>
      <c r="G771" s="19"/>
    </row>
    <row r="772" spans="1:7" x14ac:dyDescent="0.2">
      <c r="A772" s="25"/>
      <c r="B772" s="26"/>
      <c r="C772" s="5"/>
      <c r="D772" s="12"/>
      <c r="G772" s="19"/>
    </row>
    <row r="773" spans="1:7" x14ac:dyDescent="0.2">
      <c r="A773" s="25"/>
      <c r="B773" s="26"/>
      <c r="C773" s="5"/>
      <c r="D773" s="12"/>
      <c r="G773" s="19"/>
    </row>
    <row r="774" spans="1:7" x14ac:dyDescent="0.2">
      <c r="A774" s="25"/>
      <c r="B774" s="26"/>
      <c r="C774" s="5"/>
      <c r="D774" s="12"/>
      <c r="G774" s="19"/>
    </row>
    <row r="775" spans="1:7" x14ac:dyDescent="0.2">
      <c r="A775" s="25"/>
      <c r="B775" s="26"/>
      <c r="C775" s="5"/>
      <c r="D775" s="12"/>
      <c r="G775" s="19"/>
    </row>
    <row r="776" spans="1:7" x14ac:dyDescent="0.2">
      <c r="A776" s="25"/>
      <c r="B776" s="26"/>
      <c r="C776" s="5"/>
      <c r="D776" s="12"/>
      <c r="G776" s="19"/>
    </row>
    <row r="777" spans="1:7" x14ac:dyDescent="0.2">
      <c r="A777" s="25"/>
      <c r="B777" s="26"/>
      <c r="C777" s="5"/>
      <c r="D777" s="12"/>
      <c r="G777" s="19"/>
    </row>
    <row r="778" spans="1:7" x14ac:dyDescent="0.2">
      <c r="A778" s="25"/>
      <c r="B778" s="26"/>
      <c r="C778" s="5"/>
      <c r="D778" s="12"/>
      <c r="G778" s="19"/>
    </row>
    <row r="779" spans="1:7" x14ac:dyDescent="0.2">
      <c r="A779" s="25"/>
      <c r="B779" s="26"/>
      <c r="C779" s="5"/>
      <c r="D779" s="12"/>
      <c r="G779" s="19"/>
    </row>
    <row r="780" spans="1:7" x14ac:dyDescent="0.2">
      <c r="A780" s="25"/>
      <c r="B780" s="26"/>
      <c r="C780" s="5"/>
      <c r="D780" s="12"/>
      <c r="G780" s="19"/>
    </row>
    <row r="781" spans="1:7" x14ac:dyDescent="0.2">
      <c r="A781" s="25"/>
      <c r="B781" s="26"/>
      <c r="C781" s="5"/>
      <c r="D781" s="12"/>
      <c r="G781" s="19"/>
    </row>
    <row r="782" spans="1:7" x14ac:dyDescent="0.2">
      <c r="A782" s="25"/>
      <c r="B782" s="26"/>
      <c r="C782" s="5"/>
      <c r="D782" s="12"/>
      <c r="G782" s="19"/>
    </row>
    <row r="783" spans="1:7" x14ac:dyDescent="0.2">
      <c r="A783" s="25"/>
      <c r="B783" s="26"/>
      <c r="C783" s="5"/>
      <c r="D783" s="12"/>
      <c r="G783" s="19"/>
    </row>
    <row r="784" spans="1:7" x14ac:dyDescent="0.2">
      <c r="A784" s="25"/>
      <c r="B784" s="26"/>
      <c r="C784" s="5"/>
      <c r="D784" s="12"/>
      <c r="G784" s="19"/>
    </row>
    <row r="785" spans="1:7" x14ac:dyDescent="0.2">
      <c r="A785" s="25"/>
      <c r="B785" s="26"/>
      <c r="C785" s="5"/>
      <c r="D785" s="12"/>
      <c r="G785" s="19"/>
    </row>
    <row r="786" spans="1:7" x14ac:dyDescent="0.2">
      <c r="A786" s="25"/>
      <c r="B786" s="26"/>
      <c r="C786" s="5"/>
      <c r="G786" s="19"/>
    </row>
    <row r="787" spans="1:7" x14ac:dyDescent="0.2">
      <c r="A787" s="25"/>
      <c r="B787" s="26"/>
      <c r="C787" s="5"/>
      <c r="D787" s="12"/>
      <c r="G787" s="19"/>
    </row>
    <row r="788" spans="1:7" x14ac:dyDescent="0.2">
      <c r="A788" s="25"/>
      <c r="B788" s="26"/>
      <c r="C788" s="5"/>
      <c r="D788" s="12"/>
      <c r="G788" s="19"/>
    </row>
    <row r="789" spans="1:7" x14ac:dyDescent="0.2">
      <c r="A789" s="25"/>
      <c r="B789" s="26"/>
      <c r="C789" s="5"/>
      <c r="D789" s="12"/>
      <c r="G789" s="19"/>
    </row>
    <row r="790" spans="1:7" x14ac:dyDescent="0.2">
      <c r="A790" s="25"/>
      <c r="B790" s="26"/>
      <c r="C790" s="5"/>
      <c r="D790" s="12"/>
      <c r="G790" s="19"/>
    </row>
    <row r="791" spans="1:7" x14ac:dyDescent="0.2">
      <c r="A791" s="25"/>
      <c r="B791" s="26"/>
      <c r="C791" s="5"/>
      <c r="D791" s="12"/>
      <c r="G791" s="19"/>
    </row>
    <row r="792" spans="1:7" x14ac:dyDescent="0.2">
      <c r="A792" s="25"/>
      <c r="B792" s="26"/>
      <c r="C792" s="5"/>
      <c r="D792" s="12"/>
      <c r="G792" s="19"/>
    </row>
    <row r="793" spans="1:7" x14ac:dyDescent="0.2">
      <c r="A793" s="25"/>
      <c r="B793" s="26"/>
      <c r="C793" s="5"/>
      <c r="D793" s="12"/>
      <c r="G793" s="19"/>
    </row>
    <row r="794" spans="1:7" x14ac:dyDescent="0.2">
      <c r="A794" s="25"/>
      <c r="B794" s="26"/>
      <c r="C794" s="5"/>
      <c r="G794" s="19"/>
    </row>
    <row r="795" spans="1:7" x14ac:dyDescent="0.2">
      <c r="A795" s="25"/>
      <c r="B795" s="26"/>
      <c r="C795" s="5"/>
      <c r="D795" s="12"/>
      <c r="G795" s="19"/>
    </row>
    <row r="796" spans="1:7" x14ac:dyDescent="0.2">
      <c r="A796" s="25"/>
      <c r="B796" s="26"/>
      <c r="C796" s="5"/>
      <c r="D796" s="12"/>
      <c r="G796" s="19"/>
    </row>
    <row r="797" spans="1:7" x14ac:dyDescent="0.2">
      <c r="A797" s="25"/>
      <c r="B797" s="26"/>
      <c r="C797" s="5"/>
      <c r="D797" s="12"/>
      <c r="G797" s="19"/>
    </row>
    <row r="798" spans="1:7" x14ac:dyDescent="0.2">
      <c r="A798" s="25"/>
      <c r="B798" s="26"/>
      <c r="C798" s="5"/>
      <c r="D798" s="12"/>
      <c r="G798" s="19"/>
    </row>
    <row r="799" spans="1:7" x14ac:dyDescent="0.2">
      <c r="A799" s="25"/>
      <c r="B799" s="26"/>
      <c r="C799" s="5"/>
      <c r="D799" s="12"/>
      <c r="G799" s="19"/>
    </row>
    <row r="800" spans="1:7" x14ac:dyDescent="0.2">
      <c r="A800" s="25"/>
      <c r="B800" s="26"/>
      <c r="C800" s="5"/>
      <c r="D800" s="12"/>
      <c r="G800" s="19"/>
    </row>
    <row r="801" spans="1:7" x14ac:dyDescent="0.2">
      <c r="A801" s="25"/>
      <c r="B801" s="26"/>
      <c r="C801" s="5"/>
      <c r="D801" s="12"/>
      <c r="G801" s="19"/>
    </row>
    <row r="802" spans="1:7" x14ac:dyDescent="0.2">
      <c r="A802" s="25"/>
      <c r="B802" s="26"/>
      <c r="C802" s="5"/>
      <c r="D802" s="12"/>
      <c r="G802" s="19"/>
    </row>
    <row r="803" spans="1:7" x14ac:dyDescent="0.2">
      <c r="A803" s="25"/>
      <c r="B803" s="26"/>
      <c r="C803" s="5"/>
      <c r="D803" s="12"/>
      <c r="G803" s="19"/>
    </row>
    <row r="804" spans="1:7" x14ac:dyDescent="0.2">
      <c r="A804" s="25"/>
      <c r="B804" s="26"/>
      <c r="C804" s="5"/>
      <c r="D804" s="12"/>
      <c r="G804" s="19"/>
    </row>
    <row r="805" spans="1:7" x14ac:dyDescent="0.2">
      <c r="A805" s="25"/>
      <c r="B805" s="26"/>
      <c r="C805" s="5"/>
      <c r="D805" s="12"/>
      <c r="G805" s="19"/>
    </row>
    <row r="806" spans="1:7" x14ac:dyDescent="0.2">
      <c r="A806" s="25"/>
      <c r="B806" s="26"/>
      <c r="C806" s="5"/>
      <c r="D806" s="12"/>
      <c r="G806" s="19"/>
    </row>
    <row r="807" spans="1:7" x14ac:dyDescent="0.2">
      <c r="A807" s="25"/>
      <c r="B807" s="26"/>
      <c r="C807" s="5"/>
      <c r="G807" s="19"/>
    </row>
    <row r="808" spans="1:7" x14ac:dyDescent="0.2">
      <c r="A808" s="25"/>
      <c r="B808" s="26"/>
      <c r="C808" s="5"/>
      <c r="G808" s="19"/>
    </row>
    <row r="809" spans="1:7" x14ac:dyDescent="0.2">
      <c r="A809" s="25"/>
      <c r="B809" s="26"/>
      <c r="C809" s="5"/>
      <c r="D809" s="12"/>
      <c r="G809" s="19"/>
    </row>
    <row r="810" spans="1:7" x14ac:dyDescent="0.2">
      <c r="A810" s="25"/>
      <c r="B810" s="26"/>
      <c r="C810" s="5"/>
      <c r="D810" s="12"/>
      <c r="G810" s="19"/>
    </row>
    <row r="811" spans="1:7" x14ac:dyDescent="0.2">
      <c r="A811" s="25"/>
      <c r="B811" s="26"/>
      <c r="C811" s="5"/>
      <c r="D811" s="12"/>
      <c r="G811" s="19"/>
    </row>
    <row r="812" spans="1:7" x14ac:dyDescent="0.2">
      <c r="A812" s="25"/>
      <c r="B812" s="26"/>
      <c r="C812" s="5"/>
      <c r="D812" s="12"/>
      <c r="G812" s="19"/>
    </row>
    <row r="813" spans="1:7" x14ac:dyDescent="0.2">
      <c r="A813" s="25"/>
      <c r="B813" s="26"/>
      <c r="C813" s="5"/>
      <c r="D813" s="12"/>
      <c r="G813" s="19"/>
    </row>
    <row r="814" spans="1:7" x14ac:dyDescent="0.2">
      <c r="A814" s="25"/>
      <c r="B814" s="26"/>
      <c r="C814" s="5"/>
      <c r="D814" s="12"/>
      <c r="G814" s="19"/>
    </row>
    <row r="815" spans="1:7" x14ac:dyDescent="0.2">
      <c r="A815" s="25"/>
      <c r="B815" s="26"/>
      <c r="C815" s="5"/>
      <c r="D815" s="12"/>
      <c r="G815" s="19"/>
    </row>
    <row r="816" spans="1:7" x14ac:dyDescent="0.2">
      <c r="A816" s="25"/>
      <c r="B816" s="26"/>
      <c r="C816" s="5"/>
      <c r="D816" s="12"/>
      <c r="G816" s="19"/>
    </row>
    <row r="817" spans="1:7" x14ac:dyDescent="0.2">
      <c r="A817" s="25"/>
      <c r="B817" s="26"/>
      <c r="C817" s="5"/>
      <c r="D817" s="12"/>
      <c r="G817" s="19"/>
    </row>
    <row r="818" spans="1:7" x14ac:dyDescent="0.2">
      <c r="A818" s="25"/>
      <c r="B818" s="26"/>
      <c r="C818" s="5"/>
      <c r="D818" s="12"/>
      <c r="G818" s="19"/>
    </row>
    <row r="819" spans="1:7" x14ac:dyDescent="0.2">
      <c r="A819" s="25"/>
      <c r="B819" s="26"/>
      <c r="C819" s="5"/>
      <c r="D819" s="12"/>
      <c r="G819" s="19"/>
    </row>
    <row r="820" spans="1:7" x14ac:dyDescent="0.2">
      <c r="A820" s="25"/>
      <c r="B820" s="26"/>
      <c r="C820" s="5"/>
      <c r="D820" s="12"/>
      <c r="G820" s="19"/>
    </row>
    <row r="821" spans="1:7" x14ac:dyDescent="0.2">
      <c r="A821" s="25"/>
      <c r="B821" s="26"/>
      <c r="C821" s="5"/>
      <c r="D821" s="12"/>
      <c r="G821" s="19"/>
    </row>
    <row r="822" spans="1:7" x14ac:dyDescent="0.2">
      <c r="A822" s="25"/>
      <c r="B822" s="26"/>
      <c r="C822" s="5"/>
      <c r="D822" s="12"/>
      <c r="G822" s="19"/>
    </row>
    <row r="823" spans="1:7" x14ac:dyDescent="0.2">
      <c r="A823" s="25"/>
      <c r="B823" s="26"/>
      <c r="C823" s="5"/>
      <c r="D823" s="12"/>
      <c r="G823" s="19"/>
    </row>
    <row r="824" spans="1:7" x14ac:dyDescent="0.2">
      <c r="A824" s="25"/>
      <c r="B824" s="26"/>
      <c r="C824" s="5"/>
      <c r="D824" s="12"/>
      <c r="G824" s="19"/>
    </row>
    <row r="825" spans="1:7" x14ac:dyDescent="0.2">
      <c r="A825" s="25"/>
      <c r="B825" s="26"/>
      <c r="C825" s="5"/>
      <c r="G825" s="19"/>
    </row>
    <row r="826" spans="1:7" x14ac:dyDescent="0.2">
      <c r="A826" s="25"/>
      <c r="B826" s="26"/>
      <c r="C826" s="5"/>
      <c r="D826" s="12"/>
      <c r="G826" s="19"/>
    </row>
    <row r="827" spans="1:7" x14ac:dyDescent="0.2">
      <c r="A827" s="25"/>
      <c r="B827" s="26"/>
      <c r="C827" s="5"/>
      <c r="D827" s="12"/>
      <c r="G827" s="19"/>
    </row>
    <row r="828" spans="1:7" x14ac:dyDescent="0.2">
      <c r="A828" s="25"/>
      <c r="B828" s="26"/>
      <c r="C828" s="5"/>
      <c r="D828" s="12"/>
      <c r="G828" s="19"/>
    </row>
    <row r="829" spans="1:7" x14ac:dyDescent="0.2">
      <c r="A829" s="25"/>
      <c r="B829" s="26"/>
      <c r="C829" s="5"/>
      <c r="D829" s="12"/>
      <c r="G829" s="19"/>
    </row>
    <row r="830" spans="1:7" x14ac:dyDescent="0.2">
      <c r="A830" s="25"/>
      <c r="B830" s="26"/>
      <c r="C830" s="5"/>
      <c r="D830" s="12"/>
      <c r="G830" s="19"/>
    </row>
    <row r="831" spans="1:7" x14ac:dyDescent="0.2">
      <c r="A831" s="25"/>
      <c r="B831" s="26"/>
      <c r="C831" s="5"/>
      <c r="D831" s="12"/>
      <c r="G831" s="19"/>
    </row>
    <row r="832" spans="1:7" x14ac:dyDescent="0.2">
      <c r="A832" s="25"/>
      <c r="B832" s="26"/>
      <c r="C832" s="5"/>
      <c r="G832" s="19"/>
    </row>
    <row r="833" spans="1:7" x14ac:dyDescent="0.2">
      <c r="A833" s="25"/>
      <c r="B833" s="26"/>
      <c r="C833" s="5"/>
      <c r="D833" s="12"/>
      <c r="G833" s="19"/>
    </row>
    <row r="834" spans="1:7" x14ac:dyDescent="0.2">
      <c r="A834" s="25"/>
      <c r="B834" s="26"/>
      <c r="C834" s="5"/>
      <c r="D834" s="12"/>
      <c r="G834" s="19"/>
    </row>
    <row r="835" spans="1:7" x14ac:dyDescent="0.2">
      <c r="A835" s="25"/>
      <c r="B835" s="26"/>
      <c r="C835" s="5"/>
      <c r="G835" s="19"/>
    </row>
    <row r="836" spans="1:7" x14ac:dyDescent="0.2">
      <c r="A836" s="25"/>
      <c r="B836" s="26"/>
      <c r="C836" s="5"/>
      <c r="G836" s="19"/>
    </row>
    <row r="837" spans="1:7" x14ac:dyDescent="0.2">
      <c r="A837" s="25"/>
      <c r="B837" s="26"/>
      <c r="C837" s="5"/>
      <c r="D837" s="40"/>
      <c r="E837" s="38"/>
      <c r="G837" s="43"/>
    </row>
    <row r="838" spans="1:7" x14ac:dyDescent="0.2">
      <c r="A838" s="25"/>
      <c r="B838" s="26"/>
      <c r="C838" s="5"/>
      <c r="D838" s="12"/>
      <c r="G838" s="19"/>
    </row>
    <row r="839" spans="1:7" x14ac:dyDescent="0.2">
      <c r="A839" s="25"/>
      <c r="B839" s="26"/>
      <c r="C839" s="5"/>
      <c r="G839" s="19"/>
    </row>
    <row r="840" spans="1:7" x14ac:dyDescent="0.2">
      <c r="A840" s="25"/>
      <c r="B840" s="26"/>
      <c r="C840" s="5"/>
      <c r="D840" s="12"/>
      <c r="G840" s="19"/>
    </row>
    <row r="841" spans="1:7" x14ac:dyDescent="0.2">
      <c r="A841" s="25"/>
      <c r="B841" s="26"/>
      <c r="C841" s="5"/>
      <c r="D841" s="12"/>
      <c r="G841" s="19"/>
    </row>
    <row r="842" spans="1:7" x14ac:dyDescent="0.2">
      <c r="A842" s="25"/>
      <c r="B842" s="26"/>
      <c r="C842" s="5"/>
      <c r="D842" s="12"/>
      <c r="G842" s="19"/>
    </row>
    <row r="843" spans="1:7" x14ac:dyDescent="0.2">
      <c r="A843" s="25"/>
      <c r="B843" s="26"/>
      <c r="C843" s="5"/>
      <c r="D843" s="12"/>
      <c r="G843" s="19"/>
    </row>
    <row r="844" spans="1:7" x14ac:dyDescent="0.2">
      <c r="A844" s="25"/>
      <c r="B844" s="26"/>
      <c r="C844" s="5"/>
      <c r="D844" s="12"/>
      <c r="G844" s="19"/>
    </row>
    <row r="845" spans="1:7" x14ac:dyDescent="0.2">
      <c r="A845" s="25"/>
      <c r="B845" s="26"/>
      <c r="C845" s="5"/>
      <c r="D845" s="12"/>
      <c r="G845" s="19"/>
    </row>
    <row r="846" spans="1:7" x14ac:dyDescent="0.2">
      <c r="A846" s="25"/>
      <c r="B846" s="26"/>
      <c r="C846" s="5"/>
      <c r="D846" s="12"/>
      <c r="G846" s="19"/>
    </row>
    <row r="847" spans="1:7" x14ac:dyDescent="0.2">
      <c r="A847" s="25"/>
      <c r="B847" s="26"/>
      <c r="C847" s="5"/>
      <c r="D847" s="12"/>
      <c r="G847" s="19"/>
    </row>
    <row r="848" spans="1:7" x14ac:dyDescent="0.2">
      <c r="A848" s="25"/>
      <c r="B848" s="26"/>
      <c r="C848" s="5"/>
      <c r="D848" s="12"/>
      <c r="G848" s="19"/>
    </row>
    <row r="849" spans="1:7" x14ac:dyDescent="0.2">
      <c r="A849" s="25"/>
      <c r="B849" s="26"/>
      <c r="C849" s="5"/>
      <c r="D849" s="12"/>
      <c r="G849" s="19"/>
    </row>
    <row r="850" spans="1:7" x14ac:dyDescent="0.2">
      <c r="A850" s="25"/>
      <c r="B850" s="26"/>
      <c r="C850" s="5"/>
      <c r="D850" s="12"/>
      <c r="G850" s="19"/>
    </row>
    <row r="851" spans="1:7" x14ac:dyDescent="0.2">
      <c r="A851" s="25"/>
      <c r="B851" s="26"/>
      <c r="C851" s="5"/>
      <c r="D851" s="12"/>
      <c r="G851" s="19"/>
    </row>
    <row r="852" spans="1:7" x14ac:dyDescent="0.2">
      <c r="A852" s="25"/>
      <c r="B852" s="26"/>
      <c r="C852" s="5"/>
      <c r="D852" s="12"/>
      <c r="G852" s="19"/>
    </row>
    <row r="853" spans="1:7" x14ac:dyDescent="0.2">
      <c r="A853" s="25"/>
      <c r="B853" s="26"/>
      <c r="C853" s="5"/>
      <c r="D853" s="12"/>
      <c r="G853" s="19"/>
    </row>
    <row r="854" spans="1:7" x14ac:dyDescent="0.2">
      <c r="A854" s="25"/>
      <c r="B854" s="26"/>
      <c r="C854" s="5"/>
      <c r="D854" s="12"/>
      <c r="G854" s="19"/>
    </row>
    <row r="855" spans="1:7" x14ac:dyDescent="0.2">
      <c r="A855" s="25"/>
      <c r="B855" s="26"/>
      <c r="C855" s="5"/>
      <c r="D855" s="12"/>
      <c r="G855" s="19"/>
    </row>
    <row r="856" spans="1:7" x14ac:dyDescent="0.2">
      <c r="A856" s="25"/>
      <c r="B856" s="26"/>
      <c r="C856" s="5"/>
      <c r="D856" s="12"/>
      <c r="G856" s="19"/>
    </row>
    <row r="857" spans="1:7" x14ac:dyDescent="0.2">
      <c r="A857" s="25"/>
      <c r="B857" s="26"/>
      <c r="C857" s="5"/>
      <c r="D857" s="12"/>
      <c r="G857" s="19"/>
    </row>
    <row r="858" spans="1:7" x14ac:dyDescent="0.2">
      <c r="A858" s="25"/>
      <c r="B858" s="26"/>
      <c r="C858" s="5"/>
      <c r="D858" s="12"/>
      <c r="G858" s="19"/>
    </row>
    <row r="859" spans="1:7" x14ac:dyDescent="0.2">
      <c r="A859" s="25"/>
      <c r="B859" s="26"/>
      <c r="C859" s="5"/>
      <c r="D859" s="12"/>
      <c r="G859" s="19"/>
    </row>
    <row r="860" spans="1:7" x14ac:dyDescent="0.2">
      <c r="A860" s="25"/>
      <c r="B860" s="26"/>
      <c r="C860" s="5"/>
      <c r="D860" s="12"/>
      <c r="G860" s="19"/>
    </row>
    <row r="861" spans="1:7" x14ac:dyDescent="0.2">
      <c r="A861" s="25"/>
      <c r="B861" s="26"/>
      <c r="C861" s="5"/>
      <c r="D861" s="12"/>
      <c r="G861" s="19"/>
    </row>
    <row r="862" spans="1:7" x14ac:dyDescent="0.2">
      <c r="A862" s="25"/>
      <c r="B862" s="26"/>
      <c r="C862" s="5"/>
      <c r="D862" s="12"/>
      <c r="G862" s="19"/>
    </row>
    <row r="863" spans="1:7" x14ac:dyDescent="0.2">
      <c r="A863" s="25"/>
      <c r="B863" s="26"/>
      <c r="C863" s="5"/>
      <c r="D863" s="12"/>
      <c r="G863" s="19"/>
    </row>
    <row r="864" spans="1:7" x14ac:dyDescent="0.2">
      <c r="A864" s="25"/>
      <c r="B864" s="26"/>
      <c r="C864" s="5"/>
      <c r="G864" s="19"/>
    </row>
    <row r="865" spans="1:7" x14ac:dyDescent="0.2">
      <c r="A865" s="25"/>
      <c r="B865" s="26"/>
      <c r="C865" s="5"/>
      <c r="D865" s="12"/>
      <c r="G865" s="19"/>
    </row>
    <row r="866" spans="1:7" x14ac:dyDescent="0.2">
      <c r="A866" s="25"/>
      <c r="B866" s="26"/>
      <c r="C866" s="5"/>
      <c r="D866" s="12"/>
      <c r="G866" s="19"/>
    </row>
    <row r="867" spans="1:7" x14ac:dyDescent="0.2">
      <c r="A867" s="25"/>
      <c r="B867" s="26"/>
      <c r="C867" s="5"/>
      <c r="D867" s="12"/>
      <c r="G867" s="19"/>
    </row>
    <row r="868" spans="1:7" x14ac:dyDescent="0.2">
      <c r="A868" s="25"/>
      <c r="B868" s="26"/>
      <c r="C868" s="5"/>
      <c r="D868" s="12"/>
      <c r="G868" s="19"/>
    </row>
    <row r="869" spans="1:7" x14ac:dyDescent="0.2">
      <c r="A869" s="25"/>
      <c r="B869" s="26"/>
      <c r="C869" s="5"/>
      <c r="D869" s="12"/>
      <c r="G869" s="19"/>
    </row>
    <row r="870" spans="1:7" x14ac:dyDescent="0.2">
      <c r="A870" s="25"/>
      <c r="B870" s="26"/>
      <c r="C870" s="5"/>
      <c r="D870" s="12"/>
      <c r="G870" s="19"/>
    </row>
    <row r="871" spans="1:7" x14ac:dyDescent="0.2">
      <c r="A871" s="25"/>
      <c r="B871" s="26"/>
      <c r="C871" s="5"/>
      <c r="G871" s="19"/>
    </row>
    <row r="872" spans="1:7" x14ac:dyDescent="0.2">
      <c r="A872" s="25"/>
      <c r="B872" s="26"/>
      <c r="C872" s="5"/>
      <c r="G872" s="19"/>
    </row>
    <row r="873" spans="1:7" x14ac:dyDescent="0.2">
      <c r="A873" s="25"/>
      <c r="B873" s="26"/>
      <c r="C873" s="5"/>
      <c r="G873" s="19"/>
    </row>
    <row r="874" spans="1:7" x14ac:dyDescent="0.2">
      <c r="A874" s="25"/>
      <c r="B874" s="26"/>
      <c r="C874" s="5"/>
      <c r="D874" s="12"/>
      <c r="G874" s="19"/>
    </row>
    <row r="875" spans="1:7" x14ac:dyDescent="0.2">
      <c r="A875" s="25"/>
      <c r="B875" s="26"/>
      <c r="C875" s="5"/>
      <c r="D875" s="12"/>
      <c r="G875" s="19"/>
    </row>
    <row r="876" spans="1:7" x14ac:dyDescent="0.2">
      <c r="A876" s="25"/>
      <c r="B876" s="26"/>
      <c r="C876" s="5"/>
      <c r="G876" s="19"/>
    </row>
    <row r="877" spans="1:7" x14ac:dyDescent="0.2">
      <c r="A877" s="25"/>
      <c r="B877" s="26"/>
      <c r="C877" s="5"/>
      <c r="D877" s="12"/>
      <c r="G877" s="19"/>
    </row>
    <row r="878" spans="1:7" x14ac:dyDescent="0.2">
      <c r="A878" s="25"/>
      <c r="B878" s="26"/>
      <c r="C878" s="5"/>
      <c r="D878" s="12"/>
      <c r="G878" s="19"/>
    </row>
    <row r="879" spans="1:7" x14ac:dyDescent="0.2">
      <c r="A879" s="25"/>
      <c r="B879" s="26"/>
      <c r="C879" s="5"/>
      <c r="D879" s="12"/>
      <c r="G879" s="19"/>
    </row>
    <row r="880" spans="1:7" x14ac:dyDescent="0.2">
      <c r="A880" s="25"/>
      <c r="B880" s="26"/>
      <c r="C880" s="5"/>
      <c r="D880" s="12"/>
      <c r="G880" s="19"/>
    </row>
    <row r="881" spans="1:7" x14ac:dyDescent="0.2">
      <c r="A881" s="25"/>
      <c r="B881" s="26"/>
      <c r="C881" s="5"/>
      <c r="D881" s="12"/>
      <c r="G881" s="19"/>
    </row>
    <row r="882" spans="1:7" x14ac:dyDescent="0.2">
      <c r="A882" s="25"/>
      <c r="B882" s="26"/>
      <c r="C882" s="5"/>
      <c r="D882" s="12"/>
      <c r="G882" s="19"/>
    </row>
    <row r="883" spans="1:7" x14ac:dyDescent="0.2">
      <c r="A883" s="25"/>
      <c r="B883" s="26"/>
      <c r="C883" s="5"/>
      <c r="D883" s="12"/>
      <c r="G883" s="19"/>
    </row>
    <row r="884" spans="1:7" x14ac:dyDescent="0.2">
      <c r="A884" s="25"/>
      <c r="B884" s="26"/>
      <c r="C884" s="5"/>
      <c r="D884" s="12"/>
      <c r="G884" s="19"/>
    </row>
    <row r="885" spans="1:7" x14ac:dyDescent="0.2">
      <c r="A885" s="25"/>
      <c r="B885" s="26"/>
      <c r="C885" s="5"/>
      <c r="D885" s="12"/>
      <c r="G885" s="19"/>
    </row>
    <row r="886" spans="1:7" x14ac:dyDescent="0.2">
      <c r="A886" s="25"/>
      <c r="B886" s="26"/>
      <c r="C886" s="5"/>
      <c r="D886" s="12"/>
      <c r="G886" s="19"/>
    </row>
    <row r="887" spans="1:7" x14ac:dyDescent="0.2">
      <c r="A887" s="25"/>
      <c r="B887" s="26"/>
      <c r="C887" s="5"/>
      <c r="D887" s="12"/>
      <c r="G887" s="19"/>
    </row>
    <row r="888" spans="1:7" x14ac:dyDescent="0.2">
      <c r="A888" s="25"/>
      <c r="B888" s="26"/>
      <c r="C888" s="5"/>
      <c r="G888" s="19"/>
    </row>
    <row r="889" spans="1:7" x14ac:dyDescent="0.2">
      <c r="A889" s="25"/>
      <c r="B889" s="26"/>
      <c r="C889" s="5"/>
      <c r="D889" s="12"/>
      <c r="G889" s="19"/>
    </row>
    <row r="890" spans="1:7" x14ac:dyDescent="0.2">
      <c r="A890" s="25"/>
      <c r="B890" s="26"/>
      <c r="C890" s="5"/>
      <c r="D890" s="12"/>
      <c r="G890" s="19"/>
    </row>
    <row r="891" spans="1:7" x14ac:dyDescent="0.2">
      <c r="A891" s="25"/>
      <c r="B891" s="26"/>
      <c r="C891" s="5"/>
      <c r="D891" s="12"/>
      <c r="G891" s="19"/>
    </row>
    <row r="892" spans="1:7" x14ac:dyDescent="0.2">
      <c r="A892" s="25"/>
      <c r="B892" s="26"/>
      <c r="C892" s="5"/>
      <c r="D892" s="12"/>
      <c r="G892" s="19"/>
    </row>
    <row r="893" spans="1:7" x14ac:dyDescent="0.2">
      <c r="A893" s="25"/>
      <c r="B893" s="26"/>
      <c r="C893" s="5"/>
      <c r="D893" s="12"/>
      <c r="G893" s="19"/>
    </row>
    <row r="894" spans="1:7" x14ac:dyDescent="0.2">
      <c r="A894" s="25"/>
      <c r="B894" s="26"/>
      <c r="C894" s="5"/>
      <c r="D894" s="12"/>
      <c r="G894" s="19"/>
    </row>
    <row r="895" spans="1:7" x14ac:dyDescent="0.2">
      <c r="A895" s="25"/>
      <c r="B895" s="26"/>
      <c r="C895" s="5"/>
      <c r="D895" s="12"/>
      <c r="G895" s="19"/>
    </row>
    <row r="896" spans="1:7" x14ac:dyDescent="0.2">
      <c r="A896" s="25"/>
      <c r="B896" s="26"/>
      <c r="C896" s="5"/>
      <c r="D896" s="12"/>
      <c r="G896" s="19"/>
    </row>
    <row r="897" spans="1:7" x14ac:dyDescent="0.2">
      <c r="A897" s="25"/>
      <c r="B897" s="26"/>
      <c r="C897" s="5"/>
      <c r="D897" s="12"/>
      <c r="G897" s="19"/>
    </row>
    <row r="898" spans="1:7" x14ac:dyDescent="0.2">
      <c r="A898" s="25"/>
      <c r="B898" s="26"/>
      <c r="C898" s="5"/>
      <c r="D898" s="12"/>
      <c r="G898" s="19"/>
    </row>
    <row r="899" spans="1:7" x14ac:dyDescent="0.2">
      <c r="A899" s="25"/>
      <c r="B899" s="26"/>
      <c r="C899" s="5"/>
      <c r="D899" s="12"/>
      <c r="G899" s="19"/>
    </row>
    <row r="900" spans="1:7" x14ac:dyDescent="0.2">
      <c r="A900" s="25"/>
      <c r="B900" s="26"/>
      <c r="C900" s="25"/>
      <c r="D900" s="12"/>
      <c r="G900" s="19"/>
    </row>
    <row r="901" spans="1:7" x14ac:dyDescent="0.2">
      <c r="A901" s="25"/>
      <c r="B901" s="26"/>
      <c r="C901" s="25"/>
      <c r="D901" s="12"/>
      <c r="G901" s="19"/>
    </row>
    <row r="902" spans="1:7" x14ac:dyDescent="0.2">
      <c r="A902" s="25"/>
      <c r="B902" s="26"/>
      <c r="C902" s="25"/>
      <c r="D902" s="12"/>
      <c r="G902" s="19"/>
    </row>
    <row r="903" spans="1:7" x14ac:dyDescent="0.2">
      <c r="A903" s="25"/>
      <c r="B903" s="26"/>
      <c r="C903" s="5"/>
      <c r="D903" s="12"/>
      <c r="G903" s="19"/>
    </row>
    <row r="904" spans="1:7" x14ac:dyDescent="0.2">
      <c r="A904" s="25"/>
      <c r="B904" s="26"/>
      <c r="C904" s="5"/>
      <c r="D904" s="12"/>
      <c r="G904" s="19"/>
    </row>
    <row r="905" spans="1:7" x14ac:dyDescent="0.2">
      <c r="A905" s="25"/>
      <c r="B905" s="26"/>
      <c r="C905" s="5"/>
      <c r="D905" s="12"/>
      <c r="G905" s="19"/>
    </row>
    <row r="906" spans="1:7" x14ac:dyDescent="0.2">
      <c r="A906" s="25"/>
      <c r="B906" s="26"/>
      <c r="C906" s="5"/>
      <c r="D906" s="12"/>
      <c r="G906" s="19"/>
    </row>
    <row r="907" spans="1:7" x14ac:dyDescent="0.2">
      <c r="A907" s="25"/>
      <c r="B907" s="26"/>
      <c r="C907" s="5"/>
      <c r="D907" s="12"/>
      <c r="G907" s="19"/>
    </row>
    <row r="908" spans="1:7" x14ac:dyDescent="0.2">
      <c r="A908" s="25"/>
      <c r="B908" s="26"/>
      <c r="C908" s="5"/>
      <c r="D908" s="12"/>
      <c r="G908" s="19"/>
    </row>
    <row r="909" spans="1:7" x14ac:dyDescent="0.2">
      <c r="A909" s="25"/>
      <c r="B909" s="26"/>
      <c r="C909" s="5"/>
      <c r="D909" s="12"/>
      <c r="G909" s="19"/>
    </row>
    <row r="910" spans="1:7" x14ac:dyDescent="0.2">
      <c r="A910" s="25"/>
      <c r="B910" s="26"/>
      <c r="C910" s="5"/>
      <c r="D910" s="12"/>
      <c r="G910" s="19"/>
    </row>
    <row r="911" spans="1:7" x14ac:dyDescent="0.2">
      <c r="A911" s="25"/>
      <c r="B911" s="26"/>
      <c r="C911" s="5"/>
      <c r="D911" s="12"/>
      <c r="G911" s="19"/>
    </row>
    <row r="912" spans="1:7" x14ac:dyDescent="0.2">
      <c r="A912" s="25"/>
      <c r="B912" s="26"/>
      <c r="C912" s="5"/>
      <c r="D912" s="12"/>
      <c r="G912" s="19"/>
    </row>
    <row r="913" spans="1:7" x14ac:dyDescent="0.2">
      <c r="A913" s="25"/>
      <c r="B913" s="26"/>
      <c r="C913" s="5"/>
      <c r="D913" s="12"/>
      <c r="G913" s="19"/>
    </row>
    <row r="914" spans="1:7" x14ac:dyDescent="0.2">
      <c r="A914" s="25"/>
      <c r="B914" s="26"/>
      <c r="C914" s="5"/>
      <c r="D914" s="12"/>
      <c r="G914" s="19"/>
    </row>
    <row r="915" spans="1:7" x14ac:dyDescent="0.2">
      <c r="A915" s="25"/>
      <c r="B915" s="26"/>
      <c r="C915" s="5"/>
      <c r="D915" s="12"/>
      <c r="G915" s="19"/>
    </row>
    <row r="916" spans="1:7" x14ac:dyDescent="0.2">
      <c r="A916" s="25"/>
      <c r="B916" s="26"/>
      <c r="C916" s="5"/>
      <c r="D916" s="12"/>
      <c r="G916" s="19"/>
    </row>
    <row r="917" spans="1:7" x14ac:dyDescent="0.2">
      <c r="A917" s="25"/>
      <c r="B917" s="26"/>
      <c r="C917" s="5"/>
      <c r="D917" s="12"/>
      <c r="G917" s="19"/>
    </row>
    <row r="918" spans="1:7" x14ac:dyDescent="0.2">
      <c r="A918" s="25"/>
      <c r="B918" s="26"/>
      <c r="C918" s="5"/>
      <c r="D918" s="12"/>
      <c r="G918" s="19"/>
    </row>
    <row r="919" spans="1:7" x14ac:dyDescent="0.2">
      <c r="A919" s="25"/>
      <c r="B919" s="26"/>
      <c r="C919" s="5"/>
      <c r="D919" s="12"/>
      <c r="G919" s="19"/>
    </row>
    <row r="920" spans="1:7" x14ac:dyDescent="0.2">
      <c r="A920" s="25"/>
      <c r="B920" s="26"/>
      <c r="C920" s="5"/>
      <c r="D920" s="12"/>
      <c r="G920" s="19"/>
    </row>
    <row r="921" spans="1:7" x14ac:dyDescent="0.2">
      <c r="A921" s="25"/>
      <c r="B921" s="26"/>
      <c r="C921" s="5"/>
      <c r="D921" s="12"/>
      <c r="G921" s="19"/>
    </row>
    <row r="922" spans="1:7" x14ac:dyDescent="0.2">
      <c r="A922" s="25"/>
      <c r="B922" s="26"/>
      <c r="C922" s="5"/>
      <c r="D922" s="12"/>
      <c r="G922" s="19"/>
    </row>
    <row r="923" spans="1:7" x14ac:dyDescent="0.2">
      <c r="A923" s="25"/>
      <c r="B923" s="26"/>
      <c r="C923" s="5"/>
      <c r="D923" s="12"/>
      <c r="G923" s="19"/>
    </row>
    <row r="924" spans="1:7" x14ac:dyDescent="0.2">
      <c r="A924" s="25"/>
      <c r="B924" s="26"/>
      <c r="C924" s="5"/>
      <c r="D924" s="12"/>
      <c r="G924" s="19"/>
    </row>
    <row r="925" spans="1:7" x14ac:dyDescent="0.2">
      <c r="A925" s="25"/>
      <c r="B925" s="26"/>
      <c r="C925" s="5"/>
      <c r="D925" s="12"/>
      <c r="G925" s="19"/>
    </row>
    <row r="926" spans="1:7" x14ac:dyDescent="0.2">
      <c r="A926" s="25"/>
      <c r="B926" s="26"/>
      <c r="C926" s="5"/>
      <c r="D926" s="12"/>
      <c r="G926" s="19"/>
    </row>
    <row r="927" spans="1:7" x14ac:dyDescent="0.2">
      <c r="A927" s="25"/>
      <c r="B927" s="26"/>
      <c r="C927" s="5"/>
      <c r="D927" s="12"/>
      <c r="G927" s="19"/>
    </row>
    <row r="928" spans="1:7" x14ac:dyDescent="0.2">
      <c r="A928" s="25"/>
      <c r="B928" s="26"/>
      <c r="C928" s="5"/>
      <c r="D928" s="12"/>
      <c r="G928" s="19"/>
    </row>
    <row r="929" spans="1:7" x14ac:dyDescent="0.2">
      <c r="A929" s="25"/>
      <c r="B929" s="26"/>
      <c r="C929" s="5"/>
      <c r="D929" s="12"/>
      <c r="G929" s="19"/>
    </row>
    <row r="930" spans="1:7" x14ac:dyDescent="0.2">
      <c r="A930" s="25"/>
      <c r="B930" s="26"/>
      <c r="C930" s="5"/>
      <c r="D930" s="12"/>
      <c r="G930" s="19"/>
    </row>
    <row r="931" spans="1:7" x14ac:dyDescent="0.2">
      <c r="A931" s="25"/>
      <c r="B931" s="26"/>
      <c r="C931" s="5"/>
      <c r="D931" s="12"/>
      <c r="G931" s="19"/>
    </row>
    <row r="932" spans="1:7" x14ac:dyDescent="0.2">
      <c r="A932" s="25"/>
      <c r="B932" s="26"/>
      <c r="C932" s="5"/>
      <c r="D932" s="12"/>
      <c r="G932" s="19"/>
    </row>
    <row r="933" spans="1:7" x14ac:dyDescent="0.2">
      <c r="A933" s="25"/>
      <c r="B933" s="26"/>
      <c r="C933" s="5"/>
      <c r="D933" s="12"/>
      <c r="G933" s="19"/>
    </row>
    <row r="934" spans="1:7" x14ac:dyDescent="0.2">
      <c r="A934" s="25"/>
      <c r="B934" s="26"/>
      <c r="C934" s="5"/>
      <c r="D934" s="12"/>
      <c r="G934" s="19"/>
    </row>
    <row r="935" spans="1:7" x14ac:dyDescent="0.2">
      <c r="A935" s="25"/>
      <c r="B935" s="26"/>
      <c r="C935" s="5"/>
      <c r="D935" s="12"/>
      <c r="G935" s="19"/>
    </row>
    <row r="936" spans="1:7" x14ac:dyDescent="0.2">
      <c r="A936" s="25"/>
      <c r="B936" s="26"/>
      <c r="C936" s="5"/>
      <c r="D936" s="12"/>
      <c r="G936" s="19"/>
    </row>
    <row r="937" spans="1:7" x14ac:dyDescent="0.2">
      <c r="A937" s="25"/>
      <c r="B937" s="26"/>
      <c r="C937" s="5"/>
      <c r="D937" s="12"/>
      <c r="G937" s="19"/>
    </row>
    <row r="938" spans="1:7" x14ac:dyDescent="0.2">
      <c r="A938" s="25"/>
      <c r="B938" s="26"/>
      <c r="C938" s="5"/>
      <c r="D938" s="12"/>
      <c r="G938" s="19"/>
    </row>
    <row r="939" spans="1:7" x14ac:dyDescent="0.2">
      <c r="A939" s="25"/>
      <c r="B939" s="26"/>
      <c r="C939" s="5"/>
      <c r="D939" s="12"/>
      <c r="G939" s="19"/>
    </row>
    <row r="940" spans="1:7" x14ac:dyDescent="0.2">
      <c r="A940" s="25"/>
      <c r="B940" s="26"/>
      <c r="C940" s="5"/>
      <c r="D940" s="12"/>
      <c r="G940" s="19"/>
    </row>
    <row r="941" spans="1:7" x14ac:dyDescent="0.2">
      <c r="A941" s="25"/>
      <c r="B941" s="26"/>
      <c r="C941" s="5"/>
      <c r="D941" s="12"/>
      <c r="G941" s="19"/>
    </row>
    <row r="942" spans="1:7" x14ac:dyDescent="0.2">
      <c r="A942" s="25"/>
      <c r="B942" s="26"/>
      <c r="C942" s="5"/>
      <c r="D942" s="12"/>
      <c r="G942" s="19"/>
    </row>
    <row r="943" spans="1:7" x14ac:dyDescent="0.2">
      <c r="A943" s="25"/>
      <c r="B943" s="26"/>
      <c r="C943" s="5"/>
      <c r="D943" s="12"/>
      <c r="G943" s="19"/>
    </row>
    <row r="944" spans="1:7" x14ac:dyDescent="0.2">
      <c r="A944" s="25"/>
      <c r="B944" s="26"/>
      <c r="C944" s="5"/>
      <c r="D944" s="12"/>
      <c r="G944" s="19"/>
    </row>
    <row r="945" spans="1:7" x14ac:dyDescent="0.2">
      <c r="A945" s="25"/>
      <c r="B945" s="26"/>
      <c r="C945" s="5"/>
      <c r="D945" s="12"/>
      <c r="G945" s="19"/>
    </row>
    <row r="946" spans="1:7" x14ac:dyDescent="0.2">
      <c r="A946" s="25"/>
      <c r="B946" s="26"/>
      <c r="C946" s="5"/>
      <c r="D946" s="12"/>
      <c r="G946" s="19"/>
    </row>
    <row r="947" spans="1:7" x14ac:dyDescent="0.2">
      <c r="A947" s="25"/>
      <c r="B947" s="26"/>
      <c r="C947" s="5"/>
      <c r="D947" s="12"/>
      <c r="G947" s="19"/>
    </row>
    <row r="948" spans="1:7" x14ac:dyDescent="0.2">
      <c r="A948" s="25"/>
      <c r="B948" s="26"/>
      <c r="C948" s="5"/>
      <c r="D948" s="12"/>
      <c r="G948" s="19"/>
    </row>
    <row r="949" spans="1:7" x14ac:dyDescent="0.2">
      <c r="A949" s="25"/>
      <c r="B949" s="26"/>
      <c r="C949" s="5"/>
      <c r="D949" s="12"/>
      <c r="G949" s="19"/>
    </row>
    <row r="950" spans="1:7" x14ac:dyDescent="0.2">
      <c r="A950" s="25"/>
      <c r="B950" s="26"/>
      <c r="C950" s="5"/>
      <c r="D950" s="12"/>
      <c r="G950" s="19"/>
    </row>
    <row r="951" spans="1:7" x14ac:dyDescent="0.2">
      <c r="A951" s="25"/>
      <c r="B951" s="26"/>
      <c r="C951" s="5"/>
      <c r="D951" s="12"/>
      <c r="G951" s="19"/>
    </row>
    <row r="952" spans="1:7" x14ac:dyDescent="0.2">
      <c r="A952" s="25"/>
      <c r="B952" s="26"/>
      <c r="C952" s="5"/>
      <c r="D952" s="12"/>
      <c r="G952" s="19"/>
    </row>
    <row r="953" spans="1:7" x14ac:dyDescent="0.2">
      <c r="A953" s="25"/>
      <c r="B953" s="26"/>
      <c r="C953" s="5"/>
      <c r="D953" s="12"/>
      <c r="G953" s="19"/>
    </row>
    <row r="954" spans="1:7" x14ac:dyDescent="0.2">
      <c r="A954" s="25"/>
      <c r="B954" s="26"/>
      <c r="C954" s="5"/>
      <c r="D954" s="12"/>
      <c r="G954" s="19"/>
    </row>
    <row r="955" spans="1:7" x14ac:dyDescent="0.2">
      <c r="A955" s="25"/>
      <c r="B955" s="26"/>
      <c r="C955" s="5"/>
      <c r="D955" s="12"/>
      <c r="G955" s="19"/>
    </row>
    <row r="956" spans="1:7" x14ac:dyDescent="0.2">
      <c r="A956" s="25"/>
      <c r="B956" s="26"/>
      <c r="C956" s="5"/>
      <c r="D956" s="12"/>
      <c r="G956" s="19"/>
    </row>
    <row r="957" spans="1:7" x14ac:dyDescent="0.2">
      <c r="A957" s="25"/>
      <c r="B957" s="26"/>
      <c r="C957" s="5"/>
      <c r="D957" s="12"/>
      <c r="G957" s="19"/>
    </row>
    <row r="958" spans="1:7" x14ac:dyDescent="0.2">
      <c r="A958" s="25"/>
      <c r="B958" s="26"/>
      <c r="C958" s="5"/>
      <c r="D958" s="12"/>
      <c r="G958" s="19"/>
    </row>
    <row r="959" spans="1:7" x14ac:dyDescent="0.2">
      <c r="A959" s="25"/>
      <c r="B959" s="26"/>
      <c r="C959" s="5"/>
      <c r="D959" s="12"/>
      <c r="G959" s="19"/>
    </row>
    <row r="960" spans="1:7" x14ac:dyDescent="0.2">
      <c r="A960" s="25"/>
      <c r="B960" s="26"/>
      <c r="C960" s="5"/>
      <c r="D960" s="37"/>
      <c r="G960" s="19"/>
    </row>
    <row r="961" spans="1:7" x14ac:dyDescent="0.2">
      <c r="A961" s="25"/>
      <c r="B961" s="26"/>
      <c r="C961" s="5"/>
      <c r="D961" s="37"/>
      <c r="G961" s="19"/>
    </row>
    <row r="962" spans="1:7" x14ac:dyDescent="0.2">
      <c r="A962" s="25"/>
      <c r="B962" s="26"/>
      <c r="C962" s="5"/>
      <c r="D962" s="12"/>
      <c r="G962" s="19"/>
    </row>
    <row r="963" spans="1:7" x14ac:dyDescent="0.2">
      <c r="A963" s="25"/>
      <c r="B963" s="26"/>
      <c r="C963" s="5"/>
      <c r="D963" s="12"/>
      <c r="G963" s="19"/>
    </row>
    <row r="964" spans="1:7" x14ac:dyDescent="0.2">
      <c r="A964" s="25"/>
      <c r="B964" s="26"/>
      <c r="C964" s="5"/>
      <c r="D964" s="12"/>
      <c r="G964" s="19"/>
    </row>
    <row r="965" spans="1:7" x14ac:dyDescent="0.2">
      <c r="A965" s="25"/>
      <c r="B965" s="26"/>
      <c r="C965" s="5"/>
      <c r="D965" s="12"/>
      <c r="G965" s="19"/>
    </row>
    <row r="966" spans="1:7" x14ac:dyDescent="0.2">
      <c r="A966" s="25"/>
      <c r="B966" s="26"/>
      <c r="C966" s="5"/>
      <c r="D966" s="12"/>
      <c r="G966" s="19"/>
    </row>
    <row r="967" spans="1:7" x14ac:dyDescent="0.2">
      <c r="A967" s="25"/>
      <c r="B967" s="26"/>
      <c r="C967" s="5"/>
      <c r="D967" s="12"/>
      <c r="G967" s="19"/>
    </row>
    <row r="968" spans="1:7" x14ac:dyDescent="0.2">
      <c r="A968" s="25"/>
      <c r="B968" s="26"/>
      <c r="C968" s="5"/>
      <c r="D968" s="12"/>
      <c r="G968" s="19"/>
    </row>
    <row r="969" spans="1:7" x14ac:dyDescent="0.2">
      <c r="A969" s="25"/>
      <c r="B969" s="26"/>
      <c r="C969" s="5"/>
      <c r="D969" s="12"/>
      <c r="G969" s="19"/>
    </row>
    <row r="970" spans="1:7" x14ac:dyDescent="0.2">
      <c r="A970" s="25"/>
      <c r="B970" s="26"/>
      <c r="C970" s="5"/>
      <c r="D970" s="12"/>
      <c r="G970" s="19"/>
    </row>
    <row r="971" spans="1:7" x14ac:dyDescent="0.2">
      <c r="A971" s="25"/>
      <c r="B971" s="26"/>
      <c r="C971" s="5"/>
      <c r="D971" s="12"/>
      <c r="G971" s="19"/>
    </row>
    <row r="972" spans="1:7" x14ac:dyDescent="0.2">
      <c r="A972" s="25"/>
      <c r="B972" s="26"/>
      <c r="C972" s="26"/>
      <c r="D972" s="12"/>
      <c r="G972" s="19"/>
    </row>
    <row r="973" spans="1:7" x14ac:dyDescent="0.2">
      <c r="A973" s="25"/>
      <c r="B973" s="26"/>
      <c r="C973" s="26"/>
      <c r="D973" s="12"/>
      <c r="G973" s="19"/>
    </row>
    <row r="974" spans="1:7" x14ac:dyDescent="0.2">
      <c r="A974" s="25"/>
      <c r="B974" s="26"/>
      <c r="C974" s="26"/>
      <c r="D974" s="12"/>
      <c r="G974" s="19"/>
    </row>
    <row r="975" spans="1:7" x14ac:dyDescent="0.2">
      <c r="A975" s="25"/>
      <c r="B975" s="26"/>
      <c r="C975" s="26"/>
      <c r="D975" s="12"/>
      <c r="G975" s="19"/>
    </row>
    <row r="976" spans="1:7" x14ac:dyDescent="0.2">
      <c r="A976" s="25"/>
      <c r="B976" s="26"/>
      <c r="C976" s="26"/>
      <c r="G976" s="19"/>
    </row>
    <row r="977" spans="1:7" x14ac:dyDescent="0.2">
      <c r="A977" s="25"/>
      <c r="B977" s="26"/>
      <c r="C977" s="26"/>
      <c r="G977" s="19"/>
    </row>
    <row r="978" spans="1:7" x14ac:dyDescent="0.2">
      <c r="A978" s="25"/>
      <c r="B978" s="26"/>
      <c r="C978" s="26"/>
      <c r="D978" s="12"/>
      <c r="G978" s="19"/>
    </row>
    <row r="979" spans="1:7" x14ac:dyDescent="0.2">
      <c r="A979" s="25"/>
      <c r="B979" s="26"/>
      <c r="C979" s="5"/>
      <c r="D979" s="12"/>
      <c r="G979" s="19"/>
    </row>
    <row r="980" spans="1:7" x14ac:dyDescent="0.2">
      <c r="A980" s="25"/>
      <c r="B980" s="26"/>
      <c r="C980" s="5"/>
      <c r="D980" s="12"/>
      <c r="G980" s="19"/>
    </row>
    <row r="981" spans="1:7" x14ac:dyDescent="0.2">
      <c r="A981" s="25"/>
      <c r="B981" s="26"/>
      <c r="C981" s="5"/>
      <c r="D981" s="12"/>
      <c r="G981" s="19"/>
    </row>
    <row r="982" spans="1:7" x14ac:dyDescent="0.2">
      <c r="A982" s="25"/>
      <c r="B982" s="26"/>
      <c r="C982" s="5"/>
      <c r="D982" s="12"/>
      <c r="G982" s="19"/>
    </row>
    <row r="983" spans="1:7" x14ac:dyDescent="0.2">
      <c r="A983" s="25"/>
      <c r="B983" s="26"/>
      <c r="C983" s="5"/>
      <c r="D983" s="12"/>
      <c r="G983" s="19"/>
    </row>
    <row r="984" spans="1:7" x14ac:dyDescent="0.2">
      <c r="A984" s="25"/>
      <c r="B984" s="26"/>
      <c r="C984" s="5"/>
      <c r="D984" s="12"/>
      <c r="G984" s="19"/>
    </row>
    <row r="985" spans="1:7" x14ac:dyDescent="0.2">
      <c r="A985" s="25"/>
      <c r="B985" s="26"/>
      <c r="C985" s="5"/>
      <c r="D985" s="12"/>
      <c r="G985" s="19"/>
    </row>
    <row r="986" spans="1:7" x14ac:dyDescent="0.2">
      <c r="A986" s="25"/>
      <c r="B986" s="26"/>
      <c r="C986" s="5"/>
      <c r="D986" s="12"/>
      <c r="G986" s="19"/>
    </row>
    <row r="987" spans="1:7" x14ac:dyDescent="0.2">
      <c r="A987" s="25"/>
      <c r="B987" s="26"/>
      <c r="C987" s="5"/>
      <c r="D987" s="12"/>
      <c r="G987" s="19"/>
    </row>
    <row r="988" spans="1:7" x14ac:dyDescent="0.2">
      <c r="A988" s="25"/>
      <c r="B988" s="26"/>
      <c r="C988" s="5"/>
      <c r="D988" s="12"/>
      <c r="G988" s="19"/>
    </row>
    <row r="989" spans="1:7" x14ac:dyDescent="0.2">
      <c r="A989" s="25"/>
      <c r="B989" s="26"/>
      <c r="C989" s="5"/>
      <c r="D989" s="12"/>
      <c r="G989" s="19"/>
    </row>
    <row r="990" spans="1:7" x14ac:dyDescent="0.2">
      <c r="A990" s="25"/>
      <c r="B990" s="26"/>
      <c r="C990" s="5"/>
      <c r="G990" s="19"/>
    </row>
    <row r="991" spans="1:7" x14ac:dyDescent="0.2">
      <c r="A991" s="25"/>
      <c r="B991" s="26"/>
      <c r="C991" s="5"/>
      <c r="D991" s="12"/>
      <c r="G991" s="19"/>
    </row>
    <row r="992" spans="1:7" x14ac:dyDescent="0.2">
      <c r="A992" s="25"/>
      <c r="B992" s="26"/>
      <c r="C992" s="5"/>
      <c r="D992" s="12"/>
      <c r="G992" s="19"/>
    </row>
    <row r="993" spans="1:7" x14ac:dyDescent="0.2">
      <c r="A993" s="25"/>
      <c r="B993" s="26"/>
      <c r="C993" s="5"/>
      <c r="D993" s="12"/>
      <c r="G993" s="19"/>
    </row>
    <row r="994" spans="1:7" x14ac:dyDescent="0.2">
      <c r="A994" s="25"/>
      <c r="B994" s="26"/>
      <c r="C994" s="5"/>
      <c r="D994" s="12"/>
      <c r="G994" s="19"/>
    </row>
    <row r="995" spans="1:7" x14ac:dyDescent="0.2">
      <c r="A995" s="25"/>
      <c r="B995" s="26"/>
      <c r="C995" s="5"/>
      <c r="D995" s="12"/>
      <c r="G995" s="19"/>
    </row>
    <row r="996" spans="1:7" x14ac:dyDescent="0.2">
      <c r="A996" s="25"/>
      <c r="B996" s="26"/>
      <c r="C996" s="5"/>
      <c r="D996" s="12"/>
      <c r="G996" s="19"/>
    </row>
    <row r="997" spans="1:7" x14ac:dyDescent="0.2">
      <c r="A997" s="25"/>
      <c r="B997" s="26"/>
      <c r="C997" s="5"/>
      <c r="D997" s="12"/>
      <c r="G997" s="19"/>
    </row>
    <row r="998" spans="1:7" x14ac:dyDescent="0.2">
      <c r="A998" s="25"/>
      <c r="B998" s="26"/>
      <c r="C998" s="5"/>
      <c r="D998" s="12"/>
      <c r="G998" s="19"/>
    </row>
    <row r="999" spans="1:7" x14ac:dyDescent="0.2">
      <c r="A999" s="25"/>
      <c r="B999" s="26"/>
      <c r="C999" s="5"/>
      <c r="D999" s="12"/>
      <c r="G999" s="19"/>
    </row>
    <row r="1000" spans="1:7" x14ac:dyDescent="0.2">
      <c r="A1000" s="25"/>
      <c r="B1000" s="26"/>
      <c r="C1000" s="5"/>
      <c r="D1000" s="12"/>
      <c r="G1000" s="19"/>
    </row>
    <row r="1001" spans="1:7" x14ac:dyDescent="0.2">
      <c r="A1001" s="50"/>
      <c r="B1001" s="51"/>
      <c r="C1001" s="49"/>
      <c r="D1001" s="57"/>
      <c r="E1001" s="53"/>
      <c r="G1001" s="60"/>
    </row>
    <row r="1002" spans="1:7" x14ac:dyDescent="0.2">
      <c r="A1002" s="50"/>
      <c r="B1002" s="51"/>
      <c r="C1002" s="49"/>
      <c r="D1002" s="57"/>
      <c r="E1002" s="53"/>
      <c r="G1002" s="60"/>
    </row>
    <row r="1003" spans="1:7" x14ac:dyDescent="0.2">
      <c r="A1003" s="50"/>
      <c r="B1003" s="51"/>
      <c r="C1003" s="49"/>
      <c r="D1003" s="57"/>
      <c r="E1003" s="53"/>
      <c r="G1003" s="60"/>
    </row>
    <row r="1004" spans="1:7" x14ac:dyDescent="0.2">
      <c r="A1004" s="50"/>
      <c r="B1004" s="51"/>
      <c r="C1004" s="49"/>
      <c r="D1004" s="57"/>
      <c r="E1004" s="53"/>
      <c r="G1004" s="60"/>
    </row>
    <row r="1005" spans="1:7" x14ac:dyDescent="0.2">
      <c r="A1005" s="50"/>
      <c r="B1005" s="51"/>
      <c r="C1005" s="49"/>
      <c r="D1005" s="57"/>
      <c r="E1005" s="53"/>
      <c r="G1005" s="60"/>
    </row>
    <row r="1006" spans="1:7" x14ac:dyDescent="0.2">
      <c r="A1006" s="50"/>
      <c r="B1006" s="51"/>
      <c r="C1006" s="49"/>
      <c r="D1006" s="57"/>
      <c r="E1006" s="53"/>
      <c r="G1006" s="60"/>
    </row>
    <row r="1007" spans="1:7" x14ac:dyDescent="0.2">
      <c r="A1007" s="50"/>
      <c r="B1007" s="51"/>
      <c r="C1007" s="49"/>
      <c r="D1007" s="57"/>
      <c r="E1007" s="53"/>
      <c r="G1007" s="60"/>
    </row>
    <row r="1008" spans="1:7" x14ac:dyDescent="0.2">
      <c r="A1008" s="50"/>
      <c r="B1008" s="51"/>
      <c r="C1008" s="49"/>
      <c r="D1008" s="57"/>
      <c r="E1008" s="53"/>
      <c r="G1008" s="60"/>
    </row>
    <row r="1009" spans="1:7" x14ac:dyDescent="0.2">
      <c r="A1009" s="50"/>
      <c r="B1009" s="51"/>
      <c r="C1009" s="49"/>
      <c r="D1009" s="57"/>
      <c r="E1009" s="53"/>
      <c r="G1009" s="60"/>
    </row>
    <row r="1010" spans="1:7" x14ac:dyDescent="0.2">
      <c r="A1010" s="50"/>
      <c r="B1010" s="51"/>
      <c r="C1010" s="49"/>
      <c r="D1010" s="57"/>
      <c r="E1010" s="53"/>
      <c r="G1010" s="60"/>
    </row>
    <row r="1011" spans="1:7" x14ac:dyDescent="0.2">
      <c r="A1011" s="50"/>
      <c r="B1011" s="51"/>
      <c r="C1011" s="49"/>
      <c r="D1011" s="58"/>
      <c r="E1011" s="53"/>
      <c r="G1011" s="60"/>
    </row>
    <row r="1012" spans="1:7" x14ac:dyDescent="0.2">
      <c r="A1012" s="50"/>
      <c r="B1012" s="51"/>
      <c r="C1012" s="49"/>
      <c r="D1012" s="58"/>
      <c r="E1012" s="53"/>
      <c r="G1012" s="60"/>
    </row>
    <row r="1013" spans="1:7" x14ac:dyDescent="0.2">
      <c r="A1013" s="50"/>
      <c r="B1013" s="51"/>
      <c r="C1013" s="49"/>
      <c r="D1013" s="57"/>
      <c r="E1013" s="53"/>
      <c r="G1013" s="60"/>
    </row>
    <row r="1014" spans="1:7" x14ac:dyDescent="0.2">
      <c r="A1014" s="67"/>
      <c r="B1014" s="61"/>
      <c r="C1014" s="53"/>
      <c r="D1014" s="58"/>
      <c r="E1014" s="53"/>
      <c r="G1014" s="69"/>
    </row>
    <row r="1015" spans="1:7" x14ac:dyDescent="0.2">
      <c r="A1015" s="50"/>
      <c r="B1015" s="51"/>
      <c r="C1015" s="49"/>
      <c r="D1015" s="57"/>
      <c r="E1015" s="53"/>
      <c r="G1015" s="60"/>
    </row>
    <row r="1016" spans="1:7" x14ac:dyDescent="0.2">
      <c r="A1016" s="50"/>
      <c r="B1016" s="51"/>
      <c r="C1016" s="49"/>
      <c r="D1016" s="57"/>
      <c r="E1016" s="53"/>
      <c r="G1016" s="60"/>
    </row>
    <row r="1017" spans="1:7" x14ac:dyDescent="0.2">
      <c r="A1017" s="50"/>
      <c r="B1017" s="51"/>
      <c r="C1017" s="49"/>
      <c r="D1017" s="57"/>
      <c r="E1017" s="53"/>
      <c r="G1017" s="60"/>
    </row>
    <row r="1018" spans="1:7" x14ac:dyDescent="0.2">
      <c r="A1018" s="50"/>
      <c r="B1018" s="51"/>
      <c r="C1018" s="49"/>
      <c r="D1018" s="57"/>
      <c r="E1018" s="53"/>
      <c r="G1018" s="60"/>
    </row>
    <row r="1019" spans="1:7" x14ac:dyDescent="0.2">
      <c r="A1019" s="50"/>
      <c r="B1019" s="51"/>
      <c r="C1019" s="49"/>
      <c r="D1019" s="58"/>
      <c r="E1019" s="53"/>
      <c r="G1019" s="60"/>
    </row>
    <row r="1020" spans="1:7" x14ac:dyDescent="0.2">
      <c r="A1020" s="50"/>
      <c r="B1020" s="51"/>
      <c r="C1020" s="49"/>
      <c r="D1020" s="57"/>
      <c r="E1020" s="53"/>
      <c r="G1020" s="60"/>
    </row>
    <row r="1021" spans="1:7" x14ac:dyDescent="0.2">
      <c r="A1021" s="50"/>
      <c r="B1021" s="51"/>
      <c r="C1021" s="49"/>
      <c r="D1021" s="58"/>
      <c r="E1021" s="53"/>
      <c r="G1021" s="60"/>
    </row>
    <row r="1022" spans="1:7" x14ac:dyDescent="0.2">
      <c r="A1022" s="50"/>
      <c r="B1022" s="51"/>
      <c r="C1022" s="49"/>
      <c r="D1022" s="57"/>
      <c r="E1022" s="53"/>
      <c r="G1022" s="60"/>
    </row>
    <row r="1023" spans="1:7" x14ac:dyDescent="0.2">
      <c r="A1023" s="50"/>
      <c r="B1023" s="51"/>
      <c r="C1023" s="49"/>
      <c r="D1023" s="57"/>
      <c r="E1023" s="53"/>
      <c r="G1023" s="60"/>
    </row>
    <row r="1024" spans="1:7" x14ac:dyDescent="0.2">
      <c r="A1024" s="50"/>
      <c r="B1024" s="51"/>
      <c r="C1024" s="49"/>
      <c r="D1024" s="58"/>
      <c r="E1024" s="53"/>
      <c r="G1024" s="60"/>
    </row>
    <row r="1025" spans="1:7" x14ac:dyDescent="0.2">
      <c r="A1025" s="50"/>
      <c r="B1025" s="51"/>
      <c r="C1025" s="49"/>
      <c r="D1025" s="57"/>
      <c r="E1025" s="53"/>
      <c r="G1025" s="60"/>
    </row>
    <row r="1026" spans="1:7" x14ac:dyDescent="0.2">
      <c r="A1026" s="50"/>
      <c r="B1026" s="51"/>
      <c r="C1026" s="49"/>
      <c r="D1026" s="57"/>
      <c r="E1026" s="53"/>
      <c r="G1026" s="60"/>
    </row>
    <row r="1027" spans="1:7" x14ac:dyDescent="0.2">
      <c r="A1027" s="50"/>
      <c r="B1027" s="51"/>
      <c r="C1027" s="49"/>
      <c r="D1027" s="57"/>
      <c r="E1027" s="53"/>
      <c r="G1027" s="60"/>
    </row>
    <row r="1028" spans="1:7" x14ac:dyDescent="0.2">
      <c r="A1028" s="50"/>
      <c r="B1028" s="51"/>
      <c r="C1028" s="49"/>
      <c r="D1028" s="57"/>
      <c r="E1028" s="53"/>
      <c r="G1028" s="60"/>
    </row>
    <row r="1029" spans="1:7" x14ac:dyDescent="0.2">
      <c r="A1029" s="50"/>
      <c r="B1029" s="51"/>
      <c r="C1029" s="49"/>
      <c r="D1029" s="58"/>
      <c r="E1029" s="53"/>
      <c r="G1029" s="60"/>
    </row>
    <row r="1030" spans="1:7" x14ac:dyDescent="0.2">
      <c r="A1030" s="50"/>
      <c r="B1030" s="51"/>
      <c r="C1030" s="49"/>
      <c r="D1030" s="58"/>
      <c r="E1030" s="53"/>
      <c r="G1030" s="60"/>
    </row>
    <row r="1031" spans="1:7" x14ac:dyDescent="0.2">
      <c r="A1031" s="50"/>
      <c r="B1031" s="51"/>
      <c r="C1031" s="49"/>
      <c r="D1031" s="58"/>
      <c r="E1031" s="53"/>
      <c r="G1031" s="60"/>
    </row>
    <row r="1032" spans="1:7" x14ac:dyDescent="0.2">
      <c r="A1032" s="50"/>
      <c r="B1032" s="51"/>
      <c r="C1032" s="49"/>
      <c r="D1032" s="57"/>
      <c r="E1032" s="53"/>
      <c r="G1032" s="60"/>
    </row>
    <row r="1033" spans="1:7" x14ac:dyDescent="0.2">
      <c r="A1033" s="50"/>
      <c r="B1033" s="51"/>
      <c r="C1033" s="49"/>
      <c r="D1033" s="57"/>
      <c r="E1033" s="53"/>
      <c r="G1033" s="60"/>
    </row>
    <row r="1034" spans="1:7" x14ac:dyDescent="0.2">
      <c r="A1034" s="50"/>
      <c r="B1034" s="51"/>
      <c r="C1034" s="49"/>
      <c r="D1034" s="57"/>
      <c r="E1034" s="53"/>
      <c r="G1034" s="60"/>
    </row>
    <row r="1035" spans="1:7" x14ac:dyDescent="0.2">
      <c r="A1035" s="50"/>
      <c r="B1035" s="51"/>
      <c r="C1035" s="49"/>
      <c r="D1035" s="57"/>
      <c r="E1035" s="53"/>
      <c r="G1035" s="60"/>
    </row>
    <row r="1036" spans="1:7" x14ac:dyDescent="0.2">
      <c r="A1036" s="50"/>
      <c r="B1036" s="51"/>
      <c r="C1036" s="49"/>
      <c r="D1036" s="57"/>
      <c r="E1036" s="53"/>
      <c r="G1036" s="60"/>
    </row>
    <row r="1037" spans="1:7" x14ac:dyDescent="0.2">
      <c r="A1037" s="50"/>
      <c r="B1037" s="51"/>
      <c r="C1037" s="49"/>
      <c r="D1037" s="57"/>
      <c r="E1037" s="53"/>
      <c r="G1037" s="60"/>
    </row>
    <row r="1038" spans="1:7" x14ac:dyDescent="0.2">
      <c r="A1038" s="50"/>
      <c r="B1038" s="51"/>
      <c r="C1038" s="49"/>
      <c r="D1038" s="58"/>
      <c r="E1038" s="53"/>
      <c r="G1038" s="60"/>
    </row>
    <row r="1039" spans="1:7" x14ac:dyDescent="0.2">
      <c r="A1039" s="50"/>
      <c r="B1039" s="51"/>
      <c r="C1039" s="49"/>
      <c r="D1039" s="57"/>
      <c r="E1039" s="53"/>
      <c r="G1039" s="60"/>
    </row>
    <row r="1040" spans="1:7" x14ac:dyDescent="0.2">
      <c r="A1040" s="50"/>
      <c r="B1040" s="51"/>
      <c r="C1040" s="49"/>
      <c r="D1040" s="57"/>
      <c r="E1040" s="53"/>
      <c r="G1040" s="60"/>
    </row>
    <row r="1041" spans="1:7" x14ac:dyDescent="0.2">
      <c r="A1041" s="50"/>
      <c r="B1041" s="51"/>
      <c r="C1041" s="49"/>
      <c r="D1041" s="57"/>
      <c r="E1041" s="53"/>
      <c r="G1041" s="60"/>
    </row>
    <row r="1042" spans="1:7" x14ac:dyDescent="0.2">
      <c r="A1042" s="50"/>
      <c r="B1042" s="51"/>
      <c r="C1042" s="49"/>
      <c r="D1042" s="57"/>
      <c r="E1042" s="53"/>
      <c r="G1042" s="60"/>
    </row>
    <row r="1043" spans="1:7" x14ac:dyDescent="0.2">
      <c r="A1043" s="50"/>
      <c r="B1043" s="51"/>
      <c r="C1043" s="49"/>
      <c r="D1043" s="57"/>
      <c r="E1043" s="53"/>
      <c r="G1043" s="60"/>
    </row>
    <row r="1044" spans="1:7" x14ac:dyDescent="0.2">
      <c r="A1044" s="50"/>
      <c r="B1044" s="51"/>
      <c r="C1044" s="49"/>
      <c r="D1044" s="57"/>
      <c r="E1044" s="53"/>
      <c r="G1044" s="60"/>
    </row>
    <row r="1045" spans="1:7" x14ac:dyDescent="0.2">
      <c r="A1045" s="50"/>
      <c r="B1045" s="51"/>
      <c r="C1045" s="49"/>
      <c r="D1045" s="57"/>
      <c r="E1045" s="53"/>
      <c r="G1045" s="60"/>
    </row>
    <row r="1046" spans="1:7" x14ac:dyDescent="0.2">
      <c r="A1046" s="50"/>
      <c r="B1046" s="51"/>
      <c r="C1046" s="49"/>
      <c r="D1046" s="57"/>
      <c r="E1046" s="53"/>
      <c r="G1046" s="60"/>
    </row>
    <row r="1047" spans="1:7" x14ac:dyDescent="0.2">
      <c r="A1047" s="50"/>
      <c r="B1047" s="51"/>
      <c r="C1047" s="49"/>
      <c r="D1047" s="57"/>
      <c r="E1047" s="53"/>
      <c r="G1047" s="60"/>
    </row>
    <row r="1048" spans="1:7" x14ac:dyDescent="0.2">
      <c r="A1048" s="50"/>
      <c r="B1048" s="51"/>
      <c r="C1048" s="49"/>
      <c r="D1048" s="57"/>
      <c r="E1048" s="53"/>
      <c r="G1048" s="60"/>
    </row>
    <row r="1049" spans="1:7" x14ac:dyDescent="0.2">
      <c r="A1049" s="50"/>
      <c r="B1049" s="51"/>
      <c r="C1049" s="49"/>
      <c r="D1049" s="57"/>
      <c r="E1049" s="53"/>
      <c r="G1049" s="60"/>
    </row>
    <row r="1050" spans="1:7" x14ac:dyDescent="0.2">
      <c r="A1050" s="50"/>
      <c r="B1050" s="51"/>
      <c r="C1050" s="49"/>
      <c r="D1050" s="57"/>
      <c r="E1050" s="53"/>
      <c r="G1050" s="60"/>
    </row>
    <row r="1051" spans="1:7" x14ac:dyDescent="0.2">
      <c r="A1051" s="50"/>
      <c r="B1051" s="51"/>
      <c r="C1051" s="49"/>
      <c r="D1051" s="57"/>
      <c r="E1051" s="53"/>
      <c r="G1051" s="60"/>
    </row>
    <row r="1052" spans="1:7" x14ac:dyDescent="0.2">
      <c r="A1052" s="50"/>
      <c r="B1052" s="51"/>
      <c r="C1052" s="49"/>
      <c r="D1052" s="57"/>
      <c r="E1052" s="53"/>
      <c r="G1052" s="60"/>
    </row>
    <row r="1053" spans="1:7" x14ac:dyDescent="0.2">
      <c r="A1053" s="50"/>
      <c r="B1053" s="51"/>
      <c r="C1053" s="49"/>
      <c r="D1053" s="57"/>
      <c r="E1053" s="53"/>
      <c r="G1053" s="60"/>
    </row>
    <row r="1054" spans="1:7" x14ac:dyDescent="0.2">
      <c r="A1054" s="50"/>
      <c r="B1054" s="51"/>
      <c r="C1054" s="49"/>
      <c r="D1054" s="57"/>
      <c r="E1054" s="53"/>
      <c r="G1054" s="60"/>
    </row>
    <row r="1055" spans="1:7" x14ac:dyDescent="0.2">
      <c r="A1055" s="50"/>
      <c r="B1055" s="51"/>
      <c r="C1055" s="49"/>
      <c r="D1055" s="57"/>
      <c r="E1055" s="53"/>
      <c r="G1055" s="60"/>
    </row>
    <row r="1056" spans="1:7" x14ac:dyDescent="0.2">
      <c r="A1056" s="50"/>
      <c r="B1056" s="51"/>
      <c r="C1056" s="49"/>
      <c r="D1056" s="57"/>
      <c r="E1056" s="53"/>
      <c r="G1056" s="60"/>
    </row>
    <row r="1057" spans="1:7" x14ac:dyDescent="0.2">
      <c r="A1057" s="50"/>
      <c r="B1057" s="51"/>
      <c r="C1057" s="49"/>
      <c r="D1057" s="57"/>
      <c r="E1057" s="53"/>
      <c r="G1057" s="60"/>
    </row>
    <row r="1058" spans="1:7" x14ac:dyDescent="0.2">
      <c r="A1058" s="50"/>
      <c r="B1058" s="51"/>
      <c r="C1058" s="49"/>
      <c r="D1058" s="57"/>
      <c r="E1058" s="53"/>
      <c r="G1058" s="60"/>
    </row>
    <row r="1059" spans="1:7" x14ac:dyDescent="0.2">
      <c r="A1059" s="50"/>
      <c r="B1059" s="51"/>
      <c r="C1059" s="49"/>
      <c r="D1059" s="57"/>
      <c r="E1059" s="53"/>
      <c r="G1059" s="60"/>
    </row>
    <row r="1060" spans="1:7" x14ac:dyDescent="0.2">
      <c r="A1060" s="50"/>
      <c r="B1060" s="51"/>
      <c r="C1060" s="49"/>
      <c r="D1060" s="57"/>
      <c r="E1060" s="53"/>
      <c r="G1060" s="60"/>
    </row>
    <row r="1061" spans="1:7" x14ac:dyDescent="0.2">
      <c r="A1061" s="50"/>
      <c r="B1061" s="51"/>
      <c r="C1061" s="49"/>
      <c r="D1061" s="57"/>
      <c r="E1061" s="53"/>
      <c r="G1061" s="60"/>
    </row>
    <row r="1062" spans="1:7" x14ac:dyDescent="0.2">
      <c r="A1062" s="50"/>
      <c r="B1062" s="51"/>
      <c r="C1062" s="49"/>
      <c r="D1062" s="57"/>
      <c r="E1062" s="53"/>
      <c r="G1062" s="60"/>
    </row>
    <row r="1063" spans="1:7" x14ac:dyDescent="0.2">
      <c r="A1063" s="50"/>
      <c r="B1063" s="51"/>
      <c r="C1063" s="49"/>
      <c r="D1063" s="57"/>
      <c r="E1063" s="53"/>
      <c r="G1063" s="60"/>
    </row>
    <row r="1064" spans="1:7" x14ac:dyDescent="0.2">
      <c r="A1064" s="50"/>
      <c r="B1064" s="51"/>
      <c r="C1064" s="49"/>
      <c r="D1064" s="57"/>
      <c r="E1064" s="53"/>
      <c r="G1064" s="60"/>
    </row>
    <row r="1065" spans="1:7" x14ac:dyDescent="0.2">
      <c r="A1065" s="50"/>
      <c r="B1065" s="51"/>
      <c r="C1065" s="49"/>
      <c r="D1065" s="57"/>
      <c r="E1065" s="53"/>
      <c r="G1065" s="60"/>
    </row>
    <row r="1066" spans="1:7" x14ac:dyDescent="0.2">
      <c r="A1066" s="50"/>
      <c r="B1066" s="51"/>
      <c r="C1066" s="49"/>
      <c r="D1066" s="57"/>
      <c r="E1066" s="53"/>
      <c r="G1066" s="60"/>
    </row>
    <row r="1067" spans="1:7" x14ac:dyDescent="0.2">
      <c r="A1067" s="50"/>
      <c r="B1067" s="51"/>
      <c r="C1067" s="49"/>
      <c r="D1067" s="57"/>
      <c r="E1067" s="53"/>
      <c r="G1067" s="60"/>
    </row>
    <row r="1068" spans="1:7" x14ac:dyDescent="0.2">
      <c r="A1068" s="50"/>
      <c r="B1068" s="51"/>
      <c r="C1068" s="49"/>
      <c r="D1068" s="57"/>
      <c r="E1068" s="53"/>
      <c r="G1068" s="60"/>
    </row>
    <row r="1069" spans="1:7" x14ac:dyDescent="0.2">
      <c r="A1069" s="50"/>
      <c r="B1069" s="51"/>
      <c r="C1069" s="49"/>
      <c r="D1069" s="57"/>
      <c r="E1069" s="53"/>
      <c r="G1069" s="60"/>
    </row>
    <row r="1070" spans="1:7" x14ac:dyDescent="0.2">
      <c r="A1070" s="50"/>
      <c r="B1070" s="51"/>
      <c r="C1070" s="49"/>
      <c r="D1070" s="57"/>
      <c r="E1070" s="53"/>
      <c r="G1070" s="60"/>
    </row>
    <row r="1071" spans="1:7" x14ac:dyDescent="0.2">
      <c r="A1071" s="50"/>
      <c r="B1071" s="51"/>
      <c r="C1071" s="49"/>
      <c r="D1071" s="58"/>
      <c r="E1071" s="53"/>
      <c r="G1071" s="60"/>
    </row>
    <row r="1072" spans="1:7" x14ac:dyDescent="0.2">
      <c r="A1072" s="50"/>
      <c r="B1072" s="51"/>
      <c r="C1072" s="49"/>
      <c r="D1072" s="57"/>
      <c r="E1072" s="53"/>
      <c r="G1072" s="60"/>
    </row>
    <row r="1073" spans="1:7" x14ac:dyDescent="0.2">
      <c r="A1073" s="50"/>
      <c r="B1073" s="51"/>
      <c r="C1073" s="49"/>
      <c r="D1073" s="57"/>
      <c r="E1073" s="53"/>
      <c r="G1073" s="60"/>
    </row>
    <row r="1074" spans="1:7" x14ac:dyDescent="0.2">
      <c r="A1074" s="50"/>
      <c r="B1074" s="51"/>
      <c r="C1074" s="49"/>
      <c r="D1074" s="57"/>
      <c r="E1074" s="53"/>
      <c r="G1074" s="60"/>
    </row>
    <row r="1075" spans="1:7" x14ac:dyDescent="0.2">
      <c r="A1075" s="50"/>
      <c r="B1075" s="51"/>
      <c r="C1075" s="49"/>
      <c r="D1075" s="57"/>
      <c r="E1075" s="53"/>
      <c r="G1075" s="60"/>
    </row>
    <row r="1076" spans="1:7" x14ac:dyDescent="0.2">
      <c r="A1076" s="50"/>
      <c r="B1076" s="51"/>
      <c r="C1076" s="49"/>
      <c r="D1076" s="58"/>
      <c r="E1076" s="53"/>
      <c r="G1076" s="60"/>
    </row>
    <row r="1077" spans="1:7" x14ac:dyDescent="0.2">
      <c r="A1077" s="50"/>
      <c r="B1077" s="51"/>
      <c r="C1077" s="49"/>
      <c r="D1077" s="57"/>
      <c r="E1077" s="53"/>
      <c r="G1077" s="60"/>
    </row>
    <row r="1078" spans="1:7" x14ac:dyDescent="0.2">
      <c r="A1078" s="50"/>
      <c r="B1078" s="51"/>
      <c r="C1078" s="49"/>
      <c r="D1078" s="57"/>
      <c r="E1078" s="53"/>
      <c r="G1078" s="60"/>
    </row>
    <row r="1079" spans="1:7" x14ac:dyDescent="0.2">
      <c r="A1079" s="50"/>
      <c r="B1079" s="51"/>
      <c r="C1079" s="49"/>
      <c r="D1079" s="57"/>
      <c r="E1079" s="53"/>
      <c r="G1079" s="60"/>
    </row>
    <row r="1080" spans="1:7" x14ac:dyDescent="0.2">
      <c r="A1080" s="50"/>
      <c r="B1080" s="51"/>
      <c r="C1080" s="49"/>
      <c r="D1080" s="57"/>
      <c r="E1080" s="53"/>
      <c r="G1080" s="60"/>
    </row>
    <row r="1081" spans="1:7" x14ac:dyDescent="0.2">
      <c r="A1081" s="50"/>
      <c r="B1081" s="51"/>
      <c r="C1081" s="49"/>
      <c r="D1081" s="57"/>
      <c r="E1081" s="53"/>
      <c r="G1081" s="60"/>
    </row>
    <row r="1082" spans="1:7" x14ac:dyDescent="0.2">
      <c r="A1082" s="50"/>
      <c r="B1082" s="51"/>
      <c r="C1082" s="49"/>
      <c r="D1082" s="57"/>
      <c r="E1082" s="53"/>
      <c r="G1082" s="60"/>
    </row>
    <row r="1083" spans="1:7" x14ac:dyDescent="0.2">
      <c r="A1083" s="50"/>
      <c r="B1083" s="51"/>
      <c r="C1083" s="49"/>
      <c r="D1083" s="57"/>
      <c r="E1083" s="53"/>
      <c r="G1083" s="60"/>
    </row>
    <row r="1084" spans="1:7" x14ac:dyDescent="0.2">
      <c r="A1084" s="50"/>
      <c r="B1084" s="51"/>
      <c r="C1084" s="49"/>
      <c r="D1084" s="57"/>
      <c r="E1084" s="53"/>
      <c r="G1084" s="60"/>
    </row>
    <row r="1085" spans="1:7" x14ac:dyDescent="0.2">
      <c r="A1085" s="50"/>
      <c r="B1085" s="51"/>
      <c r="C1085" s="49"/>
      <c r="D1085" s="57"/>
      <c r="E1085" s="53"/>
      <c r="G1085" s="60"/>
    </row>
    <row r="1086" spans="1:7" x14ac:dyDescent="0.2">
      <c r="A1086" s="50"/>
      <c r="B1086" s="51"/>
      <c r="C1086" s="49"/>
      <c r="D1086" s="57"/>
      <c r="E1086" s="53"/>
      <c r="G1086" s="60"/>
    </row>
    <row r="1087" spans="1:7" x14ac:dyDescent="0.2">
      <c r="A1087" s="50"/>
      <c r="B1087" s="51"/>
      <c r="C1087" s="49"/>
      <c r="D1087" s="58"/>
      <c r="E1087" s="53"/>
      <c r="G1087" s="60"/>
    </row>
    <row r="1088" spans="1:7" x14ac:dyDescent="0.2">
      <c r="A1088" s="50"/>
      <c r="B1088" s="51"/>
      <c r="C1088" s="49"/>
      <c r="D1088" s="57"/>
      <c r="E1088" s="53"/>
      <c r="G1088" s="60"/>
    </row>
    <row r="1089" spans="1:7" x14ac:dyDescent="0.2">
      <c r="A1089" s="50"/>
      <c r="B1089" s="51"/>
      <c r="C1089" s="49"/>
      <c r="D1089" s="57"/>
      <c r="E1089" s="53"/>
      <c r="G1089" s="60"/>
    </row>
    <row r="1090" spans="1:7" x14ac:dyDescent="0.2">
      <c r="A1090" s="50"/>
      <c r="B1090" s="51"/>
      <c r="C1090" s="49"/>
      <c r="D1090" s="57"/>
      <c r="E1090" s="53"/>
      <c r="G1090" s="60"/>
    </row>
    <row r="1091" spans="1:7" x14ac:dyDescent="0.2">
      <c r="A1091" s="50"/>
      <c r="B1091" s="51"/>
      <c r="C1091" s="49"/>
      <c r="D1091" s="57"/>
      <c r="E1091" s="53"/>
      <c r="G1091" s="60"/>
    </row>
    <row r="1092" spans="1:7" x14ac:dyDescent="0.2">
      <c r="A1092" s="50"/>
      <c r="B1092" s="51"/>
      <c r="C1092" s="49"/>
      <c r="D1092" s="57"/>
      <c r="E1092" s="53"/>
      <c r="G1092" s="60"/>
    </row>
    <row r="1093" spans="1:7" x14ac:dyDescent="0.2">
      <c r="A1093" s="50"/>
      <c r="B1093" s="51"/>
      <c r="C1093" s="49"/>
      <c r="D1093" s="57"/>
      <c r="E1093" s="53"/>
      <c r="G1093" s="60"/>
    </row>
    <row r="1094" spans="1:7" x14ac:dyDescent="0.2">
      <c r="A1094" s="50"/>
      <c r="B1094" s="51"/>
      <c r="C1094" s="49"/>
      <c r="D1094" s="57"/>
      <c r="E1094" s="53"/>
      <c r="G1094" s="60"/>
    </row>
    <row r="1095" spans="1:7" x14ac:dyDescent="0.2">
      <c r="A1095" s="50"/>
      <c r="B1095" s="51"/>
      <c r="C1095" s="49"/>
      <c r="D1095" s="57"/>
      <c r="E1095" s="53"/>
      <c r="G1095" s="60"/>
    </row>
    <row r="1096" spans="1:7" x14ac:dyDescent="0.2">
      <c r="A1096" s="50"/>
      <c r="B1096" s="51"/>
      <c r="C1096" s="49"/>
      <c r="D1096" s="58"/>
      <c r="E1096" s="53"/>
      <c r="G1096" s="60"/>
    </row>
    <row r="1097" spans="1:7" x14ac:dyDescent="0.2">
      <c r="A1097" s="50"/>
      <c r="B1097" s="51"/>
      <c r="C1097" s="49"/>
      <c r="D1097" s="57"/>
      <c r="E1097" s="53"/>
      <c r="G1097" s="60"/>
    </row>
    <row r="1098" spans="1:7" x14ac:dyDescent="0.2">
      <c r="A1098" s="50"/>
      <c r="B1098" s="51"/>
      <c r="C1098" s="49"/>
      <c r="D1098" s="57"/>
      <c r="E1098" s="53"/>
      <c r="G1098" s="60"/>
    </row>
    <row r="1099" spans="1:7" x14ac:dyDescent="0.2">
      <c r="A1099" s="50"/>
      <c r="B1099" s="51"/>
      <c r="C1099" s="49"/>
      <c r="D1099" s="57"/>
      <c r="E1099" s="53"/>
      <c r="G1099" s="60"/>
    </row>
    <row r="1100" spans="1:7" x14ac:dyDescent="0.2">
      <c r="A1100" s="50"/>
      <c r="B1100" s="51"/>
      <c r="C1100" s="49"/>
      <c r="D1100" s="57"/>
      <c r="E1100" s="53"/>
      <c r="G1100" s="60"/>
    </row>
    <row r="1101" spans="1:7" x14ac:dyDescent="0.2">
      <c r="A1101" s="50"/>
      <c r="B1101" s="51"/>
      <c r="C1101" s="49"/>
      <c r="D1101" s="57"/>
      <c r="E1101" s="53"/>
      <c r="G1101" s="60"/>
    </row>
    <row r="1102" spans="1:7" x14ac:dyDescent="0.2">
      <c r="A1102" s="50"/>
      <c r="B1102" s="51"/>
      <c r="C1102" s="49"/>
      <c r="D1102" s="57"/>
      <c r="E1102" s="53"/>
      <c r="G1102" s="60"/>
    </row>
    <row r="1103" spans="1:7" x14ac:dyDescent="0.2">
      <c r="A1103" s="50"/>
      <c r="B1103" s="51"/>
      <c r="C1103" s="49"/>
      <c r="D1103" s="58"/>
      <c r="E1103" s="53"/>
      <c r="G1103" s="60"/>
    </row>
    <row r="1104" spans="1:7" x14ac:dyDescent="0.2">
      <c r="A1104" s="50"/>
      <c r="B1104" s="51"/>
      <c r="C1104" s="49"/>
      <c r="D1104" s="58"/>
      <c r="E1104" s="53"/>
      <c r="G1104" s="60"/>
    </row>
    <row r="1105" spans="1:7" x14ac:dyDescent="0.2">
      <c r="A1105" s="50"/>
      <c r="B1105" s="51"/>
      <c r="C1105" s="51"/>
      <c r="D1105" s="57"/>
      <c r="E1105" s="53"/>
      <c r="G1105" s="60"/>
    </row>
    <row r="1106" spans="1:7" x14ac:dyDescent="0.2">
      <c r="A1106" s="50"/>
      <c r="B1106" s="51"/>
      <c r="C1106" s="51"/>
      <c r="D1106" s="57"/>
      <c r="E1106" s="53"/>
      <c r="G1106" s="60"/>
    </row>
    <row r="1107" spans="1:7" x14ac:dyDescent="0.2">
      <c r="A1107" s="50"/>
      <c r="B1107" s="51"/>
      <c r="C1107" s="51"/>
      <c r="D1107" s="57"/>
      <c r="E1107" s="53"/>
      <c r="G1107" s="60"/>
    </row>
    <row r="1108" spans="1:7" x14ac:dyDescent="0.2">
      <c r="A1108" s="50"/>
      <c r="B1108" s="51"/>
      <c r="C1108" s="51"/>
      <c r="D1108" s="57"/>
      <c r="E1108" s="53"/>
      <c r="G1108" s="60"/>
    </row>
    <row r="1109" spans="1:7" x14ac:dyDescent="0.2">
      <c r="A1109" s="50"/>
      <c r="B1109" s="51"/>
      <c r="C1109" s="51"/>
      <c r="D1109" s="57"/>
      <c r="E1109" s="53"/>
      <c r="G1109" s="60"/>
    </row>
    <row r="1110" spans="1:7" x14ac:dyDescent="0.2">
      <c r="A1110" s="50"/>
      <c r="B1110" s="51"/>
      <c r="C1110" s="51"/>
      <c r="D1110" s="57"/>
      <c r="E1110" s="53"/>
      <c r="G1110" s="60"/>
    </row>
    <row r="1111" spans="1:7" x14ac:dyDescent="0.2">
      <c r="A1111" s="50"/>
      <c r="B1111" s="51"/>
      <c r="C1111" s="49"/>
      <c r="D1111" s="57"/>
      <c r="E1111" s="53"/>
      <c r="G1111" s="60"/>
    </row>
    <row r="1112" spans="1:7" x14ac:dyDescent="0.2">
      <c r="A1112" s="50"/>
      <c r="B1112" s="51"/>
      <c r="C1112" s="49"/>
      <c r="D1112" s="57"/>
      <c r="E1112" s="53"/>
      <c r="G1112" s="60"/>
    </row>
    <row r="1113" spans="1:7" x14ac:dyDescent="0.2">
      <c r="A1113" s="50"/>
      <c r="B1113" s="51"/>
      <c r="C1113" s="49"/>
      <c r="D1113" s="57"/>
      <c r="E1113" s="53"/>
      <c r="G1113" s="60"/>
    </row>
    <row r="1114" spans="1:7" x14ac:dyDescent="0.2">
      <c r="A1114" s="50"/>
      <c r="B1114" s="51"/>
      <c r="C1114" s="49"/>
      <c r="D1114" s="57"/>
      <c r="E1114" s="53"/>
      <c r="G1114" s="60"/>
    </row>
    <row r="1115" spans="1:7" x14ac:dyDescent="0.2">
      <c r="A1115" s="50"/>
      <c r="B1115" s="51"/>
      <c r="C1115" s="49"/>
      <c r="D1115" s="57"/>
      <c r="E1115" s="53"/>
      <c r="G1115" s="60"/>
    </row>
    <row r="1116" spans="1:7" x14ac:dyDescent="0.2">
      <c r="A1116" s="50"/>
      <c r="B1116" s="51"/>
      <c r="C1116" s="49"/>
      <c r="D1116" s="57"/>
      <c r="E1116" s="53"/>
      <c r="G1116" s="60"/>
    </row>
    <row r="1117" spans="1:7" x14ac:dyDescent="0.2">
      <c r="A1117" s="50"/>
      <c r="B1117" s="51"/>
      <c r="C1117" s="49"/>
      <c r="D1117" s="57"/>
      <c r="E1117" s="53"/>
      <c r="G1117" s="60"/>
    </row>
    <row r="1118" spans="1:7" x14ac:dyDescent="0.2">
      <c r="A1118" s="50"/>
      <c r="B1118" s="51"/>
      <c r="C1118" s="49"/>
      <c r="D1118" s="57"/>
      <c r="E1118" s="53"/>
      <c r="G1118" s="60"/>
    </row>
    <row r="1119" spans="1:7" x14ac:dyDescent="0.2">
      <c r="A1119" s="50"/>
      <c r="B1119" s="51"/>
      <c r="C1119" s="49"/>
      <c r="D1119" s="57"/>
      <c r="E1119" s="53"/>
      <c r="G1119" s="60"/>
    </row>
    <row r="1120" spans="1:7" x14ac:dyDescent="0.2">
      <c r="A1120" s="50"/>
      <c r="B1120" s="51"/>
      <c r="C1120" s="49"/>
      <c r="D1120" s="57"/>
      <c r="E1120" s="53"/>
      <c r="G1120" s="60"/>
    </row>
    <row r="1121" spans="1:7" x14ac:dyDescent="0.2">
      <c r="A1121" s="50"/>
      <c r="B1121" s="51"/>
      <c r="C1121" s="49"/>
      <c r="D1121" s="57"/>
      <c r="E1121" s="53"/>
      <c r="G1121" s="60"/>
    </row>
    <row r="1122" spans="1:7" x14ac:dyDescent="0.2">
      <c r="A1122" s="50"/>
      <c r="B1122" s="51"/>
      <c r="C1122" s="49"/>
      <c r="D1122" s="57"/>
      <c r="E1122" s="53"/>
      <c r="G1122" s="60"/>
    </row>
    <row r="1123" spans="1:7" x14ac:dyDescent="0.2">
      <c r="A1123" s="50"/>
      <c r="B1123" s="51"/>
      <c r="C1123" s="49"/>
      <c r="D1123" s="57"/>
      <c r="E1123" s="53"/>
      <c r="G1123" s="60"/>
    </row>
    <row r="1124" spans="1:7" x14ac:dyDescent="0.2">
      <c r="A1124" s="50"/>
      <c r="B1124" s="51"/>
      <c r="C1124" s="49"/>
      <c r="D1124" s="57"/>
      <c r="E1124" s="53"/>
      <c r="G1124" s="60"/>
    </row>
    <row r="1125" spans="1:7" x14ac:dyDescent="0.2">
      <c r="A1125" s="50"/>
      <c r="B1125" s="51"/>
      <c r="C1125" s="49"/>
      <c r="D1125" s="57"/>
      <c r="E1125" s="53"/>
      <c r="G1125" s="60"/>
    </row>
    <row r="1126" spans="1:7" x14ac:dyDescent="0.2">
      <c r="A1126" s="50"/>
      <c r="B1126" s="51"/>
      <c r="C1126" s="49"/>
      <c r="D1126" s="57"/>
      <c r="E1126" s="53"/>
      <c r="G1126" s="60"/>
    </row>
    <row r="1127" spans="1:7" x14ac:dyDescent="0.2">
      <c r="A1127" s="50"/>
      <c r="B1127" s="51"/>
      <c r="C1127" s="49"/>
      <c r="D1127" s="57"/>
      <c r="E1127" s="53"/>
      <c r="G1127" s="60"/>
    </row>
    <row r="1128" spans="1:7" x14ac:dyDescent="0.2">
      <c r="A1128" s="50"/>
      <c r="B1128" s="51"/>
      <c r="C1128" s="49"/>
      <c r="D1128" s="57"/>
      <c r="E1128" s="53"/>
      <c r="G1128" s="60"/>
    </row>
    <row r="1129" spans="1:7" x14ac:dyDescent="0.2">
      <c r="A1129" s="50"/>
      <c r="B1129" s="51"/>
      <c r="C1129" s="49"/>
      <c r="D1129" s="57"/>
      <c r="E1129" s="53"/>
      <c r="G1129" s="60"/>
    </row>
    <row r="1130" spans="1:7" x14ac:dyDescent="0.2">
      <c r="A1130" s="50"/>
      <c r="B1130" s="51"/>
      <c r="C1130" s="49"/>
      <c r="D1130" s="57"/>
      <c r="E1130" s="53"/>
      <c r="G1130" s="60"/>
    </row>
    <row r="1131" spans="1:7" x14ac:dyDescent="0.2">
      <c r="A1131" s="50"/>
      <c r="B1131" s="51"/>
      <c r="C1131" s="49"/>
      <c r="D1131" s="57"/>
      <c r="E1131" s="53"/>
      <c r="G1131" s="60"/>
    </row>
    <row r="1132" spans="1:7" x14ac:dyDescent="0.2">
      <c r="A1132" s="50"/>
      <c r="B1132" s="51"/>
      <c r="C1132" s="49"/>
      <c r="D1132" s="57"/>
      <c r="E1132" s="53"/>
      <c r="G1132" s="60"/>
    </row>
    <row r="1133" spans="1:7" x14ac:dyDescent="0.2">
      <c r="A1133" s="50"/>
      <c r="B1133" s="51"/>
      <c r="C1133" s="49"/>
      <c r="D1133" s="57"/>
      <c r="E1133" s="53"/>
      <c r="G1133" s="60"/>
    </row>
    <row r="1134" spans="1:7" x14ac:dyDescent="0.2">
      <c r="A1134" s="50"/>
      <c r="B1134" s="51"/>
      <c r="C1134" s="49"/>
      <c r="D1134" s="57"/>
      <c r="E1134" s="53"/>
      <c r="G1134" s="60"/>
    </row>
    <row r="1135" spans="1:7" x14ac:dyDescent="0.2">
      <c r="A1135" s="50"/>
      <c r="B1135" s="51"/>
      <c r="C1135" s="49"/>
      <c r="D1135" s="57"/>
      <c r="E1135" s="53"/>
      <c r="G1135" s="60"/>
    </row>
    <row r="1136" spans="1:7" x14ac:dyDescent="0.2">
      <c r="A1136" s="50"/>
      <c r="B1136" s="51"/>
      <c r="C1136" s="49"/>
      <c r="D1136" s="57"/>
      <c r="E1136" s="53"/>
      <c r="G1136" s="60"/>
    </row>
    <row r="1137" spans="1:7" x14ac:dyDescent="0.2">
      <c r="A1137" s="50"/>
      <c r="B1137" s="51"/>
      <c r="C1137" s="49"/>
      <c r="D1137" s="57"/>
      <c r="E1137" s="53"/>
      <c r="G1137" s="60"/>
    </row>
    <row r="1138" spans="1:7" x14ac:dyDescent="0.2">
      <c r="A1138" s="50"/>
      <c r="B1138" s="51"/>
      <c r="C1138" s="49"/>
      <c r="D1138" s="57"/>
      <c r="E1138" s="53"/>
      <c r="G1138" s="60"/>
    </row>
    <row r="1139" spans="1:7" x14ac:dyDescent="0.2">
      <c r="A1139" s="50"/>
      <c r="B1139" s="51"/>
      <c r="C1139" s="49"/>
      <c r="D1139" s="57"/>
      <c r="E1139" s="53"/>
      <c r="G1139" s="60"/>
    </row>
    <row r="1140" spans="1:7" x14ac:dyDescent="0.2">
      <c r="A1140" s="50"/>
      <c r="B1140" s="51"/>
      <c r="C1140" s="49"/>
      <c r="D1140" s="57"/>
      <c r="E1140" s="53"/>
      <c r="G1140" s="60"/>
    </row>
    <row r="1141" spans="1:7" x14ac:dyDescent="0.2">
      <c r="A1141" s="50"/>
      <c r="B1141" s="51"/>
      <c r="C1141" s="49"/>
      <c r="D1141" s="57"/>
      <c r="E1141" s="53"/>
      <c r="G1141" s="60"/>
    </row>
    <row r="1142" spans="1:7" x14ac:dyDescent="0.2">
      <c r="A1142" s="50"/>
      <c r="B1142" s="51"/>
      <c r="C1142" s="49"/>
      <c r="D1142" s="57"/>
      <c r="E1142" s="53"/>
      <c r="G1142" s="60"/>
    </row>
    <row r="1143" spans="1:7" x14ac:dyDescent="0.2">
      <c r="A1143" s="50"/>
      <c r="B1143" s="51"/>
      <c r="C1143" s="49"/>
      <c r="D1143" s="57"/>
      <c r="E1143" s="53"/>
      <c r="G1143" s="60"/>
    </row>
    <row r="1144" spans="1:7" x14ac:dyDescent="0.2">
      <c r="A1144" s="50"/>
      <c r="B1144" s="51"/>
      <c r="C1144" s="49"/>
      <c r="D1144" s="57"/>
      <c r="E1144" s="53"/>
      <c r="G1144" s="60"/>
    </row>
    <row r="1145" spans="1:7" x14ac:dyDescent="0.2">
      <c r="A1145" s="50"/>
      <c r="B1145" s="51"/>
      <c r="C1145" s="49"/>
      <c r="D1145" s="57"/>
      <c r="E1145" s="53"/>
      <c r="G1145" s="60"/>
    </row>
    <row r="1146" spans="1:7" x14ac:dyDescent="0.2">
      <c r="A1146" s="50"/>
      <c r="B1146" s="51"/>
      <c r="C1146" s="49"/>
      <c r="D1146" s="57"/>
      <c r="E1146" s="53"/>
      <c r="G1146" s="60"/>
    </row>
    <row r="1147" spans="1:7" x14ac:dyDescent="0.2">
      <c r="A1147" s="50"/>
      <c r="B1147" s="51"/>
      <c r="C1147" s="49"/>
      <c r="D1147" s="57"/>
      <c r="E1147" s="53"/>
      <c r="G1147" s="60"/>
    </row>
    <row r="1148" spans="1:7" x14ac:dyDescent="0.2">
      <c r="A1148" s="50"/>
      <c r="B1148" s="51"/>
      <c r="C1148" s="49"/>
      <c r="D1148" s="57"/>
      <c r="E1148" s="53"/>
      <c r="G1148" s="60"/>
    </row>
    <row r="1149" spans="1:7" x14ac:dyDescent="0.2">
      <c r="A1149" s="50"/>
      <c r="B1149" s="51"/>
      <c r="C1149" s="49"/>
      <c r="D1149" s="57"/>
      <c r="E1149" s="53"/>
      <c r="G1149" s="60"/>
    </row>
    <row r="1150" spans="1:7" x14ac:dyDescent="0.2">
      <c r="A1150" s="50"/>
      <c r="B1150" s="51"/>
      <c r="C1150" s="50"/>
      <c r="D1150" s="57"/>
      <c r="E1150" s="53"/>
      <c r="G1150" s="60"/>
    </row>
    <row r="1151" spans="1:7" x14ac:dyDescent="0.2">
      <c r="A1151" s="50"/>
      <c r="B1151" s="51"/>
      <c r="C1151" s="50"/>
      <c r="D1151" s="57"/>
      <c r="E1151" s="53"/>
      <c r="G1151" s="60"/>
    </row>
    <row r="1152" spans="1:7" x14ac:dyDescent="0.2">
      <c r="A1152" s="50"/>
      <c r="B1152" s="51"/>
      <c r="C1152" s="50"/>
      <c r="D1152" s="57"/>
      <c r="E1152" s="53"/>
      <c r="G1152" s="60"/>
    </row>
    <row r="1153" spans="1:7" x14ac:dyDescent="0.2">
      <c r="A1153" s="50"/>
      <c r="B1153" s="51"/>
      <c r="C1153" s="50"/>
      <c r="D1153" s="57"/>
      <c r="E1153" s="53"/>
      <c r="G1153" s="60"/>
    </row>
    <row r="1154" spans="1:7" x14ac:dyDescent="0.2">
      <c r="A1154" s="50"/>
      <c r="B1154" s="51"/>
      <c r="C1154" s="50"/>
      <c r="D1154" s="57"/>
      <c r="E1154" s="53"/>
      <c r="G1154" s="60"/>
    </row>
    <row r="1155" spans="1:7" x14ac:dyDescent="0.2">
      <c r="A1155" s="50"/>
      <c r="B1155" s="51"/>
      <c r="C1155" s="50"/>
      <c r="D1155" s="57"/>
      <c r="E1155" s="53"/>
      <c r="G1155" s="60"/>
    </row>
    <row r="1156" spans="1:7" x14ac:dyDescent="0.2">
      <c r="A1156" s="50"/>
      <c r="B1156" s="51"/>
      <c r="C1156" s="50"/>
      <c r="D1156" s="57"/>
      <c r="E1156" s="53"/>
      <c r="G1156" s="60"/>
    </row>
    <row r="1157" spans="1:7" x14ac:dyDescent="0.2">
      <c r="A1157" s="50"/>
      <c r="B1157" s="51"/>
      <c r="C1157" s="49"/>
      <c r="D1157" s="57"/>
      <c r="E1157" s="53"/>
      <c r="G1157" s="60"/>
    </row>
    <row r="1158" spans="1:7" x14ac:dyDescent="0.2">
      <c r="A1158" s="50"/>
      <c r="B1158" s="51"/>
      <c r="C1158" s="49"/>
      <c r="D1158" s="57"/>
      <c r="E1158" s="53"/>
      <c r="G1158" s="60"/>
    </row>
    <row r="1159" spans="1:7" x14ac:dyDescent="0.2">
      <c r="A1159" s="50"/>
      <c r="B1159" s="51"/>
      <c r="C1159" s="49"/>
      <c r="D1159" s="57"/>
      <c r="E1159" s="53"/>
      <c r="G1159" s="60"/>
    </row>
    <row r="1160" spans="1:7" x14ac:dyDescent="0.2">
      <c r="A1160" s="50"/>
      <c r="B1160" s="51"/>
      <c r="C1160" s="49"/>
      <c r="D1160" s="57"/>
      <c r="E1160" s="53"/>
      <c r="G1160" s="60"/>
    </row>
    <row r="1161" spans="1:7" x14ac:dyDescent="0.2">
      <c r="A1161" s="50"/>
      <c r="B1161" s="51"/>
      <c r="C1161" s="49"/>
      <c r="D1161" s="57"/>
      <c r="E1161" s="53"/>
      <c r="G1161" s="60"/>
    </row>
    <row r="1162" spans="1:7" x14ac:dyDescent="0.2">
      <c r="A1162" s="50"/>
      <c r="B1162" s="51"/>
      <c r="C1162" s="49"/>
      <c r="D1162" s="57"/>
      <c r="E1162" s="53"/>
      <c r="G1162" s="60"/>
    </row>
    <row r="1163" spans="1:7" x14ac:dyDescent="0.2">
      <c r="A1163" s="50"/>
      <c r="B1163" s="51"/>
      <c r="C1163" s="49"/>
      <c r="D1163" s="58"/>
      <c r="E1163" s="53"/>
      <c r="G1163" s="60"/>
    </row>
    <row r="1164" spans="1:7" x14ac:dyDescent="0.2">
      <c r="A1164" s="50"/>
      <c r="B1164" s="51"/>
      <c r="C1164" s="49"/>
      <c r="D1164" s="57"/>
      <c r="E1164" s="53"/>
      <c r="G1164" s="60"/>
    </row>
    <row r="1165" spans="1:7" x14ac:dyDescent="0.2">
      <c r="A1165" s="50"/>
      <c r="B1165" s="51"/>
      <c r="C1165" s="49"/>
      <c r="D1165" s="57"/>
      <c r="E1165" s="53"/>
      <c r="G1165" s="60"/>
    </row>
    <row r="1166" spans="1:7" x14ac:dyDescent="0.2">
      <c r="A1166" s="50"/>
      <c r="B1166" s="51"/>
      <c r="C1166" s="49"/>
      <c r="D1166" s="57"/>
      <c r="E1166" s="53"/>
      <c r="G1166" s="60"/>
    </row>
    <row r="1167" spans="1:7" x14ac:dyDescent="0.2">
      <c r="A1167" s="50"/>
      <c r="B1167" s="51"/>
      <c r="C1167" s="49"/>
      <c r="D1167" s="57"/>
      <c r="E1167" s="53"/>
      <c r="G1167" s="60"/>
    </row>
    <row r="1168" spans="1:7" x14ac:dyDescent="0.2">
      <c r="A1168" s="50"/>
      <c r="B1168" s="51"/>
      <c r="C1168" s="49"/>
      <c r="D1168" s="57"/>
      <c r="E1168" s="53"/>
      <c r="G1168" s="60"/>
    </row>
    <row r="1169" spans="1:7" x14ac:dyDescent="0.2">
      <c r="A1169" s="50"/>
      <c r="B1169" s="51"/>
      <c r="C1169" s="49"/>
      <c r="D1169" s="57"/>
      <c r="E1169" s="53"/>
      <c r="G1169" s="60"/>
    </row>
    <row r="1170" spans="1:7" x14ac:dyDescent="0.2">
      <c r="A1170" s="50"/>
      <c r="B1170" s="51"/>
      <c r="C1170" s="49"/>
      <c r="D1170" s="57"/>
      <c r="E1170" s="53"/>
      <c r="G1170" s="60"/>
    </row>
    <row r="1171" spans="1:7" x14ac:dyDescent="0.2">
      <c r="A1171" s="50"/>
      <c r="B1171" s="51"/>
      <c r="C1171" s="49"/>
      <c r="D1171" s="58"/>
      <c r="E1171" s="53"/>
      <c r="G1171" s="60"/>
    </row>
    <row r="1172" spans="1:7" x14ac:dyDescent="0.2">
      <c r="A1172" s="50"/>
      <c r="B1172" s="51"/>
      <c r="C1172" s="49"/>
      <c r="D1172" s="57"/>
      <c r="E1172" s="53"/>
      <c r="G1172" s="60"/>
    </row>
    <row r="1173" spans="1:7" x14ac:dyDescent="0.2">
      <c r="A1173" s="50"/>
      <c r="B1173" s="51"/>
      <c r="C1173" s="49"/>
      <c r="D1173" s="57"/>
      <c r="E1173" s="53"/>
      <c r="G1173" s="60"/>
    </row>
    <row r="1174" spans="1:7" x14ac:dyDescent="0.2">
      <c r="A1174" s="50"/>
      <c r="B1174" s="51"/>
      <c r="C1174" s="49"/>
      <c r="D1174" s="57"/>
      <c r="E1174" s="53"/>
      <c r="G1174" s="60"/>
    </row>
    <row r="1175" spans="1:7" x14ac:dyDescent="0.2">
      <c r="A1175" s="50"/>
      <c r="B1175" s="51"/>
      <c r="C1175" s="49"/>
      <c r="D1175" s="58"/>
      <c r="E1175" s="53"/>
      <c r="G1175" s="60"/>
    </row>
    <row r="1176" spans="1:7" x14ac:dyDescent="0.2">
      <c r="A1176" s="50"/>
      <c r="B1176" s="51"/>
      <c r="C1176" s="49"/>
      <c r="D1176" s="58"/>
      <c r="E1176" s="53"/>
      <c r="G1176" s="60"/>
    </row>
    <row r="1177" spans="1:7" x14ac:dyDescent="0.2">
      <c r="A1177" s="50"/>
      <c r="B1177" s="51"/>
      <c r="C1177" s="49"/>
      <c r="D1177" s="57"/>
      <c r="E1177" s="53"/>
      <c r="G1177" s="60"/>
    </row>
    <row r="1178" spans="1:7" x14ac:dyDescent="0.2">
      <c r="A1178" s="50"/>
      <c r="B1178" s="51"/>
      <c r="C1178" s="49"/>
      <c r="D1178" s="57"/>
      <c r="E1178" s="53"/>
      <c r="G1178" s="60"/>
    </row>
    <row r="1179" spans="1:7" x14ac:dyDescent="0.2">
      <c r="A1179" s="50"/>
      <c r="B1179" s="51"/>
      <c r="C1179" s="49"/>
      <c r="D1179" s="57"/>
      <c r="E1179" s="53"/>
      <c r="G1179" s="60"/>
    </row>
    <row r="1180" spans="1:7" x14ac:dyDescent="0.2">
      <c r="A1180" s="50"/>
      <c r="B1180" s="51"/>
      <c r="C1180" s="49"/>
      <c r="D1180" s="57"/>
      <c r="E1180" s="53"/>
      <c r="G1180" s="60"/>
    </row>
    <row r="1181" spans="1:7" x14ac:dyDescent="0.2">
      <c r="A1181" s="50"/>
      <c r="B1181" s="51"/>
      <c r="C1181" s="49"/>
      <c r="D1181" s="57"/>
      <c r="E1181" s="53"/>
      <c r="G1181" s="60"/>
    </row>
    <row r="1182" spans="1:7" x14ac:dyDescent="0.2">
      <c r="A1182" s="50"/>
      <c r="B1182" s="51"/>
      <c r="C1182" s="49"/>
      <c r="D1182" s="57"/>
      <c r="E1182" s="53"/>
      <c r="G1182" s="60"/>
    </row>
    <row r="1183" spans="1:7" x14ac:dyDescent="0.2">
      <c r="A1183" s="50"/>
      <c r="B1183" s="51"/>
      <c r="C1183" s="49"/>
      <c r="D1183" s="57"/>
      <c r="E1183" s="53"/>
      <c r="G1183" s="60"/>
    </row>
    <row r="1184" spans="1:7" x14ac:dyDescent="0.2">
      <c r="A1184" s="50"/>
      <c r="B1184" s="51"/>
      <c r="C1184" s="49"/>
      <c r="D1184" s="57"/>
      <c r="E1184" s="53"/>
      <c r="G1184" s="60"/>
    </row>
    <row r="1185" spans="1:7" x14ac:dyDescent="0.2">
      <c r="A1185" s="50"/>
      <c r="B1185" s="51"/>
      <c r="C1185" s="49"/>
      <c r="D1185" s="57"/>
      <c r="E1185" s="53"/>
      <c r="G1185" s="60"/>
    </row>
    <row r="1186" spans="1:7" x14ac:dyDescent="0.2">
      <c r="A1186" s="50"/>
      <c r="B1186" s="51"/>
      <c r="C1186" s="49"/>
      <c r="D1186" s="57"/>
      <c r="E1186" s="53"/>
      <c r="G1186" s="60"/>
    </row>
    <row r="1187" spans="1:7" x14ac:dyDescent="0.2">
      <c r="A1187" s="50"/>
      <c r="B1187" s="51"/>
      <c r="C1187" s="49"/>
      <c r="D1187" s="57"/>
      <c r="E1187" s="53"/>
      <c r="G1187" s="60"/>
    </row>
    <row r="1188" spans="1:7" x14ac:dyDescent="0.2">
      <c r="A1188" s="50"/>
      <c r="B1188" s="51"/>
      <c r="C1188" s="49"/>
      <c r="D1188" s="57"/>
      <c r="E1188" s="53"/>
      <c r="G1188" s="60"/>
    </row>
    <row r="1189" spans="1:7" x14ac:dyDescent="0.2">
      <c r="A1189" s="50"/>
      <c r="B1189" s="51"/>
      <c r="C1189" s="49"/>
      <c r="D1189" s="58"/>
      <c r="E1189" s="53"/>
      <c r="G1189" s="60"/>
    </row>
    <row r="1190" spans="1:7" x14ac:dyDescent="0.2">
      <c r="A1190" s="50"/>
      <c r="B1190" s="51"/>
      <c r="C1190" s="49"/>
      <c r="D1190" s="57"/>
      <c r="E1190" s="53"/>
      <c r="G1190" s="60"/>
    </row>
    <row r="1191" spans="1:7" x14ac:dyDescent="0.2">
      <c r="A1191" s="50"/>
      <c r="B1191" s="51"/>
      <c r="C1191" s="49"/>
      <c r="D1191" s="57"/>
      <c r="E1191" s="53"/>
      <c r="G1191" s="60"/>
    </row>
    <row r="1192" spans="1:7" x14ac:dyDescent="0.2">
      <c r="A1192" s="50"/>
      <c r="B1192" s="51"/>
      <c r="C1192" s="49"/>
      <c r="D1192" s="57"/>
      <c r="E1192" s="53"/>
      <c r="G1192" s="60"/>
    </row>
    <row r="1193" spans="1:7" x14ac:dyDescent="0.2">
      <c r="A1193" s="50"/>
      <c r="B1193" s="51"/>
      <c r="C1193" s="49"/>
      <c r="D1193" s="57"/>
      <c r="E1193" s="53"/>
      <c r="G1193" s="60"/>
    </row>
    <row r="1194" spans="1:7" x14ac:dyDescent="0.2">
      <c r="A1194" s="50"/>
      <c r="B1194" s="51"/>
      <c r="C1194" s="49"/>
      <c r="D1194" s="57"/>
      <c r="E1194" s="53"/>
      <c r="G1194" s="60"/>
    </row>
    <row r="1195" spans="1:7" x14ac:dyDescent="0.2">
      <c r="A1195" s="50"/>
      <c r="B1195" s="51"/>
      <c r="C1195" s="49"/>
      <c r="D1195" s="57"/>
      <c r="E1195" s="53"/>
      <c r="G1195" s="60"/>
    </row>
    <row r="1196" spans="1:7" x14ac:dyDescent="0.2">
      <c r="A1196" s="50"/>
      <c r="B1196" s="51"/>
      <c r="C1196" s="49"/>
      <c r="D1196" s="57"/>
      <c r="E1196" s="53"/>
      <c r="G1196" s="60"/>
    </row>
    <row r="1197" spans="1:7" x14ac:dyDescent="0.2">
      <c r="A1197" s="50"/>
      <c r="B1197" s="51"/>
      <c r="C1197" s="49"/>
      <c r="D1197" s="57"/>
      <c r="E1197" s="53"/>
      <c r="G1197" s="60"/>
    </row>
    <row r="1198" spans="1:7" x14ac:dyDescent="0.2">
      <c r="A1198" s="50"/>
      <c r="B1198" s="51"/>
      <c r="C1198" s="49"/>
      <c r="D1198" s="58"/>
      <c r="E1198" s="53"/>
      <c r="G1198" s="60"/>
    </row>
    <row r="1199" spans="1:7" x14ac:dyDescent="0.2">
      <c r="A1199" s="50"/>
      <c r="B1199" s="51"/>
      <c r="C1199" s="49"/>
      <c r="D1199" s="57"/>
      <c r="E1199" s="53"/>
      <c r="G1199" s="60"/>
    </row>
    <row r="1200" spans="1:7" x14ac:dyDescent="0.2">
      <c r="A1200" s="50"/>
      <c r="B1200" s="51"/>
      <c r="C1200" s="49"/>
      <c r="D1200" s="57"/>
      <c r="E1200" s="53"/>
      <c r="G1200" s="60"/>
    </row>
    <row r="1201" spans="1:7" x14ac:dyDescent="0.2">
      <c r="A1201" s="50"/>
      <c r="B1201" s="51"/>
      <c r="C1201" s="49"/>
      <c r="D1201" s="58"/>
      <c r="E1201" s="53"/>
      <c r="G1201" s="60"/>
    </row>
    <row r="1202" spans="1:7" x14ac:dyDescent="0.2">
      <c r="A1202" s="50"/>
      <c r="B1202" s="51"/>
      <c r="C1202" s="49"/>
      <c r="D1202" s="58"/>
      <c r="E1202" s="53"/>
      <c r="G1202" s="60"/>
    </row>
    <row r="1203" spans="1:7" x14ac:dyDescent="0.2">
      <c r="A1203" s="50"/>
      <c r="B1203" s="51"/>
      <c r="C1203" s="49"/>
      <c r="D1203" s="58"/>
      <c r="E1203" s="53"/>
      <c r="G1203" s="60"/>
    </row>
    <row r="1204" spans="1:7" x14ac:dyDescent="0.2">
      <c r="A1204" s="74"/>
      <c r="B1204" s="75"/>
      <c r="C1204" s="69"/>
      <c r="D1204" s="80"/>
      <c r="E1204" s="69"/>
      <c r="G1204" s="60"/>
    </row>
    <row r="1205" spans="1:7" x14ac:dyDescent="0.2">
      <c r="A1205" s="74"/>
      <c r="B1205" s="75"/>
      <c r="C1205" s="69"/>
      <c r="D1205" s="80"/>
      <c r="E1205" s="69"/>
      <c r="G1205" s="60"/>
    </row>
    <row r="1206" spans="1:7" x14ac:dyDescent="0.2">
      <c r="A1206" s="74"/>
      <c r="B1206" s="75"/>
      <c r="C1206" s="69"/>
      <c r="D1206" s="80"/>
      <c r="E1206" s="69"/>
      <c r="G1206" s="60"/>
    </row>
    <row r="1207" spans="1:7" x14ac:dyDescent="0.2">
      <c r="A1207" s="50"/>
      <c r="B1207" s="51"/>
      <c r="C1207" s="49"/>
      <c r="D1207" s="57"/>
      <c r="E1207" s="53"/>
      <c r="G1207" s="60"/>
    </row>
    <row r="1208" spans="1:7" x14ac:dyDescent="0.2">
      <c r="A1208" s="50"/>
      <c r="B1208" s="51"/>
      <c r="C1208" s="49"/>
      <c r="D1208" s="57"/>
      <c r="E1208" s="53"/>
      <c r="G1208" s="60"/>
    </row>
    <row r="1209" spans="1:7" x14ac:dyDescent="0.2">
      <c r="A1209" s="50"/>
      <c r="B1209" s="51"/>
      <c r="C1209" s="49"/>
      <c r="D1209" s="57"/>
      <c r="E1209" s="53"/>
      <c r="G1209" s="60"/>
    </row>
    <row r="1210" spans="1:7" x14ac:dyDescent="0.2">
      <c r="A1210" s="50"/>
      <c r="B1210" s="51"/>
      <c r="C1210" s="49"/>
      <c r="D1210" s="57"/>
      <c r="E1210" s="53"/>
      <c r="G1210" s="60"/>
    </row>
    <row r="1211" spans="1:7" x14ac:dyDescent="0.2">
      <c r="A1211" s="50"/>
      <c r="B1211" s="51"/>
      <c r="C1211" s="49"/>
      <c r="D1211" s="57"/>
      <c r="E1211" s="53"/>
      <c r="G1211" s="60"/>
    </row>
    <row r="1212" spans="1:7" x14ac:dyDescent="0.2">
      <c r="A1212" s="74"/>
      <c r="B1212" s="75"/>
      <c r="C1212" s="69"/>
      <c r="D1212" s="80"/>
      <c r="E1212" s="69"/>
      <c r="G1212" s="60"/>
    </row>
    <row r="1213" spans="1:7" x14ac:dyDescent="0.2">
      <c r="A1213" s="74"/>
      <c r="B1213" s="75"/>
      <c r="C1213" s="69"/>
      <c r="D1213" s="80"/>
      <c r="E1213" s="69"/>
      <c r="G1213" s="60"/>
    </row>
    <row r="1214" spans="1:7" x14ac:dyDescent="0.2">
      <c r="A1214" s="74"/>
      <c r="B1214" s="75"/>
      <c r="C1214" s="69"/>
      <c r="D1214" s="80"/>
      <c r="E1214" s="69"/>
      <c r="G1214" s="60"/>
    </row>
    <row r="1215" spans="1:7" x14ac:dyDescent="0.2">
      <c r="A1215" s="74"/>
      <c r="B1215" s="75"/>
      <c r="C1215" s="69"/>
      <c r="D1215" s="80"/>
      <c r="E1215" s="69"/>
      <c r="G1215" s="60"/>
    </row>
    <row r="1216" spans="1:7" x14ac:dyDescent="0.2">
      <c r="A1216" s="74"/>
      <c r="B1216" s="75"/>
      <c r="C1216" s="69"/>
      <c r="D1216" s="80"/>
      <c r="E1216" s="69"/>
      <c r="G1216" s="60"/>
    </row>
    <row r="1217" spans="1:7" x14ac:dyDescent="0.2">
      <c r="A1217" s="74"/>
      <c r="B1217" s="75"/>
      <c r="C1217" s="69"/>
      <c r="D1217" s="80"/>
      <c r="E1217" s="69"/>
      <c r="G1217" s="60"/>
    </row>
    <row r="1218" spans="1:7" x14ac:dyDescent="0.2">
      <c r="A1218" s="50"/>
      <c r="B1218" s="51"/>
      <c r="C1218" s="49"/>
      <c r="D1218" s="57"/>
      <c r="E1218" s="53"/>
      <c r="G1218" s="60"/>
    </row>
    <row r="1219" spans="1:7" x14ac:dyDescent="0.2">
      <c r="A1219" s="50"/>
      <c r="B1219" s="51"/>
      <c r="C1219" s="49"/>
      <c r="D1219" s="57"/>
      <c r="E1219" s="53"/>
      <c r="G1219" s="60"/>
    </row>
    <row r="1220" spans="1:7" x14ac:dyDescent="0.2">
      <c r="A1220" s="50"/>
      <c r="B1220" s="51"/>
      <c r="C1220" s="49"/>
      <c r="D1220" s="57"/>
      <c r="E1220" s="53"/>
      <c r="G1220" s="60"/>
    </row>
    <row r="1221" spans="1:7" x14ac:dyDescent="0.2">
      <c r="A1221" s="74"/>
      <c r="B1221" s="75"/>
      <c r="C1221" s="69"/>
      <c r="D1221" s="80"/>
      <c r="E1221" s="69"/>
      <c r="G1221" s="60"/>
    </row>
    <row r="1222" spans="1:7" x14ac:dyDescent="0.2">
      <c r="A1222" s="74"/>
      <c r="B1222" s="75"/>
      <c r="C1222" s="69"/>
      <c r="D1222" s="80"/>
      <c r="E1222" s="69"/>
      <c r="G1222" s="60"/>
    </row>
    <row r="1223" spans="1:7" x14ac:dyDescent="0.2">
      <c r="A1223" s="74"/>
      <c r="B1223" s="75"/>
      <c r="C1223" s="69"/>
      <c r="D1223" s="80"/>
      <c r="E1223" s="69"/>
      <c r="G1223" s="60"/>
    </row>
    <row r="1224" spans="1:7" x14ac:dyDescent="0.2">
      <c r="A1224" s="74"/>
      <c r="B1224" s="75"/>
      <c r="C1224" s="69"/>
      <c r="D1224" s="80"/>
      <c r="E1224" s="69"/>
      <c r="G1224" s="60"/>
    </row>
    <row r="1225" spans="1:7" x14ac:dyDescent="0.2">
      <c r="A1225" s="74"/>
      <c r="B1225" s="75"/>
      <c r="C1225" s="69"/>
      <c r="D1225" s="80"/>
      <c r="E1225" s="69"/>
      <c r="G1225" s="60"/>
    </row>
    <row r="1226" spans="1:7" x14ac:dyDescent="0.2">
      <c r="A1226" s="74"/>
      <c r="B1226" s="75"/>
      <c r="C1226" s="69"/>
      <c r="D1226" s="80"/>
      <c r="E1226" s="69"/>
      <c r="G1226" s="60"/>
    </row>
    <row r="1227" spans="1:7" x14ac:dyDescent="0.2">
      <c r="A1227" s="74"/>
      <c r="B1227" s="75"/>
      <c r="C1227" s="69"/>
      <c r="D1227" s="80"/>
      <c r="E1227" s="69"/>
      <c r="G1227" s="60"/>
    </row>
    <row r="1228" spans="1:7" x14ac:dyDescent="0.2">
      <c r="A1228" s="74"/>
      <c r="B1228" s="75"/>
      <c r="C1228" s="69"/>
      <c r="D1228" s="80"/>
      <c r="E1228" s="69"/>
      <c r="G1228" s="60"/>
    </row>
    <row r="1229" spans="1:7" x14ac:dyDescent="0.2">
      <c r="A1229" s="50"/>
      <c r="B1229" s="51"/>
      <c r="C1229" s="49"/>
      <c r="D1229" s="57"/>
      <c r="E1229" s="53"/>
      <c r="G1229" s="60"/>
    </row>
    <row r="1230" spans="1:7" x14ac:dyDescent="0.2">
      <c r="A1230" s="50"/>
      <c r="B1230" s="51"/>
      <c r="C1230" s="49"/>
      <c r="D1230" s="57"/>
      <c r="E1230" s="53"/>
      <c r="G1230" s="60"/>
    </row>
    <row r="1231" spans="1:7" x14ac:dyDescent="0.2">
      <c r="A1231" s="50"/>
      <c r="B1231" s="51"/>
      <c r="C1231" s="49"/>
      <c r="D1231" s="57"/>
      <c r="E1231" s="53"/>
      <c r="G1231" s="60"/>
    </row>
    <row r="1232" spans="1:7" x14ac:dyDescent="0.2">
      <c r="A1232" s="50"/>
      <c r="B1232" s="51"/>
      <c r="C1232" s="49"/>
      <c r="D1232" s="57"/>
      <c r="E1232" s="57"/>
      <c r="G1232" s="60"/>
    </row>
    <row r="1233" spans="1:7" x14ac:dyDescent="0.2">
      <c r="A1233" s="50"/>
      <c r="B1233" s="51"/>
      <c r="C1233" s="49"/>
      <c r="D1233" s="57"/>
      <c r="E1233" s="53"/>
      <c r="G1233" s="60"/>
    </row>
    <row r="1234" spans="1:7" x14ac:dyDescent="0.2">
      <c r="A1234" s="50"/>
      <c r="B1234" s="51"/>
      <c r="C1234" s="49"/>
      <c r="D1234" s="57"/>
      <c r="E1234" s="53"/>
      <c r="G1234" s="60"/>
    </row>
    <row r="1235" spans="1:7" x14ac:dyDescent="0.2">
      <c r="A1235" s="50"/>
      <c r="B1235" s="51"/>
      <c r="C1235" s="49"/>
      <c r="D1235" s="57"/>
      <c r="E1235" s="53"/>
      <c r="G1235" s="60"/>
    </row>
    <row r="1236" spans="1:7" x14ac:dyDescent="0.2">
      <c r="A1236" s="74"/>
      <c r="B1236" s="75"/>
      <c r="C1236" s="69"/>
      <c r="D1236" s="80"/>
      <c r="E1236" s="69"/>
      <c r="G1236" s="60"/>
    </row>
    <row r="1237" spans="1:7" x14ac:dyDescent="0.2">
      <c r="A1237" s="74"/>
      <c r="B1237" s="75"/>
      <c r="C1237" s="69"/>
      <c r="D1237" s="80"/>
      <c r="E1237" s="69"/>
      <c r="G1237" s="60"/>
    </row>
    <row r="1238" spans="1:7" x14ac:dyDescent="0.2">
      <c r="A1238" s="74"/>
      <c r="B1238" s="75"/>
      <c r="C1238" s="69"/>
      <c r="D1238" s="80"/>
      <c r="E1238" s="69"/>
      <c r="G1238" s="60"/>
    </row>
    <row r="1239" spans="1:7" x14ac:dyDescent="0.2">
      <c r="A1239" s="50"/>
      <c r="B1239" s="51"/>
      <c r="C1239" s="49"/>
      <c r="D1239" s="57"/>
      <c r="E1239" s="53"/>
      <c r="G1239" s="60"/>
    </row>
    <row r="1240" spans="1:7" x14ac:dyDescent="0.2">
      <c r="A1240" s="50"/>
      <c r="B1240" s="51"/>
      <c r="C1240" s="49"/>
      <c r="D1240" s="57"/>
      <c r="E1240" s="53"/>
      <c r="G1240" s="60"/>
    </row>
    <row r="1241" spans="1:7" x14ac:dyDescent="0.2">
      <c r="A1241" s="50"/>
      <c r="B1241" s="51"/>
      <c r="C1241" s="49"/>
      <c r="D1241" s="57"/>
      <c r="E1241" s="53"/>
      <c r="G1241" s="60"/>
    </row>
    <row r="1242" spans="1:7" x14ac:dyDescent="0.2">
      <c r="A1242" s="50"/>
      <c r="B1242" s="51"/>
      <c r="C1242" s="49"/>
      <c r="D1242" s="57"/>
      <c r="E1242" s="53"/>
      <c r="G1242" s="60"/>
    </row>
    <row r="1243" spans="1:7" x14ac:dyDescent="0.2">
      <c r="A1243" s="50"/>
      <c r="B1243" s="51"/>
      <c r="C1243" s="49"/>
      <c r="D1243" s="57"/>
      <c r="E1243" s="53"/>
      <c r="G1243" s="60"/>
    </row>
    <row r="1244" spans="1:7" x14ac:dyDescent="0.2">
      <c r="A1244" s="50"/>
      <c r="B1244" s="51"/>
      <c r="C1244" s="49"/>
      <c r="D1244" s="57"/>
      <c r="E1244" s="53"/>
      <c r="G1244" s="60"/>
    </row>
    <row r="1245" spans="1:7" x14ac:dyDescent="0.2">
      <c r="A1245" s="50"/>
      <c r="B1245" s="51"/>
      <c r="C1245" s="49"/>
      <c r="D1245" s="57"/>
      <c r="E1245" s="53"/>
      <c r="G1245" s="60"/>
    </row>
    <row r="1246" spans="1:7" x14ac:dyDescent="0.2">
      <c r="A1246" s="50"/>
      <c r="B1246" s="51"/>
      <c r="C1246" s="49"/>
      <c r="D1246" s="57"/>
      <c r="E1246" s="53"/>
      <c r="G1246" s="60"/>
    </row>
    <row r="1247" spans="1:7" x14ac:dyDescent="0.2">
      <c r="A1247" s="50"/>
      <c r="B1247" s="51"/>
      <c r="C1247" s="49"/>
      <c r="D1247" s="57"/>
      <c r="E1247" s="53"/>
      <c r="G1247" s="60"/>
    </row>
    <row r="1248" spans="1:7" x14ac:dyDescent="0.2">
      <c r="A1248" s="50"/>
      <c r="B1248" s="51"/>
      <c r="C1248" s="49"/>
      <c r="D1248" s="57"/>
      <c r="E1248" s="53"/>
      <c r="G1248" s="60"/>
    </row>
    <row r="1249" spans="1:7" x14ac:dyDescent="0.2">
      <c r="A1249" s="74"/>
      <c r="B1249" s="75"/>
      <c r="C1249" s="69"/>
      <c r="D1249" s="80"/>
      <c r="E1249" s="69"/>
      <c r="G1249" s="60"/>
    </row>
    <row r="1250" spans="1:7" x14ac:dyDescent="0.2">
      <c r="A1250" s="50"/>
      <c r="B1250" s="51"/>
      <c r="C1250" s="49"/>
      <c r="D1250" s="57"/>
      <c r="E1250" s="53"/>
      <c r="G1250" s="60"/>
    </row>
    <row r="1251" spans="1:7" x14ac:dyDescent="0.2">
      <c r="A1251" s="50"/>
      <c r="B1251" s="51"/>
      <c r="C1251" s="49"/>
      <c r="D1251" s="57"/>
      <c r="E1251" s="53"/>
      <c r="G1251" s="60"/>
    </row>
    <row r="1252" spans="1:7" x14ac:dyDescent="0.2">
      <c r="A1252" s="50"/>
      <c r="B1252" s="51"/>
      <c r="C1252" s="49"/>
      <c r="D1252" s="57"/>
      <c r="E1252" s="53"/>
      <c r="G1252" s="60"/>
    </row>
    <row r="1253" spans="1:7" x14ac:dyDescent="0.2">
      <c r="A1253" s="74"/>
      <c r="B1253" s="75"/>
      <c r="C1253" s="69"/>
      <c r="D1253" s="80"/>
      <c r="E1253" s="69"/>
      <c r="G1253" s="60"/>
    </row>
    <row r="1254" spans="1:7" x14ac:dyDescent="0.2">
      <c r="A1254" s="74"/>
      <c r="B1254" s="75"/>
      <c r="C1254" s="69"/>
      <c r="D1254" s="80"/>
      <c r="E1254" s="69"/>
      <c r="G1254" s="60"/>
    </row>
    <row r="1255" spans="1:7" x14ac:dyDescent="0.2">
      <c r="A1255" s="74"/>
      <c r="B1255" s="75"/>
      <c r="C1255" s="69"/>
      <c r="D1255" s="80"/>
      <c r="E1255" s="69"/>
      <c r="G1255" s="60"/>
    </row>
    <row r="1256" spans="1:7" x14ac:dyDescent="0.2">
      <c r="A1256" s="74"/>
      <c r="B1256" s="75"/>
      <c r="C1256" s="69"/>
      <c r="D1256" s="80"/>
      <c r="E1256" s="69"/>
      <c r="G1256" s="60"/>
    </row>
    <row r="1257" spans="1:7" x14ac:dyDescent="0.2">
      <c r="A1257" s="74"/>
      <c r="B1257" s="75"/>
      <c r="C1257" s="69"/>
      <c r="D1257" s="80"/>
      <c r="E1257" s="69"/>
      <c r="G1257" s="60"/>
    </row>
    <row r="1258" spans="1:7" x14ac:dyDescent="0.2">
      <c r="A1258" s="74"/>
      <c r="B1258" s="75"/>
      <c r="C1258" s="69"/>
      <c r="D1258" s="80"/>
      <c r="E1258" s="69"/>
      <c r="G1258" s="60"/>
    </row>
    <row r="1259" spans="1:7" x14ac:dyDescent="0.2">
      <c r="A1259" s="74"/>
      <c r="B1259" s="75"/>
      <c r="C1259" s="69"/>
      <c r="D1259" s="80"/>
      <c r="E1259" s="69"/>
      <c r="G1259" s="60"/>
    </row>
    <row r="1260" spans="1:7" x14ac:dyDescent="0.2">
      <c r="A1260" s="74"/>
      <c r="B1260" s="75"/>
      <c r="C1260" s="69"/>
      <c r="D1260" s="80"/>
      <c r="E1260" s="69"/>
      <c r="G1260" s="60"/>
    </row>
    <row r="1261" spans="1:7" x14ac:dyDescent="0.2">
      <c r="A1261" s="74"/>
      <c r="B1261" s="75"/>
      <c r="C1261" s="69"/>
      <c r="D1261" s="80"/>
      <c r="E1261" s="69"/>
      <c r="G1261" s="60"/>
    </row>
    <row r="1262" spans="1:7" x14ac:dyDescent="0.2">
      <c r="A1262" s="74"/>
      <c r="B1262" s="75"/>
      <c r="C1262" s="69"/>
      <c r="D1262" s="80"/>
      <c r="E1262" s="69"/>
      <c r="G1262" s="60"/>
    </row>
    <row r="1263" spans="1:7" x14ac:dyDescent="0.2">
      <c r="A1263" s="87"/>
      <c r="B1263" s="53"/>
      <c r="C1263" s="53"/>
      <c r="D1263" s="53"/>
      <c r="E1263" s="53"/>
      <c r="G1263" s="69"/>
    </row>
    <row r="1264" spans="1:7" x14ac:dyDescent="0.2">
      <c r="A1264" s="87"/>
      <c r="B1264" s="53"/>
      <c r="C1264" s="53"/>
      <c r="D1264" s="53"/>
      <c r="E1264" s="53"/>
      <c r="G1264" s="69"/>
    </row>
    <row r="1265" spans="1:7" x14ac:dyDescent="0.2">
      <c r="A1265" s="87"/>
      <c r="B1265" s="53"/>
      <c r="C1265" s="53"/>
      <c r="D1265" s="53"/>
      <c r="E1265" s="53"/>
      <c r="G1265" s="69"/>
    </row>
    <row r="1266" spans="1:7" x14ac:dyDescent="0.2">
      <c r="A1266" s="74"/>
      <c r="B1266" s="75"/>
      <c r="C1266" s="69"/>
      <c r="D1266" s="80"/>
      <c r="E1266" s="69"/>
      <c r="G1266" s="60"/>
    </row>
    <row r="1267" spans="1:7" x14ac:dyDescent="0.2">
      <c r="A1267" s="74"/>
      <c r="B1267" s="75"/>
      <c r="C1267" s="69"/>
      <c r="D1267" s="80"/>
      <c r="E1267" s="69"/>
      <c r="G1267" s="60"/>
    </row>
    <row r="1268" spans="1:7" x14ac:dyDescent="0.2">
      <c r="A1268" s="74"/>
      <c r="B1268" s="75"/>
      <c r="C1268" s="69"/>
      <c r="D1268" s="80"/>
      <c r="E1268" s="69"/>
      <c r="G1268" s="60"/>
    </row>
    <row r="1269" spans="1:7" x14ac:dyDescent="0.2">
      <c r="A1269" s="74"/>
      <c r="B1269" s="75"/>
      <c r="C1269" s="69"/>
      <c r="D1269" s="80"/>
      <c r="E1269" s="69"/>
      <c r="G1269" s="60"/>
    </row>
    <row r="1270" spans="1:7" x14ac:dyDescent="0.2">
      <c r="A1270" s="74"/>
      <c r="B1270" s="75"/>
      <c r="C1270" s="69"/>
      <c r="D1270" s="80"/>
      <c r="E1270" s="69"/>
      <c r="G1270" s="60"/>
    </row>
    <row r="1271" spans="1:7" x14ac:dyDescent="0.2">
      <c r="A1271" s="74"/>
      <c r="B1271" s="75"/>
      <c r="C1271" s="69"/>
      <c r="D1271" s="80"/>
      <c r="E1271" s="69"/>
      <c r="G1271" s="60"/>
    </row>
    <row r="1272" spans="1:7" x14ac:dyDescent="0.2">
      <c r="A1272" s="50"/>
      <c r="B1272" s="51"/>
      <c r="C1272" s="49"/>
      <c r="D1272" s="57"/>
      <c r="E1272" s="53"/>
      <c r="G1272" s="60"/>
    </row>
    <row r="1273" spans="1:7" x14ac:dyDescent="0.2">
      <c r="A1273" s="50"/>
      <c r="B1273" s="51"/>
      <c r="C1273" s="49"/>
      <c r="D1273" s="57"/>
      <c r="E1273" s="53"/>
      <c r="G1273" s="60"/>
    </row>
    <row r="1274" spans="1:7" x14ac:dyDescent="0.2">
      <c r="A1274" s="50"/>
      <c r="B1274" s="51"/>
      <c r="C1274" s="49"/>
      <c r="D1274" s="57"/>
      <c r="E1274" s="53"/>
      <c r="G1274" s="60"/>
    </row>
    <row r="1275" spans="1:7" x14ac:dyDescent="0.2">
      <c r="A1275" s="50"/>
      <c r="B1275" s="51"/>
      <c r="C1275" s="49"/>
      <c r="D1275" s="57"/>
      <c r="E1275" s="53"/>
      <c r="G1275" s="60"/>
    </row>
    <row r="1276" spans="1:7" x14ac:dyDescent="0.2">
      <c r="A1276" s="74"/>
      <c r="B1276" s="75"/>
      <c r="C1276" s="69"/>
      <c r="D1276" s="80"/>
      <c r="E1276" s="69"/>
      <c r="G1276" s="60"/>
    </row>
    <row r="1277" spans="1:7" x14ac:dyDescent="0.2">
      <c r="A1277" s="74"/>
      <c r="B1277" s="75"/>
      <c r="C1277" s="69"/>
      <c r="D1277" s="80"/>
      <c r="E1277" s="69"/>
      <c r="G1277" s="60"/>
    </row>
    <row r="1278" spans="1:7" x14ac:dyDescent="0.2">
      <c r="A1278" s="50"/>
      <c r="B1278" s="51"/>
      <c r="C1278" s="49"/>
      <c r="D1278" s="57"/>
      <c r="E1278" s="53"/>
      <c r="G1278" s="60"/>
    </row>
    <row r="1279" spans="1:7" x14ac:dyDescent="0.2">
      <c r="A1279" s="50"/>
      <c r="B1279" s="51"/>
      <c r="C1279" s="49"/>
      <c r="D1279" s="57"/>
      <c r="E1279" s="53"/>
      <c r="G1279" s="60"/>
    </row>
    <row r="1280" spans="1:7" x14ac:dyDescent="0.2">
      <c r="A1280" s="50"/>
      <c r="B1280" s="51"/>
      <c r="C1280" s="49"/>
      <c r="D1280" s="57"/>
      <c r="E1280" s="53"/>
      <c r="G1280" s="60"/>
    </row>
    <row r="1281" spans="1:7" x14ac:dyDescent="0.2">
      <c r="A1281" s="50"/>
      <c r="B1281" s="51"/>
      <c r="C1281" s="49"/>
      <c r="D1281" s="57"/>
      <c r="E1281" s="53"/>
      <c r="G1281" s="60"/>
    </row>
    <row r="1282" spans="1:7" x14ac:dyDescent="0.2">
      <c r="A1282" s="50"/>
      <c r="B1282" s="51"/>
      <c r="C1282" s="49"/>
      <c r="D1282" s="57"/>
      <c r="E1282" s="53"/>
      <c r="G1282" s="60"/>
    </row>
    <row r="1283" spans="1:7" x14ac:dyDescent="0.2">
      <c r="A1283" s="50"/>
      <c r="B1283" s="51"/>
      <c r="C1283" s="49"/>
      <c r="D1283" s="57"/>
      <c r="E1283" s="53"/>
      <c r="G1283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5E94-4AAC-40D1-B218-340A01A7ECCA}">
  <dimension ref="A1:A4"/>
  <sheetViews>
    <sheetView workbookViewId="0">
      <selection activeCell="A4" sqref="A4"/>
    </sheetView>
  </sheetViews>
  <sheetFormatPr defaultRowHeight="12.75" x14ac:dyDescent="0.2"/>
  <sheetData>
    <row r="1" spans="1:1" x14ac:dyDescent="0.2">
      <c r="A1" t="s">
        <v>439</v>
      </c>
    </row>
    <row r="2" spans="1:1" x14ac:dyDescent="0.2">
      <c r="A2" s="90" t="s">
        <v>440</v>
      </c>
    </row>
    <row r="3" spans="1:1" x14ac:dyDescent="0.2">
      <c r="A3" s="90" t="s">
        <v>441</v>
      </c>
    </row>
    <row r="4" spans="1:1" x14ac:dyDescent="0.2">
      <c r="A4" s="90" t="s">
        <v>442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e03b3a-1a92-4768-a1bd-7f441a79df58">
      <Terms xmlns="http://schemas.microsoft.com/office/infopath/2007/PartnerControls"/>
    </lcf76f155ced4ddcb4097134ff3c332f>
    <TaxCatchAll xmlns="d85b152d-894d-4566-ac4a-d9c58dcbab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70CAABAB6DA944A2262ACFDB3A496A" ma:contentTypeVersion="" ma:contentTypeDescription="Create a new document." ma:contentTypeScope="" ma:versionID="ea1dbd78707b1fe15e5968f853e5a0c6">
  <xsd:schema xmlns:xsd="http://www.w3.org/2001/XMLSchema" xmlns:xs="http://www.w3.org/2001/XMLSchema" xmlns:p="http://schemas.microsoft.com/office/2006/metadata/properties" xmlns:ns2="64e03b3a-1a92-4768-a1bd-7f441a79df58" xmlns:ns3="d85b152d-894d-4566-ac4a-d9c58dcbabc9" targetNamespace="http://schemas.microsoft.com/office/2006/metadata/properties" ma:root="true" ma:fieldsID="8bb08c21a058f732cbc28f5e045d0b17" ns2:_="" ns3:_="">
    <xsd:import namespace="64e03b3a-1a92-4768-a1bd-7f441a79df58"/>
    <xsd:import namespace="d85b152d-894d-4566-ac4a-d9c58dcbab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03b3a-1a92-4768-a1bd-7f441a79df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b152d-894d-4566-ac4a-d9c58dcbabc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d8cefe-1022-4b8e-880f-6685a843f780}" ma:internalName="TaxCatchAll" ma:showField="CatchAllData" ma:web="d85b152d-894d-4566-ac4a-d9c58dcbab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B2E85F-63DA-4EAD-B8FC-E732699CAC3D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64e03b3a-1a92-4768-a1bd-7f441a79df58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E5EB222-D65D-41F7-AFDC-C1DBD5047A1E}"/>
</file>

<file path=customXml/itemProps3.xml><?xml version="1.0" encoding="utf-8"?>
<ds:datastoreItem xmlns:ds="http://schemas.openxmlformats.org/officeDocument/2006/customXml" ds:itemID="{BD3D6007-4BE9-4694-B9F7-85826D76F4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</vt:lpstr>
      <vt:lpstr>R_Intermediate</vt:lpstr>
      <vt:lpstr>R_Final</vt:lpstr>
      <vt:lpstr>Notes</vt:lpstr>
    </vt:vector>
  </TitlesOfParts>
  <Manager/>
  <Company>BSA Environmental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Beaver</dc:creator>
  <cp:keywords/>
  <dc:description/>
  <cp:lastModifiedBy>Rasmussen, Nicholas@DWR</cp:lastModifiedBy>
  <cp:revision/>
  <dcterms:created xsi:type="dcterms:W3CDTF">2007-06-13T13:00:39Z</dcterms:created>
  <dcterms:modified xsi:type="dcterms:W3CDTF">2019-05-09T18:51:43Z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0x0101003E70CAABAB6DA944A2262ACFDB3A496A</vt:lpwstr>
  </property>
  <property fmtid="{D5CDD505-2E9C-101B-9397-08002B2CF9AE}" pid="3" name="AuthorIds_UIVersion_2560">
    <vt:lpwstr>20</vt:lpwstr>
  </property>
</Properties>
</file>